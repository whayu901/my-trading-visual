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000" activeTab="1"/>
  </bookViews>
  <sheets>
    <sheet name="📋 Panduan" sheetId="1" r:id="rId1"/>
    <sheet name="⚙️ Setelan" sheetId="2" r:id="rId2"/>
    <sheet name="📒 Jurnal" sheetId="3" r:id="rId3"/>
    <sheet name="📅 Harian" sheetId="4" r:id="rId4"/>
    <sheet name="📈 Data Chart" sheetId="5" r:id="rId5"/>
    <sheet name="📊 Dashboard" sheetId="6" r:id="rId6"/>
    <sheet name="🔍 Review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<sst xmlns="http://schemas.openxmlformats.org/spreadsheetml/2006/main" count="443" uniqueCount="249">
  <si>
    <t>📋 JURNAL TRADING — FILE MASTER</t>
  </si>
  <si>
    <t/>
  </si>
  <si>
    <t>① FILE INI SATU-SATUNYA — TIDAK PERNAH DIGANTI</t>
  </si>
  <si>
    <t>Semua bulan menumpuk di sini. Tiap ada CSV broker baru, trade ditambahkan di baris</t>
  </si>
  <si>
    <t>kosong berikutnya. Baris lama beserta catatan/emosi/screenshot kamu TIDAK disentuh.</t>
  </si>
  <si>
    <t>Trade dengan nomor tiket yang sudah ada otomatis dilewati — aman kirim CSV dua kali.</t>
  </si>
  <si>
    <t>⚠️ BACA INI DULU — SOAL SINKRONISASI</t>
  </si>
  <si>
    <t>Anotasi manualmu (emosi, setup, screenshot) hidup di Google Sheets, bukan di file lokal.</t>
  </si>
  <si>
    <t>Kalau kamu re-import file master mentah, anotasi itu HILANG tertimpa.</t>
  </si>
  <si>
    <t>Alur yang benar setelah import pertama:</t>
  </si>
  <si>
    <t xml:space="preserve">   • Trade baru ditambahkan → salin HANYA baris barunya ke Sheets (nomor barisnya</t>
  </si>
  <si>
    <t xml:space="preserve">     akan disebutkan), atau</t>
  </si>
  <si>
    <t xml:space="preserve">   • Export Sheets kamu (File → Download → .xlsx), kirim balik, biar jadi master baru.</t>
  </si>
  <si>
    <t>JANGAN re-import penuh kalau kamu sudah mengisi kolom penilaian.</t>
  </si>
  <si>
    <t>② IMPORT PERTAMA KE GOOGLE SHEETS</t>
  </si>
  <si>
    <t>sheets.google.com → File → Import → Upload → "Create new spreadsheet".</t>
  </si>
  <si>
    <t>Lalu File → Settings → Locale → Indonesia (biar tanggal dd/mm terbaca benar).</t>
  </si>
  <si>
    <t>③ PASANG GRAFIK (sekali saja, ~2 menit)</t>
  </si>
  <si>
    <t>Extensions → Apps Script → paste isi journal-charts.gs → Save → pilih buatGrafik → Run.</t>
  </si>
  <si>
    <t>6 grafik muncul di tab Dashboard dan ikut update tiap kamu isi trade.</t>
  </si>
  <si>
    <t>④ KOLOM YANG DIISI OTOMATIS DARI CSV BROKER</t>
  </si>
  <si>
    <t>Tanggal, Jam Masuk/Keluar, Instrumen, Arah, Entry, SL, TP, Exit, Lot, Tiket.</t>
  </si>
  <si>
    <t>Sisanya kamu yang isi: Setup, TF, Bias, SVP, News, Harga Terburuk/Terbaik,</t>
  </si>
  <si>
    <t>Emosi, Kondisi Fisik, Keyakinan, Checklist, Kesalahan, Screenshot.</t>
  </si>
  <si>
    <t>⑤ FILTER INTERAKTIF DI DASHBOARD</t>
  </si>
  <si>
    <t>6 dropdown di atas Dashboard. Ubah satu → semua metrik, tabel, dan grafik menyesuaikan.</t>
  </si>
  <si>
    <t>Contoh: Emosi = FOMO → lihat win rate &amp; expectancy kamu khusus saat FOMO.</t>
  </si>
  <si>
    <t>⑥ TAB HARIAN MENGISI DIRI SENDIRI</t>
  </si>
  <si>
    <t>Daftar tanggalnya muncul otomatis dari trade yang ada — tidak terkunci ke satu bulan.</t>
  </si>
  <si>
    <t>⚠️ PERINGATAN JUMLAH SAMPEL</t>
  </si>
  <si>
    <t>Di bawah ~100 trade, angka Dashboard adalah PETUNJUK ARAH, bukan vonis.</t>
  </si>
  <si>
    <t>Beda win rate 10% pada 40 trade masih sangat mungkin kebetulan.</t>
  </si>
  <si>
    <t>⚙️ SETELAN — isi sekali</t>
  </si>
  <si>
    <t>Modal Awal (USD)</t>
  </si>
  <si>
    <t>← angka hijau ini tebakan awal dari data 31 Agu. Ganti dengan angka aslimu.</t>
  </si>
  <si>
    <t>Risiko per Trade (%)</t>
  </si>
  <si>
    <t>Batas Rugi Harian (USD)</t>
  </si>
  <si>
    <t>Max Trade per Hari</t>
  </si>
  <si>
    <t>Target Profit Bulanan (USD)</t>
  </si>
  <si>
    <t>Kurs USD → IDR</t>
  </si>
  <si>
    <t>Jeda Min Setelah Loss (menit)</t>
  </si>
  <si>
    <t>SPESIFIKASI INSTRUMEN</t>
  </si>
  <si>
    <t>Dipakai rumus PnL. Rentang VLOOKUP sampai baris 20 — ada 2 baris kosong untuk instrumen tambahan.</t>
  </si>
  <si>
    <t>Instrumen</t>
  </si>
  <si>
    <t>Ukuran Kontrak</t>
  </si>
  <si>
    <t>Pembagi Konversi</t>
  </si>
  <si>
    <t>Nilai per 1.00 Gerak/Lot (USD)</t>
  </si>
  <si>
    <t>Biaya per Lot (USD)</t>
  </si>
  <si>
    <t>Digit</t>
  </si>
  <si>
    <t>XAUUSD</t>
  </si>
  <si>
    <t>BTCUSD</t>
  </si>
  <si>
    <t>EURUSD</t>
  </si>
  <si>
    <t>GBPUSD</t>
  </si>
  <si>
    <t>USDJPY</t>
  </si>
  <si>
    <t>Biaya per Lot = komisi round-turn per 1.0 lot. XAU $11 &amp; BTC $8.75 diambil dari CSV brokermu 31 Agu 2026.</t>
  </si>
  <si>
    <t>Angka ini komisi saja. Kalau akunmu spread-based (bukan raw), tambahkan estimasi spread ke sini.</t>
  </si>
  <si>
    <t>IDENTITAS</t>
  </si>
  <si>
    <t>SETUP &amp; KONTEKS</t>
  </si>
  <si>
    <t>HARGA &amp; UKURAN</t>
  </si>
  <si>
    <t>HITUNGAN OTOMATIS</t>
  </si>
  <si>
    <t>MAE / MFE</t>
  </si>
  <si>
    <t>PSIKOLOGI &amp; EKSEKUSI</t>
  </si>
  <si>
    <t>DETEKSI</t>
  </si>
  <si>
    <t>BUKTI</t>
  </si>
  <si>
    <t>SISTEM</t>
  </si>
  <si>
    <t>No</t>
  </si>
  <si>
    <t>Tanggal</t>
  </si>
  <si>
    <t>Jam Masuk</t>
  </si>
  <si>
    <t>Jam Keluar</t>
  </si>
  <si>
    <t>Sesi</t>
  </si>
  <si>
    <t>Arah</t>
  </si>
  <si>
    <t>Tipe Setup</t>
  </si>
  <si>
    <t>TF Eksekusi</t>
  </si>
  <si>
    <t>Bias M15 Searah?</t>
  </si>
  <si>
    <t>Bias EMA200 Searah?</t>
  </si>
  <si>
    <t>Konfluensi SVP</t>
  </si>
  <si>
    <t>News Besar?</t>
  </si>
  <si>
    <t>Entry</t>
  </si>
  <si>
    <t>Stop Loss</t>
  </si>
  <si>
    <t>TP Rencana</t>
  </si>
  <si>
    <t>Exit Aktual</t>
  </si>
  <si>
    <t>Lot Saran</t>
  </si>
  <si>
    <t>Lot Dipakai</t>
  </si>
  <si>
    <t>Risiko $</t>
  </si>
  <si>
    <t>RR Rencana</t>
  </si>
  <si>
    <t>PnL Kotor $</t>
  </si>
  <si>
    <t>Biaya $</t>
  </si>
  <si>
    <t>PnL Bersih $</t>
  </si>
  <si>
    <t>R Hasil</t>
  </si>
  <si>
    <t>Hasil</t>
  </si>
  <si>
    <t>Durasi (mnt)</t>
  </si>
  <si>
    <t>Harga Terburuk</t>
  </si>
  <si>
    <t>Harga Terbaik</t>
  </si>
  <si>
    <t>MAE (R)</t>
  </si>
  <si>
    <t>MFE (R)</t>
  </si>
  <si>
    <t>Emosi Sebelum Entry</t>
  </si>
  <si>
    <t>Kondisi Fisik</t>
  </si>
  <si>
    <t>Keyakinan (1-5)</t>
  </si>
  <si>
    <t>Sesuai Checklist?</t>
  </si>
  <si>
    <t>Kesalahan</t>
  </si>
  <si>
    <t>Catatan</t>
  </si>
  <si>
    <t>⚠️ Cek Revenge</t>
  </si>
  <si>
    <t>Link Sebelum</t>
  </si>
  <si>
    <t>Gambar Sebelum</t>
  </si>
  <si>
    <t>Link Sesudah</t>
  </si>
  <si>
    <t>Gambar Sesudah</t>
  </si>
  <si>
    <t>Lolos Filter</t>
  </si>
  <si>
    <t>Tiket Broker — jangan diubah</t>
  </si>
  <si>
    <t>Sell</t>
  </si>
  <si>
    <t>⚠️ TANPA SL di broker — isi SL yang kamu niatkan biar Risiko $ &amp; R Hasil terhitung</t>
  </si>
  <si>
    <t>2313145589</t>
  </si>
  <si>
    <t>2313145614</t>
  </si>
  <si>
    <t>2313151523</t>
  </si>
  <si>
    <t>2313151522</t>
  </si>
  <si>
    <t>2313313924</t>
  </si>
  <si>
    <t>2313313925</t>
  </si>
  <si>
    <t>2313334563</t>
  </si>
  <si>
    <t>Buy</t>
  </si>
  <si>
    <t>2313357536</t>
  </si>
  <si>
    <t>2313357553</t>
  </si>
  <si>
    <t>📅 REKAP HARIAN — daftar tanggal muncul otomatis dari trade yang ada</t>
  </si>
  <si>
    <t>Trade</t>
  </si>
  <si>
    <t>Total R</t>
  </si>
  <si>
    <t>Win Rate</t>
  </si>
  <si>
    <t>Status Guardrail</t>
  </si>
  <si>
    <t>Kumulatif R</t>
  </si>
  <si>
    <t>Puncak R</t>
  </si>
  <si>
    <t>Drawdown R</t>
  </si>
  <si>
    <t>📈 DATA CHART — bahan mentah grafik</t>
  </si>
  <si>
    <t>Diisi rumus otomatis, dipakai grafik di Dashboard. Boleh disembunyikan, jangan dihapus.</t>
  </si>
  <si>
    <t>T1 · Ekuitas Harian</t>
  </si>
  <si>
    <t>T2 · PnL Harian</t>
  </si>
  <si>
    <t>T3 · Per Setup</t>
  </si>
  <si>
    <t>T4 · Sebaran R</t>
  </si>
  <si>
    <t>T5 · Per Emosi</t>
  </si>
  <si>
    <t>T6 · Per Sesi</t>
  </si>
  <si>
    <t>T7 · Hasil</t>
  </si>
  <si>
    <t>T8 · Kondisi Fisik</t>
  </si>
  <si>
    <t>PnL $</t>
  </si>
  <si>
    <t>Setup</t>
  </si>
  <si>
    <t>N</t>
  </si>
  <si>
    <t>Win %</t>
  </si>
  <si>
    <t>Exp R</t>
  </si>
  <si>
    <t>Rentang R</t>
  </si>
  <si>
    <t>Jumlah</t>
  </si>
  <si>
    <t>Emosi</t>
  </si>
  <si>
    <t>Fisik</t>
  </si>
  <si>
    <t>First Touch</t>
  </si>
  <si>
    <t>≤ -1.5</t>
  </si>
  <si>
    <t>Tenang</t>
  </si>
  <si>
    <t>London</t>
  </si>
  <si>
    <t>Win</t>
  </si>
  <si>
    <t>Segar</t>
  </si>
  <si>
    <t>RBS Retest</t>
  </si>
  <si>
    <t>-1.5 s/d -1</t>
  </si>
  <si>
    <t>FOMO</t>
  </si>
  <si>
    <t>Overlap LDN+NY</t>
  </si>
  <si>
    <t>Loss</t>
  </si>
  <si>
    <t>Biasa</t>
  </si>
  <si>
    <t>SBR Retest</t>
  </si>
  <si>
    <t>-1 s/d -0.5</t>
  </si>
  <si>
    <t>Balas dendam</t>
  </si>
  <si>
    <t>New York</t>
  </si>
  <si>
    <t>BE</t>
  </si>
  <si>
    <t>Capek</t>
  </si>
  <si>
    <t>Lainnya</t>
  </si>
  <si>
    <t>-0.5 s/d 0</t>
  </si>
  <si>
    <t>Ragu</t>
  </si>
  <si>
    <t>Asia</t>
  </si>
  <si>
    <t>Ngantuk</t>
  </si>
  <si>
    <t>0 s/d 0.5</t>
  </si>
  <si>
    <t>Overconfident</t>
  </si>
  <si>
    <t>0.5 s/d 1</t>
  </si>
  <si>
    <t>Bosan</t>
  </si>
  <si>
    <t>1 s/d 2</t>
  </si>
  <si>
    <t>&gt; 2.0</t>
  </si>
  <si>
    <t>📊 DASHBOARD</t>
  </si>
  <si>
    <t>Ubah dropdown filter → semua metrik, tabel, dan grafik ikut menyesuaikan.</t>
  </si>
  <si>
    <t>🎛️  FILTER INTERAKTIF</t>
  </si>
  <si>
    <t>(Semua)</t>
  </si>
  <si>
    <t>← klik sel biru untuk memfilter. "(Semua)" = tanpa filter.</t>
  </si>
  <si>
    <t>Bias EMA200 Searah</t>
  </si>
  <si>
    <t>📌  RINGKASAN (mengikuti filter)</t>
  </si>
  <si>
    <t>Total Trade</t>
  </si>
  <si>
    <t>Total PnL Bersih</t>
  </si>
  <si>
    <t>Win / Loss / BE</t>
  </si>
  <si>
    <t>Total Biaya Dibayar</t>
  </si>
  <si>
    <t>Expectancy (R)</t>
  </si>
  <si>
    <t>Max Drawdown R (semua)</t>
  </si>
  <si>
    <t>Profit Factor</t>
  </si>
  <si>
    <t>Rata-rata Durasi (mnt)</t>
  </si>
  <si>
    <t>🎯  PROGRESS TARGET (total semua trade, tidak ikut filter)</t>
  </si>
  <si>
    <t>Tercapai</t>
  </si>
  <si>
    <t>Setara Rupiah</t>
  </si>
  <si>
    <t>①  PER TIPE SETUP</t>
  </si>
  <si>
    <t>Menjawab pertanyaan yang backtest Juli gantung: retest beneran lebih bagus dari first touch?</t>
  </si>
  <si>
    <t>Kategori</t>
  </si>
  <si>
    <t>Visual Exp R</t>
  </si>
  <si>
    <t>②  PER SESI</t>
  </si>
  <si>
    <t>Sesi mana yang beneran bayar?</t>
  </si>
  <si>
    <t>③  PER EMOSI SEBELUM ENTRY</t>
  </si>
  <si>
    <t>Ini yang paling sering mengubah hasil orang. Lihat selisih Tenang vs FOMO.</t>
  </si>
  <si>
    <t>④  PER KONDISI FISIK</t>
  </si>
  <si>
    <t>Cek apakah 'Capek' punya harga.</t>
  </si>
  <si>
    <t>⑤  BIAS EMA200 SEARAH?</t>
  </si>
  <si>
    <t>Backtest 31 Agu tidak bisa memutuskan ini (CI lewat nol). Data live kamu yang menjawab.</t>
  </si>
  <si>
    <t>Ya</t>
  </si>
  <si>
    <t>Tidak</t>
  </si>
  <si>
    <t>⑥  SESUAI CHECKLIST?</t>
  </si>
  <si>
    <t>Kalau 'Tidak' ternyata lebih untung, checklist-nya yang salah — bukan kamu.</t>
  </si>
  <si>
    <t>⑦  PER INSTRUMEN</t>
  </si>
  <si>
    <t>⑧  ANALISA MAE / MFE — SL kesempitan atau TP kecepetan?</t>
  </si>
  <si>
    <t>Rata-rata MAE trade WIN</t>
  </si>
  <si>
    <t>Kalau &gt; 0.7R: SL kamu nyaris kena terus. Pertimbangkan SL sedikit lebih lebar.</t>
  </si>
  <si>
    <t>Rata-rata MAE trade LOSS</t>
  </si>
  <si>
    <t>Pembanding.</t>
  </si>
  <si>
    <t>Rata-rata MFE trade WIN</t>
  </si>
  <si>
    <t>Kalau jauh di atas R hasilmu: keluar kecepetan.</t>
  </si>
  <si>
    <t>Rata-rata MFE trade LOSS</t>
  </si>
  <si>
    <t>Kalau &gt; 1.0R: sering sudah untung 1R lalu balik rugi.</t>
  </si>
  <si>
    <t>⑨  KESALAHAN PALING MAHAL</t>
  </si>
  <si>
    <t>Geser SL</t>
  </si>
  <si>
    <t>Entry tanpa plan</t>
  </si>
  <si>
    <t>Lot kegedean</t>
  </si>
  <si>
    <t>Revenge trade</t>
  </si>
  <si>
    <t>Exit kecepetan</t>
  </si>
  <si>
    <t>Entry telat</t>
  </si>
  <si>
    <t>Lawan bias</t>
  </si>
  <si>
    <t>⚠️ INGAT: di bawah ~100 trade, angka di atas adalah PETUNJUK ARAH, bukan vonis.
Beda win rate 10% pada 40 trade masih sangat mungkin kebetulan.
Kumpulkan 3–6 bulan sebelum membuang satu jenis setup.</t>
  </si>
  <si>
    <t>🔍 REVIEW MINGGUAN — isi tiap Sabtu, 10 menit</t>
  </si>
  <si>
    <t>Jurnal yang dibaca ulang jauh lebih berharga daripada jurnal yang cuma diisi.</t>
  </si>
  <si>
    <t>MINGGU 1</t>
  </si>
  <si>
    <t>Berapa total R minggu ini? Naik atau turun dari minggu lalu?</t>
  </si>
  <si>
    <t>Setup mana yang paling menghasilkan? Mana yang paling merugikan?</t>
  </si>
  <si>
    <t>Berapa kali aku melanggar checklist sendiri? Apa pemicunya?</t>
  </si>
  <si>
    <t>Emosi apa yang paling sering muncul saat aku rugi?</t>
  </si>
  <si>
    <t>Ada guardrail yang jebol (batas rugi / max trade / revenge)? Kenapa?</t>
  </si>
  <si>
    <t>Satu hal yang akan aku ubah minggu depan (SATU saja, spesifik):</t>
  </si>
  <si>
    <t>MINGGU 2</t>
  </si>
  <si>
    <t>MINGGU 3</t>
  </si>
  <si>
    <t>MINGGU 4</t>
  </si>
  <si>
    <t>MINGGU 5</t>
  </si>
  <si>
    <t>MINGGU 6</t>
  </si>
  <si>
    <t>MINGGU 7</t>
  </si>
  <si>
    <t>MINGGU 8</t>
  </si>
  <si>
    <t>MINGGU 9</t>
  </si>
  <si>
    <t>MINGGU 10</t>
  </si>
  <si>
    <t>MINGGU 11</t>
  </si>
  <si>
    <t>MINGGU 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</si>
</sst>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"/>
    <numFmt numFmtId="179" formatCode="0.0%"/>
    <numFmt numFmtId="180" formatCode="0.000"/>
    <numFmt numFmtId="181" formatCode="&quot;Rp&quot;#,##0"/>
    <numFmt numFmtId="182" formatCode="dd/mm"/>
    <numFmt numFmtId="183" formatCode="ddd\,\ dd/mm"/>
    <numFmt numFmtId="184" formatCode="dd/mm/yyyy"/>
    <numFmt numFmtId="185" formatCode="hh:mm"/>
    <numFmt numFmtId="186" formatCode="0.00###"/>
    <numFmt numFmtId="187" formatCode="&quot;$&quot;#,##0"/>
    <numFmt numFmtId="188" formatCode="0.0"/>
  </numFmts>
  <fonts count="43">
    <font>
      <sz val="11"/>
      <color theme="1"/>
      <name val="Calibri"/>
      <charset val="134"/>
      <scheme val="minor"/>
    </font>
    <font>
      <b/>
      <sz val="14"/>
      <color rgb="FF1F2937"/>
      <name val="Calibri"/>
      <charset val="134"/>
      <scheme val="minor"/>
    </font>
    <font>
      <i/>
      <sz val="9"/>
      <color rgb="FF6B7280"/>
      <name val="Calibri"/>
      <charset val="134"/>
      <scheme val="minor"/>
    </font>
    <font>
      <b/>
      <sz val="12"/>
      <color rgb="FFFFFFFF"/>
      <name val="Calibri"/>
      <charset val="134"/>
      <scheme val="minor"/>
    </font>
    <font>
      <b/>
      <sz val="9"/>
      <name val="Calibri"/>
      <charset val="134"/>
      <scheme val="minor"/>
    </font>
    <font>
      <b/>
      <sz val="16"/>
      <color rgb="FF1F2937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0"/>
      <name val="Calibri"/>
      <charset val="134"/>
      <scheme val="minor"/>
    </font>
    <font>
      <b/>
      <sz val="10"/>
      <color rgb="FF1E3A8A"/>
      <name val="Calibri"/>
      <charset val="134"/>
      <scheme val="minor"/>
    </font>
    <font>
      <b/>
      <sz val="11"/>
      <color rgb="FF1F2937"/>
      <name val="Calibri"/>
      <charset val="134"/>
      <scheme val="minor"/>
    </font>
    <font>
      <b/>
      <sz val="12"/>
      <name val="Calibri"/>
      <charset val="134"/>
      <scheme val="minor"/>
    </font>
    <font>
      <sz val="11"/>
      <color rgb="FF065F46"/>
      <name val="Calibri"/>
      <charset val="134"/>
      <scheme val="minor"/>
    </font>
    <font>
      <b/>
      <sz val="11"/>
      <color rgb="FF065F46"/>
      <name val="Calibri"/>
      <charset val="134"/>
      <scheme val="minor"/>
    </font>
    <font>
      <b/>
      <sz val="9"/>
      <color rgb="FFFFFFFF"/>
      <name val="Calibri"/>
      <charset val="134"/>
      <scheme val="minor"/>
    </font>
    <font>
      <sz val="9"/>
      <name val="Calibri"/>
      <charset val="134"/>
      <scheme val="minor"/>
    </font>
    <font>
      <b/>
      <sz val="9"/>
      <color rgb="FF7C2D12"/>
      <name val="Calibri"/>
      <charset val="134"/>
      <scheme val="minor"/>
    </font>
    <font>
      <b/>
      <sz val="13"/>
      <color rgb="FF1F2937"/>
      <name val="Calibri"/>
      <charset val="134"/>
      <scheme val="minor"/>
    </font>
    <font>
      <b/>
      <sz val="10"/>
      <color rgb="FFFFFFFF"/>
      <name val="Calibri"/>
      <charset val="134"/>
      <scheme val="minor"/>
    </font>
    <font>
      <sz val="9"/>
      <color rgb="FF374151"/>
      <name val="Calibri"/>
      <charset val="134"/>
      <scheme val="minor"/>
    </font>
    <font>
      <b/>
      <sz val="12"/>
      <color rgb="FF1F2937"/>
      <name val="Calibri"/>
      <charset val="134"/>
      <scheme val="minor"/>
    </font>
    <font>
      <b/>
      <sz val="11"/>
      <name val="Calibri"/>
      <charset val="134"/>
      <scheme val="minor"/>
    </font>
    <font>
      <i/>
      <sz val="9"/>
      <color rgb="FF7C2D12"/>
      <name val="Calibri"/>
      <charset val="134"/>
      <scheme val="minor"/>
    </font>
    <font>
      <sz val="10"/>
      <color rgb="FF1F2937"/>
      <name val="Calibri"/>
      <charset val="134"/>
      <scheme val="minor"/>
    </font>
    <font>
      <b/>
      <sz val="11"/>
      <color rgb="FF7C2D12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374151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4B5563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4C1D95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065F46"/>
        <bgColor indexed="64"/>
      </patternFill>
    </fill>
    <fill>
      <patternFill patternType="solid">
        <fgColor rgb="FF7C2D12"/>
        <bgColor indexed="64"/>
      </patternFill>
    </fill>
    <fill>
      <patternFill patternType="solid">
        <fgColor rgb="FF831843"/>
        <bgColor indexed="64"/>
      </patternFill>
    </fill>
    <fill>
      <patternFill patternType="solid">
        <fgColor rgb="FF7F1D1D"/>
        <bgColor indexed="64"/>
      </patternFill>
    </fill>
    <fill>
      <patternFill patternType="solid">
        <fgColor rgb="FF134E4A"/>
        <bgColor indexed="64"/>
      </patternFill>
    </fill>
    <fill>
      <patternFill patternType="solid">
        <fgColor rgb="FF6B7280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7" borderId="11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8" borderId="14" applyNumberFormat="0" applyAlignment="0" applyProtection="0">
      <alignment vertical="center"/>
    </xf>
    <xf numFmtId="0" fontId="33" fillId="19" borderId="15" applyNumberFormat="0" applyAlignment="0" applyProtection="0">
      <alignment vertical="center"/>
    </xf>
    <xf numFmtId="0" fontId="34" fillId="19" borderId="14" applyNumberFormat="0" applyAlignment="0" applyProtection="0">
      <alignment vertical="center"/>
    </xf>
    <xf numFmtId="0" fontId="35" fillId="20" borderId="16" applyNumberFormat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7" fillId="0" borderId="18" applyNumberFormat="0" applyFill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1" fillId="47" borderId="0" applyNumberFormat="0" applyBorder="0" applyAlignment="0" applyProtection="0">
      <alignment vertical="center"/>
    </xf>
  </cellStyleXfs>
  <cellXfs count="8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5" fillId="0" borderId="0" xfId="0" applyFont="1"/>
    <xf numFmtId="0" fontId="6" fillId="4" borderId="0" xfId="0" applyFont="1" applyFill="1"/>
    <xf numFmtId="0" fontId="7" fillId="3" borderId="1" xfId="0" applyFont="1" applyFill="1" applyBorder="1"/>
    <xf numFmtId="0" fontId="8" fillId="5" borderId="1" xfId="0" applyFont="1" applyFill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78" fontId="9" fillId="0" borderId="1" xfId="0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179" fontId="9" fillId="0" borderId="1" xfId="0" applyNumberFormat="1" applyFont="1" applyBorder="1" applyAlignment="1">
      <alignment horizontal="center"/>
    </xf>
    <xf numFmtId="2" fontId="9" fillId="0" borderId="1" xfId="0" applyNumberFormat="1" applyFont="1" applyBorder="1" applyAlignment="1">
      <alignment horizontal="center"/>
    </xf>
    <xf numFmtId="180" fontId="9" fillId="0" borderId="1" xfId="0" applyNumberFormat="1" applyFont="1" applyBorder="1" applyAlignment="1">
      <alignment horizontal="center"/>
    </xf>
    <xf numFmtId="0" fontId="7" fillId="0" borderId="0" xfId="0" applyFont="1"/>
    <xf numFmtId="179" fontId="10" fillId="0" borderId="0" xfId="0" applyNumberFormat="1" applyFont="1"/>
    <xf numFmtId="0" fontId="11" fillId="0" borderId="0" xfId="0" applyFont="1"/>
    <xf numFmtId="181" fontId="12" fillId="0" borderId="0" xfId="0" applyNumberFormat="1" applyFont="1"/>
    <xf numFmtId="0" fontId="13" fillId="6" borderId="1" xfId="0" applyFont="1" applyFill="1" applyBorder="1" applyAlignment="1">
      <alignment horizontal="center" vertical="center" wrapText="1"/>
    </xf>
    <xf numFmtId="0" fontId="14" fillId="0" borderId="1" xfId="0" applyFont="1" applyBorder="1"/>
    <xf numFmtId="1" fontId="14" fillId="0" borderId="1" xfId="0" applyNumberFormat="1" applyFont="1" applyBorder="1" applyAlignment="1">
      <alignment horizontal="center"/>
    </xf>
    <xf numFmtId="9" fontId="14" fillId="0" borderId="1" xfId="0" applyNumberFormat="1" applyFont="1" applyBorder="1" applyAlignment="1">
      <alignment horizontal="center"/>
    </xf>
    <xf numFmtId="2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4" fillId="0" borderId="1" xfId="0" applyFont="1" applyBorder="1"/>
    <xf numFmtId="2" fontId="0" fillId="0" borderId="1" xfId="0" applyNumberFormat="1" applyBorder="1" applyAlignment="1">
      <alignment horizontal="center"/>
    </xf>
    <xf numFmtId="178" fontId="14" fillId="0" borderId="1" xfId="0" applyNumberFormat="1" applyFont="1" applyBorder="1" applyAlignment="1">
      <alignment horizontal="center"/>
    </xf>
    <xf numFmtId="0" fontId="15" fillId="7" borderId="1" xfId="0" applyFont="1" applyFill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6" fillId="0" borderId="0" xfId="0" applyFont="1"/>
    <xf numFmtId="0" fontId="17" fillId="4" borderId="0" xfId="0" applyFont="1" applyFill="1"/>
    <xf numFmtId="182" fontId="14" fillId="0" borderId="1" xfId="0" applyNumberFormat="1" applyFont="1" applyBorder="1"/>
    <xf numFmtId="2" fontId="14" fillId="0" borderId="1" xfId="0" applyNumberFormat="1" applyFont="1" applyBorder="1"/>
    <xf numFmtId="1" fontId="14" fillId="0" borderId="1" xfId="0" applyNumberFormat="1" applyFont="1" applyBorder="1"/>
    <xf numFmtId="9" fontId="14" fillId="0" borderId="1" xfId="0" applyNumberFormat="1" applyFont="1" applyBorder="1"/>
    <xf numFmtId="0" fontId="17" fillId="2" borderId="1" xfId="0" applyFont="1" applyFill="1" applyBorder="1" applyAlignment="1">
      <alignment horizontal="center" vertical="center" wrapText="1"/>
    </xf>
    <xf numFmtId="183" fontId="0" fillId="0" borderId="0" xfId="0" applyNumberFormat="1"/>
    <xf numFmtId="2" fontId="14" fillId="3" borderId="1" xfId="0" applyNumberFormat="1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13" fillId="8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/>
    </xf>
    <xf numFmtId="184" fontId="14" fillId="0" borderId="1" xfId="0" applyNumberFormat="1" applyFont="1" applyBorder="1" applyAlignment="1">
      <alignment horizontal="center" vertical="center"/>
    </xf>
    <xf numFmtId="185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86" fontId="14" fillId="0" borderId="1" xfId="0" applyNumberFormat="1" applyFont="1" applyBorder="1" applyAlignment="1">
      <alignment horizontal="center" vertical="center"/>
    </xf>
    <xf numFmtId="2" fontId="18" fillId="3" borderId="1" xfId="0" applyNumberFormat="1" applyFont="1" applyFill="1" applyBorder="1" applyAlignment="1">
      <alignment horizontal="center" vertical="center"/>
    </xf>
    <xf numFmtId="2" fontId="14" fillId="0" borderId="1" xfId="0" applyNumberFormat="1" applyFont="1" applyBorder="1" applyAlignment="1">
      <alignment horizontal="center" vertical="center"/>
    </xf>
    <xf numFmtId="178" fontId="18" fillId="3" borderId="1" xfId="0" applyNumberFormat="1" applyFont="1" applyFill="1" applyBorder="1" applyAlignment="1">
      <alignment horizontal="center" vertical="center"/>
    </xf>
    <xf numFmtId="1" fontId="18" fillId="3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/>
    </xf>
    <xf numFmtId="49" fontId="18" fillId="3" borderId="1" xfId="0" applyNumberFormat="1" applyFont="1" applyFill="1" applyBorder="1" applyAlignment="1">
      <alignment horizontal="center" vertical="center"/>
    </xf>
    <xf numFmtId="187" fontId="12" fillId="16" borderId="1" xfId="0" applyNumberFormat="1" applyFont="1" applyFill="1" applyBorder="1" applyAlignment="1">
      <alignment horizontal="center"/>
    </xf>
    <xf numFmtId="188" fontId="12" fillId="16" borderId="1" xfId="0" applyNumberFormat="1" applyFont="1" applyFill="1" applyBorder="1" applyAlignment="1">
      <alignment horizontal="center"/>
    </xf>
    <xf numFmtId="1" fontId="12" fillId="16" borderId="1" xfId="0" applyNumberFormat="1" applyFont="1" applyFill="1" applyBorder="1" applyAlignment="1">
      <alignment horizontal="center"/>
    </xf>
    <xf numFmtId="3" fontId="12" fillId="16" borderId="1" xfId="0" applyNumberFormat="1" applyFont="1" applyFill="1" applyBorder="1" applyAlignment="1">
      <alignment horizontal="center"/>
    </xf>
    <xf numFmtId="0" fontId="19" fillId="0" borderId="0" xfId="0" applyFont="1"/>
    <xf numFmtId="0" fontId="20" fillId="0" borderId="1" xfId="0" applyFont="1" applyBorder="1"/>
    <xf numFmtId="3" fontId="0" fillId="0" borderId="1" xfId="0" applyNumberFormat="1" applyBorder="1"/>
    <xf numFmtId="0" fontId="0" fillId="0" borderId="1" xfId="0" applyBorder="1"/>
    <xf numFmtId="4" fontId="0" fillId="0" borderId="1" xfId="0" applyNumberFormat="1" applyBorder="1"/>
    <xf numFmtId="178" fontId="0" fillId="0" borderId="1" xfId="0" applyNumberFormat="1" applyBorder="1"/>
    <xf numFmtId="0" fontId="21" fillId="0" borderId="0" xfId="0" applyFont="1"/>
    <xf numFmtId="0" fontId="22" fillId="0" borderId="0" xfId="0" applyFont="1" applyAlignment="1">
      <alignment vertical="center"/>
    </xf>
    <xf numFmtId="0" fontId="6" fillId="4" borderId="0" xfId="0" applyFont="1" applyFill="1" applyAlignment="1">
      <alignment vertical="center"/>
    </xf>
    <xf numFmtId="0" fontId="23" fillId="7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6">
    <dxf>
      <font>
        <b val="1"/>
        <sz val="9"/>
        <color rgb="FF7C2D12"/>
      </font>
      <fill>
        <patternFill patternType="solid">
          <fgColor rgb="FFFEF3C7"/>
        </patternFill>
      </fill>
    </dxf>
    <dxf>
      <font>
        <b val="1"/>
        <sz val="9"/>
        <color rgb="FF065F46"/>
      </font>
      <fill>
        <patternFill patternType="solid">
          <fgColor rgb="FFD1FAE5"/>
        </patternFill>
      </fill>
    </dxf>
    <dxf>
      <font>
        <b val="1"/>
        <sz val="9"/>
        <color rgb="FF991B1B"/>
      </font>
      <fill>
        <patternFill patternType="solid">
          <fgColor rgb="FFFEE2E2"/>
        </patternFill>
      </fill>
    </dxf>
    <dxf>
      <font>
        <b val="1"/>
        <sz val="9"/>
        <color rgb="FF374151"/>
      </font>
      <fill>
        <patternFill patternType="solid">
          <fgColor rgb="FFE5E7EB"/>
        </patternFill>
      </fill>
    </dxf>
    <dxf>
      <font>
        <b val="1"/>
        <sz val="9"/>
        <color rgb="FF065F46"/>
      </font>
    </dxf>
    <dxf>
      <font>
        <b val="1"/>
        <sz val="9"/>
        <color rgb="FF991B1B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0"/>
  <sheetViews>
    <sheetView showGridLines="0" workbookViewId="0">
      <selection activeCell="B6" sqref="B6"/>
    </sheetView>
  </sheetViews>
  <sheetFormatPr defaultColWidth="9" defaultRowHeight="16.8" outlineLevelCol="1"/>
  <cols>
    <col min="1" max="1" width="4" customWidth="1"/>
    <col min="2" max="2" width="118" customWidth="1"/>
  </cols>
  <sheetData>
    <row r="2" ht="23.2" spans="2:2">
      <c r="B2" s="6" t="s">
        <v>0</v>
      </c>
    </row>
    <row r="3" spans="2:2">
      <c r="B3" s="81" t="s">
        <v>1</v>
      </c>
    </row>
    <row r="4" spans="2:2">
      <c r="B4" s="82" t="s">
        <v>2</v>
      </c>
    </row>
    <row r="5" spans="2:2">
      <c r="B5" s="81" t="s">
        <v>3</v>
      </c>
    </row>
    <row r="6" spans="2:2">
      <c r="B6" s="81" t="s">
        <v>4</v>
      </c>
    </row>
    <row r="7" spans="2:2">
      <c r="B7" s="81" t="s">
        <v>5</v>
      </c>
    </row>
    <row r="8" spans="2:2">
      <c r="B8" s="81" t="s">
        <v>1</v>
      </c>
    </row>
    <row r="9" spans="2:2">
      <c r="B9" s="83" t="s">
        <v>6</v>
      </c>
    </row>
    <row r="10" spans="2:2">
      <c r="B10" s="81" t="s">
        <v>7</v>
      </c>
    </row>
    <row r="11" spans="2:2">
      <c r="B11" s="81" t="s">
        <v>8</v>
      </c>
    </row>
    <row r="12" spans="2:2">
      <c r="B12" s="81" t="s">
        <v>9</v>
      </c>
    </row>
    <row r="13" spans="2:2">
      <c r="B13" s="81" t="s">
        <v>10</v>
      </c>
    </row>
    <row r="14" spans="2:2">
      <c r="B14" s="81" t="s">
        <v>11</v>
      </c>
    </row>
    <row r="15" spans="2:2">
      <c r="B15" s="81" t="s">
        <v>12</v>
      </c>
    </row>
    <row r="16" spans="2:2">
      <c r="B16" s="81" t="s">
        <v>13</v>
      </c>
    </row>
    <row r="17" spans="2:2">
      <c r="B17" s="81" t="s">
        <v>1</v>
      </c>
    </row>
    <row r="18" spans="2:2">
      <c r="B18" s="82" t="s">
        <v>14</v>
      </c>
    </row>
    <row r="19" spans="2:2">
      <c r="B19" s="81" t="s">
        <v>15</v>
      </c>
    </row>
    <row r="20" spans="2:2">
      <c r="B20" s="81" t="s">
        <v>16</v>
      </c>
    </row>
    <row r="21" spans="2:2">
      <c r="B21" s="81" t="s">
        <v>1</v>
      </c>
    </row>
    <row r="22" spans="2:2">
      <c r="B22" s="82" t="s">
        <v>17</v>
      </c>
    </row>
    <row r="23" spans="2:2">
      <c r="B23" s="81" t="s">
        <v>18</v>
      </c>
    </row>
    <row r="24" spans="2:2">
      <c r="B24" s="81" t="s">
        <v>19</v>
      </c>
    </row>
    <row r="25" spans="2:2">
      <c r="B25" s="81" t="s">
        <v>1</v>
      </c>
    </row>
    <row r="26" spans="2:2">
      <c r="B26" s="82" t="s">
        <v>20</v>
      </c>
    </row>
    <row r="27" spans="2:2">
      <c r="B27" s="81" t="s">
        <v>21</v>
      </c>
    </row>
    <row r="28" spans="2:2">
      <c r="B28" s="81" t="s">
        <v>22</v>
      </c>
    </row>
    <row r="29" spans="2:2">
      <c r="B29" s="81" t="s">
        <v>23</v>
      </c>
    </row>
    <row r="30" spans="2:2">
      <c r="B30" s="81" t="s">
        <v>1</v>
      </c>
    </row>
    <row r="31" spans="2:2">
      <c r="B31" s="82" t="s">
        <v>24</v>
      </c>
    </row>
    <row r="32" spans="2:2">
      <c r="B32" s="81" t="s">
        <v>25</v>
      </c>
    </row>
    <row r="33" spans="2:2">
      <c r="B33" s="81" t="s">
        <v>26</v>
      </c>
    </row>
    <row r="34" spans="2:2">
      <c r="B34" s="81" t="s">
        <v>1</v>
      </c>
    </row>
    <row r="35" spans="2:2">
      <c r="B35" s="82" t="s">
        <v>27</v>
      </c>
    </row>
    <row r="36" spans="2:2">
      <c r="B36" s="81" t="s">
        <v>28</v>
      </c>
    </row>
    <row r="37" spans="2:2">
      <c r="B37" s="81" t="s">
        <v>1</v>
      </c>
    </row>
    <row r="38" spans="2:2">
      <c r="B38" s="83" t="s">
        <v>29</v>
      </c>
    </row>
    <row r="39" spans="2:2">
      <c r="B39" s="81" t="s">
        <v>30</v>
      </c>
    </row>
    <row r="40" spans="2:2">
      <c r="B40" s="81" t="s">
        <v>31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showGridLines="0" tabSelected="1" workbookViewId="0">
      <selection activeCell="D7" sqref="D7"/>
    </sheetView>
  </sheetViews>
  <sheetFormatPr defaultColWidth="9" defaultRowHeight="16.8" outlineLevelCol="5"/>
  <cols>
    <col min="1" max="1" width="34" customWidth="1"/>
    <col min="2" max="2" width="16" customWidth="1"/>
    <col min="3" max="3" width="18" customWidth="1"/>
    <col min="4" max="4" width="26" customWidth="1"/>
    <col min="5" max="5" width="20" customWidth="1"/>
    <col min="6" max="6" width="10" customWidth="1"/>
  </cols>
  <sheetData>
    <row r="1" ht="20.4" spans="1:6">
      <c r="A1" s="1" t="s">
        <v>32</v>
      </c>
    </row>
    <row r="3" spans="1:6">
      <c r="A3" s="8" t="s">
        <v>33</v>
      </c>
      <c r="B3" s="70">
        <v>5600</v>
      </c>
      <c r="C3" s="2" t="s">
        <v>34</v>
      </c>
    </row>
    <row r="4" spans="1:6">
      <c r="A4" s="8" t="s">
        <v>35</v>
      </c>
      <c r="B4" s="71">
        <v>1</v>
      </c>
    </row>
    <row r="5" spans="1:6">
      <c r="A5" s="8" t="s">
        <v>36</v>
      </c>
      <c r="B5" s="70">
        <v>100</v>
      </c>
    </row>
    <row r="6" spans="1:6">
      <c r="A6" s="8" t="s">
        <v>37</v>
      </c>
      <c r="B6" s="72">
        <v>20</v>
      </c>
    </row>
    <row r="7" spans="1:6">
      <c r="A7" s="8" t="s">
        <v>38</v>
      </c>
      <c r="B7" s="70">
        <v>1000</v>
      </c>
    </row>
    <row r="8" spans="1:6">
      <c r="A8" s="8" t="s">
        <v>39</v>
      </c>
      <c r="B8" s="73">
        <v>16000</v>
      </c>
    </row>
    <row r="9" spans="1:6">
      <c r="A9" s="8" t="s">
        <v>40</v>
      </c>
      <c r="B9" s="72">
        <v>10</v>
      </c>
    </row>
    <row r="11" ht="17.6" spans="1:6">
      <c r="A11" s="74" t="s">
        <v>41</v>
      </c>
    </row>
    <row r="12" spans="1:6">
      <c r="A12" s="2" t="s">
        <v>42</v>
      </c>
    </row>
    <row r="13" spans="1:6">
      <c r="A13" s="43" t="s">
        <v>43</v>
      </c>
      <c r="B13" s="43" t="s">
        <v>44</v>
      </c>
      <c r="C13" s="43" t="s">
        <v>45</v>
      </c>
      <c r="D13" s="43" t="s">
        <v>46</v>
      </c>
      <c r="E13" s="43" t="s">
        <v>47</v>
      </c>
      <c r="F13" s="43" t="s">
        <v>48</v>
      </c>
    </row>
    <row r="14" spans="1:6">
      <c r="A14" s="75" t="s">
        <v>49</v>
      </c>
      <c r="B14" s="76">
        <v>100</v>
      </c>
      <c r="C14" s="77">
        <v>1</v>
      </c>
      <c r="D14" s="78">
        <f>B14/C14</f>
        <v>100</v>
      </c>
      <c r="E14" s="79">
        <v>11</v>
      </c>
      <c r="F14" s="77">
        <v>2</v>
      </c>
    </row>
    <row r="15" spans="1:6">
      <c r="A15" s="75" t="s">
        <v>50</v>
      </c>
      <c r="B15" s="76">
        <v>1</v>
      </c>
      <c r="C15" s="77">
        <v>1</v>
      </c>
      <c r="D15" s="78">
        <f>B15/C15</f>
        <v>1</v>
      </c>
      <c r="E15" s="79">
        <v>8.75</v>
      </c>
      <c r="F15" s="77">
        <v>2</v>
      </c>
    </row>
    <row r="16" spans="1:6">
      <c r="A16" s="75" t="s">
        <v>51</v>
      </c>
      <c r="B16" s="76">
        <v>100000</v>
      </c>
      <c r="C16" s="77">
        <v>1</v>
      </c>
      <c r="D16" s="78">
        <f>B16/C16</f>
        <v>100000</v>
      </c>
      <c r="E16" s="79">
        <v>10</v>
      </c>
      <c r="F16" s="77">
        <v>5</v>
      </c>
    </row>
    <row r="17" spans="1:6">
      <c r="A17" s="75" t="s">
        <v>52</v>
      </c>
      <c r="B17" s="76">
        <v>100000</v>
      </c>
      <c r="C17" s="77">
        <v>1</v>
      </c>
      <c r="D17" s="78">
        <f>B17/C17</f>
        <v>100000</v>
      </c>
      <c r="E17" s="79">
        <v>15</v>
      </c>
      <c r="F17" s="77">
        <v>5</v>
      </c>
    </row>
    <row r="18" spans="1:6">
      <c r="A18" s="75" t="s">
        <v>53</v>
      </c>
      <c r="B18" s="76">
        <v>100000</v>
      </c>
      <c r="C18" s="77">
        <v>155</v>
      </c>
      <c r="D18" s="78">
        <f>B18/C18</f>
        <v>645.161290322581</v>
      </c>
      <c r="E18" s="79">
        <v>6.5</v>
      </c>
      <c r="F18" s="77">
        <v>3</v>
      </c>
    </row>
    <row r="19" spans="1:6">
      <c r="A19" s="2" t="s">
        <v>54</v>
      </c>
    </row>
    <row r="20" spans="1:6">
      <c r="A20" s="80" t="s">
        <v>55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502"/>
  <sheetViews>
    <sheetView workbookViewId="0">
      <pane xSplit="5" ySplit="2" topLeftCell="F3" activePane="bottomRight" state="frozen"/>
      <selection/>
      <selection pane="topRight"/>
      <selection pane="bottomLeft"/>
      <selection pane="bottomRight" activeCell="B6" sqref="B6"/>
    </sheetView>
  </sheetViews>
  <sheetFormatPr defaultColWidth="9" defaultRowHeight="16.8"/>
  <cols>
    <col min="1" max="1" width="6" customWidth="1"/>
    <col min="2" max="2" width="11" customWidth="1"/>
    <col min="3" max="4" width="10" customWidth="1"/>
    <col min="5" max="5" width="15" customWidth="1"/>
    <col min="6" max="6" width="11" customWidth="1"/>
    <col min="7" max="7" width="8" customWidth="1"/>
    <col min="8" max="8" width="14" customWidth="1"/>
    <col min="9" max="9" width="11" customWidth="1"/>
    <col min="10" max="10" width="13" customWidth="1"/>
    <col min="11" max="11" width="14" customWidth="1"/>
    <col min="12" max="12" width="13" customWidth="1"/>
    <col min="13" max="17" width="11" customWidth="1"/>
    <col min="18" max="18" width="10" customWidth="1"/>
    <col min="19" max="21" width="11" customWidth="1"/>
    <col min="22" max="22" width="12" customWidth="1"/>
    <col min="23" max="23" width="10" customWidth="1"/>
    <col min="24" max="24" width="12" customWidth="1"/>
    <col min="25" max="26" width="9" customWidth="1"/>
    <col min="27" max="27" width="11" customWidth="1"/>
    <col min="28" max="29" width="13" customWidth="1"/>
    <col min="30" max="31" width="9" customWidth="1"/>
    <col min="32" max="32" width="18" customWidth="1"/>
    <col min="33" max="33" width="13" customWidth="1"/>
    <col min="34" max="34" width="11" customWidth="1"/>
    <col min="35" max="35" width="13" customWidth="1"/>
    <col min="36" max="36" width="18" customWidth="1"/>
    <col min="37" max="37" width="40" customWidth="1"/>
    <col min="38" max="38" width="13" customWidth="1"/>
    <col min="39" max="39" width="22" customWidth="1"/>
    <col min="40" max="40" width="30" customWidth="1"/>
    <col min="41" max="41" width="22" customWidth="1"/>
    <col min="42" max="42" width="30" customWidth="1"/>
    <col min="43" max="43" width="10" customWidth="1"/>
    <col min="44" max="44" width="20" customWidth="1"/>
  </cols>
  <sheetData>
    <row r="1" ht="18" customHeight="1" spans="1:44">
      <c r="A1" s="46" t="s">
        <v>56</v>
      </c>
      <c r="B1" s="47"/>
      <c r="C1" s="47"/>
      <c r="D1" s="47"/>
      <c r="E1" s="47"/>
      <c r="F1" s="47"/>
      <c r="G1" s="48"/>
      <c r="H1" s="49" t="s">
        <v>57</v>
      </c>
      <c r="I1" s="47"/>
      <c r="J1" s="47"/>
      <c r="K1" s="47"/>
      <c r="L1" s="47"/>
      <c r="M1" s="48"/>
      <c r="N1" s="50" t="s">
        <v>58</v>
      </c>
      <c r="O1" s="47"/>
      <c r="P1" s="47"/>
      <c r="Q1" s="47"/>
      <c r="R1" s="47"/>
      <c r="S1" s="48"/>
      <c r="T1" s="51" t="s">
        <v>59</v>
      </c>
      <c r="U1" s="47"/>
      <c r="V1" s="47"/>
      <c r="W1" s="47"/>
      <c r="X1" s="47"/>
      <c r="Y1" s="47"/>
      <c r="Z1" s="47"/>
      <c r="AA1" s="48"/>
      <c r="AB1" s="52" t="s">
        <v>60</v>
      </c>
      <c r="AC1" s="47"/>
      <c r="AD1" s="47"/>
      <c r="AE1" s="48"/>
      <c r="AF1" s="53" t="s">
        <v>61</v>
      </c>
      <c r="AG1" s="47"/>
      <c r="AH1" s="47"/>
      <c r="AI1" s="47"/>
      <c r="AJ1" s="47"/>
      <c r="AK1" s="48"/>
      <c r="AL1" s="54" t="s">
        <v>62</v>
      </c>
      <c r="AM1" s="55" t="s">
        <v>63</v>
      </c>
      <c r="AN1" s="47"/>
      <c r="AO1" s="47"/>
      <c r="AP1" s="48"/>
      <c r="AQ1" s="56" t="s">
        <v>64</v>
      </c>
      <c r="AR1" s="48"/>
    </row>
    <row r="2" ht="34" customHeight="1" spans="1:44">
      <c r="A2" s="57" t="s">
        <v>65</v>
      </c>
      <c r="B2" s="57" t="s">
        <v>66</v>
      </c>
      <c r="C2" s="57" t="s">
        <v>67</v>
      </c>
      <c r="D2" s="57" t="s">
        <v>68</v>
      </c>
      <c r="E2" s="57" t="s">
        <v>69</v>
      </c>
      <c r="F2" s="57" t="s">
        <v>43</v>
      </c>
      <c r="G2" s="57" t="s">
        <v>70</v>
      </c>
      <c r="H2" s="57" t="s">
        <v>71</v>
      </c>
      <c r="I2" s="57" t="s">
        <v>72</v>
      </c>
      <c r="J2" s="57" t="s">
        <v>73</v>
      </c>
      <c r="K2" s="57" t="s">
        <v>74</v>
      </c>
      <c r="L2" s="57" t="s">
        <v>75</v>
      </c>
      <c r="M2" s="57" t="s">
        <v>76</v>
      </c>
      <c r="N2" s="57" t="s">
        <v>77</v>
      </c>
      <c r="O2" s="57" t="s">
        <v>78</v>
      </c>
      <c r="P2" s="57" t="s">
        <v>79</v>
      </c>
      <c r="Q2" s="57" t="s">
        <v>80</v>
      </c>
      <c r="R2" s="57" t="s">
        <v>81</v>
      </c>
      <c r="S2" s="57" t="s">
        <v>82</v>
      </c>
      <c r="T2" s="57" t="s">
        <v>83</v>
      </c>
      <c r="U2" s="57" t="s">
        <v>84</v>
      </c>
      <c r="V2" s="57" t="s">
        <v>85</v>
      </c>
      <c r="W2" s="57" t="s">
        <v>86</v>
      </c>
      <c r="X2" s="57" t="s">
        <v>87</v>
      </c>
      <c r="Y2" s="57" t="s">
        <v>88</v>
      </c>
      <c r="Z2" s="57" t="s">
        <v>89</v>
      </c>
      <c r="AA2" s="57" t="s">
        <v>90</v>
      </c>
      <c r="AB2" s="57" t="s">
        <v>91</v>
      </c>
      <c r="AC2" s="57" t="s">
        <v>92</v>
      </c>
      <c r="AD2" s="57" t="s">
        <v>93</v>
      </c>
      <c r="AE2" s="57" t="s">
        <v>94</v>
      </c>
      <c r="AF2" s="57" t="s">
        <v>95</v>
      </c>
      <c r="AG2" s="57" t="s">
        <v>96</v>
      </c>
      <c r="AH2" s="57" t="s">
        <v>97</v>
      </c>
      <c r="AI2" s="57" t="s">
        <v>98</v>
      </c>
      <c r="AJ2" s="57" t="s">
        <v>99</v>
      </c>
      <c r="AK2" s="57" t="s">
        <v>100</v>
      </c>
      <c r="AL2" s="57" t="s">
        <v>101</v>
      </c>
      <c r="AM2" s="57" t="s">
        <v>102</v>
      </c>
      <c r="AN2" s="57" t="s">
        <v>103</v>
      </c>
      <c r="AO2" s="57" t="s">
        <v>104</v>
      </c>
      <c r="AP2" s="57" t="s">
        <v>105</v>
      </c>
      <c r="AQ2" s="57" t="s">
        <v>106</v>
      </c>
      <c r="AR2" s="57" t="s">
        <v>107</v>
      </c>
    </row>
    <row r="3" ht="58" customHeight="1" spans="1:44">
      <c r="A3" s="58">
        <f t="shared" ref="A3:A66" si="0">IF($B3="","",ROW()-2)</f>
        <v>1</v>
      </c>
      <c r="B3" s="59">
        <v>46265</v>
      </c>
      <c r="C3" s="60">
        <v>0.332418981481482</v>
      </c>
      <c r="D3" s="60">
        <v>0.333020833333333</v>
      </c>
      <c r="E3" s="58" t="str">
        <f t="shared" ref="E3:E66" si="1">IF($C3="","",IF(AND($C3&gt;=TIME(14,0,0),$C3&lt;TIME(19,30,0)),"London",IF(AND($C3&gt;=TIME(19,30,0),$C3&lt;TIME(23,0,0)),"Overlap LDN+NY",IF(OR($C3&gt;=TIME(23,0,0),$C3&lt;TIME(4,0,0)),"New York","Asia"))))</f>
        <v>Asia</v>
      </c>
      <c r="F3" s="61" t="s">
        <v>50</v>
      </c>
      <c r="G3" s="61" t="s">
        <v>108</v>
      </c>
      <c r="H3" s="61"/>
      <c r="I3" s="61"/>
      <c r="J3" s="61"/>
      <c r="K3" s="61"/>
      <c r="L3" s="61"/>
      <c r="M3" s="61"/>
      <c r="N3" s="62">
        <v>77918.24</v>
      </c>
      <c r="O3" s="62"/>
      <c r="P3" s="62"/>
      <c r="Q3" s="62">
        <v>77927.4</v>
      </c>
      <c r="R3" s="63" t="str">
        <f>IFERROR(IF(OR($N3="",$O3="",$F3=""),"",ROUND(('⚙️ Setelan'!$B$3*'⚙️ Setelan'!$B$4/100)/(ABS($N3-$O3)*VLOOKUP($F3,'⚙️ Setelan'!$A$14:$F$20,4,FALSE)),2)),"")</f>
        <v/>
      </c>
      <c r="S3" s="64">
        <v>0.1</v>
      </c>
      <c r="T3" s="65" t="str">
        <f>IFERROR(IF(OR($N3="",$O3="",$S3=""),"",ABS($N3-$O3)*$S3*VLOOKUP($F3,'⚙️ Setelan'!$A$14:$F$20,4,FALSE)),"")</f>
        <v/>
      </c>
      <c r="U3" s="63" t="str">
        <f t="shared" ref="U3:U66" si="2">IFERROR(IF(OR($N3="",$O3="",$P3=""),"",ROUND(ABS($P3-$N3)/ABS($N3-$O3),2)),"")</f>
        <v/>
      </c>
      <c r="V3" s="65">
        <f>IFERROR(IF(OR($Q3="",$N3="",$S3=""),"",($Q3-$N3)*IF($G3="Buy",1,-1)*$S3*VLOOKUP($F3,'⚙️ Setelan'!$A$14:$F$20,4,FALSE)),"")</f>
        <v>-0.916000000000349</v>
      </c>
      <c r="W3" s="65">
        <f>IFERROR(IF(OR($S3="",$F3=""),"",$S3*VLOOKUP($F3,'⚙️ Setelan'!$A$14:$F$20,5,FALSE)),"")</f>
        <v>0.875</v>
      </c>
      <c r="X3" s="65">
        <f t="shared" ref="X3:X66" si="3">IF($V3="","",$V3-IF($W3="",0,$W3))</f>
        <v>-1.79100000000035</v>
      </c>
      <c r="Y3" s="63" t="str">
        <f t="shared" ref="Y3:Y66" si="4">IF(OR($X3="",$T3="",$T3=0),"",ROUND($X3/$T3,2))</f>
        <v/>
      </c>
      <c r="Z3" s="58" t="str">
        <f t="shared" ref="Z3:Z66" si="5">IF($X3="","",IF($X3&gt;0,"Win",IF($X3&lt;0,"Loss","BE")))</f>
        <v>Loss</v>
      </c>
      <c r="AA3" s="66">
        <f t="shared" ref="AA3:AA66" si="6">IF(OR($C3="",$D3=""),"",ROUND(MOD($D3-$C3,1)*1440,0))</f>
        <v>1</v>
      </c>
      <c r="AB3" s="62"/>
      <c r="AC3" s="62"/>
      <c r="AD3" s="63" t="str">
        <f>IFERROR(IF(OR($AB3="",$T3="",$T3=0),"",ROUND(ABS($N3-$AB3)*$S3*VLOOKUP($F3,'⚙️ Setelan'!$A$14:$F$20,4,FALSE)/$T3,2)),"")</f>
        <v/>
      </c>
      <c r="AE3" s="63" t="str">
        <f>IFERROR(IF(OR($AC3="",$T3="",$T3=0),"",ROUND(ABS($AC3-$N3)*$S3*VLOOKUP($F3,'⚙️ Setelan'!$A$14:$F$20,4,FALSE)/$T3,2)),"")</f>
        <v/>
      </c>
      <c r="AF3" s="61"/>
      <c r="AG3" s="61"/>
      <c r="AH3" s="61"/>
      <c r="AI3" s="61"/>
      <c r="AJ3" s="61"/>
      <c r="AK3" s="67" t="s">
        <v>109</v>
      </c>
      <c r="AL3" s="58" t="str">
        <f>""</f>
        <v/>
      </c>
      <c r="AM3" s="68"/>
      <c r="AN3" s="58" t="str">
        <f>IF($AM3="","",IFERROR(_xlfn.IMAGE(IF(REGEXMATCH($AM3,"\.(png|jpg|jpeg|gif)$"),$AM3,"https://s3.tradingview.com/snapshots/"&amp;LOWER(MID(REGEXEXTRACT($AM3,"/x/([A-Za-z0-9]+)"),1,1))&amp;"/"&amp;REGEXEXTRACT($AM3,"/x/([A-Za-z0-9]+)")&amp;".png"),1),"⚠️ link tidak dikenali"))</f>
        <v/>
      </c>
      <c r="AO3" s="68"/>
      <c r="AP3" s="58" t="str">
        <f>IF($AO3="","",IFERROR(_xlfn.IMAGE(IF(REGEXMATCH($AO3,"\.(png|jpg|jpeg|gif)$"),$AO3,"https://s3.tradingview.com/snapshots/"&amp;LOWER(MID(REGEXEXTRACT($AO3,"/x/([A-Za-z0-9]+)"),1,1))&amp;"/"&amp;REGEXEXTRACT($AO3,"/x/([A-Za-z0-9]+)")&amp;".png"),1),"⚠️ link tidak dikenali"))</f>
        <v/>
      </c>
      <c r="AQ3" s="66">
        <f>IF($Z3="",0,IF(AND(OR('📊 Dashboard'!$B$4="(Semua)",$F3='📊 Dashboard'!$B$4),OR('📊 Dashboard'!$B$5="(Semua)",$H3='📊 Dashboard'!$B$5),OR('📊 Dashboard'!$B$6="(Semua)",$E3='📊 Dashboard'!$B$6),OR('📊 Dashboard'!$B$7="(Semua)",$AF3='📊 Dashboard'!$B$7),OR('📊 Dashboard'!$B$8="(Semua)",$AG3='📊 Dashboard'!$B$8),OR('📊 Dashboard'!$B$9="(Semua)",$K3='📊 Dashboard'!$B$9)),1,0))</f>
        <v>1</v>
      </c>
      <c r="AR3" s="69" t="s">
        <v>110</v>
      </c>
    </row>
    <row r="4" ht="58" customHeight="1" spans="1:44">
      <c r="A4" s="58">
        <f t="shared" si="0"/>
        <v>2</v>
      </c>
      <c r="B4" s="59">
        <v>46265</v>
      </c>
      <c r="C4" s="60">
        <v>0.33244212962963</v>
      </c>
      <c r="D4" s="60">
        <v>0.333020833333333</v>
      </c>
      <c r="E4" s="58" t="str">
        <f t="shared" si="1"/>
        <v>Asia</v>
      </c>
      <c r="F4" s="61" t="s">
        <v>50</v>
      </c>
      <c r="G4" s="61" t="s">
        <v>108</v>
      </c>
      <c r="H4" s="61"/>
      <c r="I4" s="61"/>
      <c r="J4" s="61"/>
      <c r="K4" s="61"/>
      <c r="L4" s="61"/>
      <c r="M4" s="61"/>
      <c r="N4" s="62">
        <v>77919.68</v>
      </c>
      <c r="O4" s="62"/>
      <c r="P4" s="62"/>
      <c r="Q4" s="62">
        <v>77927.4</v>
      </c>
      <c r="R4" s="63" t="str">
        <f>IFERROR(IF(OR($N4="",$O4="",$F4=""),"",ROUND(('⚙️ Setelan'!$B$3*'⚙️ Setelan'!$B$4/100)/(ABS($N4-$O4)*VLOOKUP($F4,'⚙️ Setelan'!$A$14:$F$20,4,FALSE)),2)),"")</f>
        <v/>
      </c>
      <c r="S4" s="64">
        <v>0.1</v>
      </c>
      <c r="T4" s="65" t="str">
        <f>IFERROR(IF(OR($N4="",$O4="",$S4=""),"",ABS($N4-$O4)*$S4*VLOOKUP($F4,'⚙️ Setelan'!$A$14:$F$20,4,FALSE)),"")</f>
        <v/>
      </c>
      <c r="U4" s="63" t="str">
        <f t="shared" si="2"/>
        <v/>
      </c>
      <c r="V4" s="65">
        <f>IFERROR(IF(OR($Q4="",$N4="",$S4=""),"",($Q4-$N4)*IF($G4="Buy",1,-1)*$S4*VLOOKUP($F4,'⚙️ Setelan'!$A$14:$F$20,4,FALSE)),"")</f>
        <v>-0.772000000001572</v>
      </c>
      <c r="W4" s="65">
        <f>IFERROR(IF(OR($S4="",$F4=""),"",$S4*VLOOKUP($F4,'⚙️ Setelan'!$A$14:$F$20,5,FALSE)),"")</f>
        <v>0.875</v>
      </c>
      <c r="X4" s="65">
        <f t="shared" si="3"/>
        <v>-1.64700000000157</v>
      </c>
      <c r="Y4" s="63" t="str">
        <f t="shared" si="4"/>
        <v/>
      </c>
      <c r="Z4" s="58" t="str">
        <f t="shared" si="5"/>
        <v>Loss</v>
      </c>
      <c r="AA4" s="66">
        <f t="shared" si="6"/>
        <v>1</v>
      </c>
      <c r="AB4" s="62"/>
      <c r="AC4" s="62"/>
      <c r="AD4" s="63" t="str">
        <f>IFERROR(IF(OR($AB4="",$T4="",$T4=0),"",ROUND(ABS($N4-$AB4)*$S4*VLOOKUP($F4,'⚙️ Setelan'!$A$14:$F$20,4,FALSE)/$T4,2)),"")</f>
        <v/>
      </c>
      <c r="AE4" s="63" t="str">
        <f>IFERROR(IF(OR($AC4="",$T4="",$T4=0),"",ROUND(ABS($AC4-$N4)*$S4*VLOOKUP($F4,'⚙️ Setelan'!$A$14:$F$20,4,FALSE)/$T4,2)),"")</f>
        <v/>
      </c>
      <c r="AF4" s="61"/>
      <c r="AG4" s="61"/>
      <c r="AH4" s="61"/>
      <c r="AI4" s="61"/>
      <c r="AJ4" s="61"/>
      <c r="AK4" s="67" t="s">
        <v>109</v>
      </c>
      <c r="AL4" s="58" t="str">
        <f>IF(OR($C4="",$B4=""),"",IF(AND($Z3="Loss",$B4=$B3,MOD($C4-$D3,1)*1440&lt;'⚙️ Setelan'!$B$9),"⚠️ Revenge",""))</f>
        <v/>
      </c>
      <c r="AM4" s="68"/>
      <c r="AN4" s="58" t="str">
        <f>IF($AM4="","",IFERROR(_xlfn.IMAGE(IF(REGEXMATCH($AM4,"\.(png|jpg|jpeg|gif)$"),$AM4,"https://s3.tradingview.com/snapshots/"&amp;LOWER(MID(REGEXEXTRACT($AM4,"/x/([A-Za-z0-9]+)"),1,1))&amp;"/"&amp;REGEXEXTRACT($AM4,"/x/([A-Za-z0-9]+)")&amp;".png"),1),"⚠️ link tidak dikenali"))</f>
        <v/>
      </c>
      <c r="AO4" s="68"/>
      <c r="AP4" s="58" t="str">
        <f>IF($AO4="","",IFERROR(_xlfn.IMAGE(IF(REGEXMATCH($AO4,"\.(png|jpg|jpeg|gif)$"),$AO4,"https://s3.tradingview.com/snapshots/"&amp;LOWER(MID(REGEXEXTRACT($AO4,"/x/([A-Za-z0-9]+)"),1,1))&amp;"/"&amp;REGEXEXTRACT($AO4,"/x/([A-Za-z0-9]+)")&amp;".png"),1),"⚠️ link tidak dikenali"))</f>
        <v/>
      </c>
      <c r="AQ4" s="66">
        <f>IF($Z4="",0,IF(AND(OR('📊 Dashboard'!$B$4="(Semua)",$F4='📊 Dashboard'!$B$4),OR('📊 Dashboard'!$B$5="(Semua)",$H4='📊 Dashboard'!$B$5),OR('📊 Dashboard'!$B$6="(Semua)",$E4='📊 Dashboard'!$B$6),OR('📊 Dashboard'!$B$7="(Semua)",$AF4='📊 Dashboard'!$B$7),OR('📊 Dashboard'!$B$8="(Semua)",$AG4='📊 Dashboard'!$B$8),OR('📊 Dashboard'!$B$9="(Semua)",$K4='📊 Dashboard'!$B$9)),1,0))</f>
        <v>1</v>
      </c>
      <c r="AR4" s="69" t="s">
        <v>111</v>
      </c>
    </row>
    <row r="5" ht="58" customHeight="1" spans="1:44">
      <c r="A5" s="58">
        <f t="shared" si="0"/>
        <v>3</v>
      </c>
      <c r="B5" s="59">
        <v>46265</v>
      </c>
      <c r="C5" s="60">
        <v>0.333402777777778</v>
      </c>
      <c r="D5" s="60">
        <v>0.333680555555555</v>
      </c>
      <c r="E5" s="58" t="str">
        <f t="shared" si="1"/>
        <v>Asia</v>
      </c>
      <c r="F5" s="61" t="s">
        <v>49</v>
      </c>
      <c r="G5" s="61" t="s">
        <v>108</v>
      </c>
      <c r="H5" s="61"/>
      <c r="I5" s="61"/>
      <c r="J5" s="61"/>
      <c r="K5" s="61"/>
      <c r="L5" s="61"/>
      <c r="M5" s="61"/>
      <c r="N5" s="62">
        <v>4453.46</v>
      </c>
      <c r="O5" s="62"/>
      <c r="P5" s="62"/>
      <c r="Q5" s="62">
        <v>4448.468</v>
      </c>
      <c r="R5" s="63" t="str">
        <f>IFERROR(IF(OR($N5="",$O5="",$F5=""),"",ROUND(('⚙️ Setelan'!$B$3*'⚙️ Setelan'!$B$4/100)/(ABS($N5-$O5)*VLOOKUP($F5,'⚙️ Setelan'!$A$14:$F$20,4,FALSE)),2)),"")</f>
        <v/>
      </c>
      <c r="S5" s="64">
        <v>0.09</v>
      </c>
      <c r="T5" s="65" t="str">
        <f>IFERROR(IF(OR($N5="",$O5="",$S5=""),"",ABS($N5-$O5)*$S5*VLOOKUP($F5,'⚙️ Setelan'!$A$14:$F$20,4,FALSE)),"")</f>
        <v/>
      </c>
      <c r="U5" s="63" t="str">
        <f t="shared" si="2"/>
        <v/>
      </c>
      <c r="V5" s="65">
        <f>IFERROR(IF(OR($Q5="",$N5="",$S5=""),"",($Q5-$N5)*IF($G5="Buy",1,-1)*$S5*VLOOKUP($F5,'⚙️ Setelan'!$A$14:$F$20,4,FALSE)),"")</f>
        <v>44.9280000000017</v>
      </c>
      <c r="W5" s="65">
        <f>IFERROR(IF(OR($S5="",$F5=""),"",$S5*VLOOKUP($F5,'⚙️ Setelan'!$A$14:$F$20,5,FALSE)),"")</f>
        <v>0.99</v>
      </c>
      <c r="X5" s="65">
        <f t="shared" si="3"/>
        <v>43.9380000000017</v>
      </c>
      <c r="Y5" s="63" t="str">
        <f t="shared" si="4"/>
        <v/>
      </c>
      <c r="Z5" s="58" t="str">
        <f t="shared" si="5"/>
        <v>Win</v>
      </c>
      <c r="AA5" s="66">
        <f t="shared" si="6"/>
        <v>0</v>
      </c>
      <c r="AB5" s="62"/>
      <c r="AC5" s="62"/>
      <c r="AD5" s="63" t="str">
        <f>IFERROR(IF(OR($AB5="",$T5="",$T5=0),"",ROUND(ABS($N5-$AB5)*$S5*VLOOKUP($F5,'⚙️ Setelan'!$A$14:$F$20,4,FALSE)/$T5,2)),"")</f>
        <v/>
      </c>
      <c r="AE5" s="63" t="str">
        <f>IFERROR(IF(OR($AC5="",$T5="",$T5=0),"",ROUND(ABS($AC5-$N5)*$S5*VLOOKUP($F5,'⚙️ Setelan'!$A$14:$F$20,4,FALSE)/$T5,2)),"")</f>
        <v/>
      </c>
      <c r="AF5" s="61"/>
      <c r="AG5" s="61"/>
      <c r="AH5" s="61"/>
      <c r="AI5" s="61"/>
      <c r="AJ5" s="61"/>
      <c r="AK5" s="67" t="s">
        <v>109</v>
      </c>
      <c r="AL5" s="58" t="str">
        <f>IF(OR($C5="",$B5=""),"",IF(AND($Z4="Loss",$B5=$B4,MOD($C5-$D4,1)*1440&lt;'⚙️ Setelan'!$B$9),"⚠️ Revenge",""))</f>
        <v>⚠️ Revenge</v>
      </c>
      <c r="AM5" s="68"/>
      <c r="AN5" s="58" t="str">
        <f>IF($AM5="","",IFERROR(_xlfn.IMAGE(IF(REGEXMATCH($AM5,"\.(png|jpg|jpeg|gif)$"),$AM5,"https://s3.tradingview.com/snapshots/"&amp;LOWER(MID(REGEXEXTRACT($AM5,"/x/([A-Za-z0-9]+)"),1,1))&amp;"/"&amp;REGEXEXTRACT($AM5,"/x/([A-Za-z0-9]+)")&amp;".png"),1),"⚠️ link tidak dikenali"))</f>
        <v/>
      </c>
      <c r="AO5" s="68"/>
      <c r="AP5" s="58" t="str">
        <f>IF($AO5="","",IFERROR(_xlfn.IMAGE(IF(REGEXMATCH($AO5,"\.(png|jpg|jpeg|gif)$"),$AO5,"https://s3.tradingview.com/snapshots/"&amp;LOWER(MID(REGEXEXTRACT($AO5,"/x/([A-Za-z0-9]+)"),1,1))&amp;"/"&amp;REGEXEXTRACT($AO5,"/x/([A-Za-z0-9]+)")&amp;".png"),1),"⚠️ link tidak dikenali"))</f>
        <v/>
      </c>
      <c r="AQ5" s="66">
        <f>IF($Z5="",0,IF(AND(OR('📊 Dashboard'!$B$4="(Semua)",$F5='📊 Dashboard'!$B$4),OR('📊 Dashboard'!$B$5="(Semua)",$H5='📊 Dashboard'!$B$5),OR('📊 Dashboard'!$B$6="(Semua)",$E5='📊 Dashboard'!$B$6),OR('📊 Dashboard'!$B$7="(Semua)",$AF5='📊 Dashboard'!$B$7),OR('📊 Dashboard'!$B$8="(Semua)",$AG5='📊 Dashboard'!$B$8),OR('📊 Dashboard'!$B$9="(Semua)",$K5='📊 Dashboard'!$B$9)),1,0))</f>
        <v>1</v>
      </c>
      <c r="AR5" s="69" t="s">
        <v>112</v>
      </c>
    </row>
    <row r="6" ht="58" customHeight="1" spans="1:44">
      <c r="A6" s="58">
        <f t="shared" si="0"/>
        <v>4</v>
      </c>
      <c r="B6" s="59">
        <v>46265</v>
      </c>
      <c r="C6" s="60">
        <v>0.333402777777778</v>
      </c>
      <c r="D6" s="60">
        <v>0.333680555555555</v>
      </c>
      <c r="E6" s="58" t="str">
        <f t="shared" si="1"/>
        <v>Asia</v>
      </c>
      <c r="F6" s="61" t="s">
        <v>49</v>
      </c>
      <c r="G6" s="61" t="s">
        <v>108</v>
      </c>
      <c r="H6" s="61"/>
      <c r="I6" s="61"/>
      <c r="J6" s="61"/>
      <c r="K6" s="61"/>
      <c r="L6" s="61"/>
      <c r="M6" s="61"/>
      <c r="N6" s="62">
        <v>4453.46</v>
      </c>
      <c r="O6" s="62"/>
      <c r="P6" s="62"/>
      <c r="Q6" s="62">
        <v>4448.468</v>
      </c>
      <c r="R6" s="63" t="str">
        <f>IFERROR(IF(OR($N6="",$O6="",$F6=""),"",ROUND(('⚙️ Setelan'!$B$3*'⚙️ Setelan'!$B$4/100)/(ABS($N6-$O6)*VLOOKUP($F6,'⚙️ Setelan'!$A$14:$F$20,4,FALSE)),2)),"")</f>
        <v/>
      </c>
      <c r="S6" s="64">
        <v>0.09</v>
      </c>
      <c r="T6" s="65" t="str">
        <f>IFERROR(IF(OR($N6="",$O6="",$S6=""),"",ABS($N6-$O6)*$S6*VLOOKUP($F6,'⚙️ Setelan'!$A$14:$F$20,4,FALSE)),"")</f>
        <v/>
      </c>
      <c r="U6" s="63" t="str">
        <f t="shared" si="2"/>
        <v/>
      </c>
      <c r="V6" s="65">
        <f>IFERROR(IF(OR($Q6="",$N6="",$S6=""),"",($Q6-$N6)*IF($G6="Buy",1,-1)*$S6*VLOOKUP($F6,'⚙️ Setelan'!$A$14:$F$20,4,FALSE)),"")</f>
        <v>44.9280000000017</v>
      </c>
      <c r="W6" s="65">
        <f>IFERROR(IF(OR($S6="",$F6=""),"",$S6*VLOOKUP($F6,'⚙️ Setelan'!$A$14:$F$20,5,FALSE)),"")</f>
        <v>0.99</v>
      </c>
      <c r="X6" s="65">
        <f t="shared" si="3"/>
        <v>43.9380000000017</v>
      </c>
      <c r="Y6" s="63" t="str">
        <f t="shared" si="4"/>
        <v/>
      </c>
      <c r="Z6" s="58" t="str">
        <f t="shared" si="5"/>
        <v>Win</v>
      </c>
      <c r="AA6" s="66">
        <f t="shared" si="6"/>
        <v>0</v>
      </c>
      <c r="AB6" s="62"/>
      <c r="AC6" s="62"/>
      <c r="AD6" s="63" t="str">
        <f>IFERROR(IF(OR($AB6="",$T6="",$T6=0),"",ROUND(ABS($N6-$AB6)*$S6*VLOOKUP($F6,'⚙️ Setelan'!$A$14:$F$20,4,FALSE)/$T6,2)),"")</f>
        <v/>
      </c>
      <c r="AE6" s="63" t="str">
        <f>IFERROR(IF(OR($AC6="",$T6="",$T6=0),"",ROUND(ABS($AC6-$N6)*$S6*VLOOKUP($F6,'⚙️ Setelan'!$A$14:$F$20,4,FALSE)/$T6,2)),"")</f>
        <v/>
      </c>
      <c r="AF6" s="61"/>
      <c r="AG6" s="61"/>
      <c r="AH6" s="61"/>
      <c r="AI6" s="61"/>
      <c r="AJ6" s="61"/>
      <c r="AK6" s="67" t="s">
        <v>109</v>
      </c>
      <c r="AL6" s="58" t="str">
        <f>IF(OR($C6="",$B6=""),"",IF(AND($Z5="Loss",$B6=$B5,MOD($C6-$D5,1)*1440&lt;'⚙️ Setelan'!$B$9),"⚠️ Revenge",""))</f>
        <v/>
      </c>
      <c r="AM6" s="68"/>
      <c r="AN6" s="58" t="str">
        <f>IF($AM6="","",IFERROR(_xlfn.IMAGE(IF(REGEXMATCH($AM6,"\.(png|jpg|jpeg|gif)$"),$AM6,"https://s3.tradingview.com/snapshots/"&amp;LOWER(MID(REGEXEXTRACT($AM6,"/x/([A-Za-z0-9]+)"),1,1))&amp;"/"&amp;REGEXEXTRACT($AM6,"/x/([A-Za-z0-9]+)")&amp;".png"),1),"⚠️ link tidak dikenali"))</f>
        <v/>
      </c>
      <c r="AO6" s="68"/>
      <c r="AP6" s="58" t="str">
        <f>IF($AO6="","",IFERROR(_xlfn.IMAGE(IF(REGEXMATCH($AO6,"\.(png|jpg|jpeg|gif)$"),$AO6,"https://s3.tradingview.com/snapshots/"&amp;LOWER(MID(REGEXEXTRACT($AO6,"/x/([A-Za-z0-9]+)"),1,1))&amp;"/"&amp;REGEXEXTRACT($AO6,"/x/([A-Za-z0-9]+)")&amp;".png"),1),"⚠️ link tidak dikenali"))</f>
        <v/>
      </c>
      <c r="AQ6" s="66">
        <f>IF($Z6="",0,IF(AND(OR('📊 Dashboard'!$B$4="(Semua)",$F6='📊 Dashboard'!$B$4),OR('📊 Dashboard'!$B$5="(Semua)",$H6='📊 Dashboard'!$B$5),OR('📊 Dashboard'!$B$6="(Semua)",$E6='📊 Dashboard'!$B$6),OR('📊 Dashboard'!$B$7="(Semua)",$AF6='📊 Dashboard'!$B$7),OR('📊 Dashboard'!$B$8="(Semua)",$AG6='📊 Dashboard'!$B$8),OR('📊 Dashboard'!$B$9="(Semua)",$K6='📊 Dashboard'!$B$9)),1,0))</f>
        <v>1</v>
      </c>
      <c r="AR6" s="69" t="s">
        <v>113</v>
      </c>
    </row>
    <row r="7" ht="58" customHeight="1" spans="1:44">
      <c r="A7" s="58">
        <f t="shared" si="0"/>
        <v>5</v>
      </c>
      <c r="B7" s="59">
        <v>46265</v>
      </c>
      <c r="C7" s="60">
        <v>0.371782407407407</v>
      </c>
      <c r="D7" s="60">
        <v>0.374386574074074</v>
      </c>
      <c r="E7" s="58" t="str">
        <f t="shared" si="1"/>
        <v>Asia</v>
      </c>
      <c r="F7" s="61" t="s">
        <v>49</v>
      </c>
      <c r="G7" s="61" t="s">
        <v>108</v>
      </c>
      <c r="H7" s="61"/>
      <c r="I7" s="61"/>
      <c r="J7" s="61"/>
      <c r="K7" s="61"/>
      <c r="L7" s="61"/>
      <c r="M7" s="61"/>
      <c r="N7" s="62">
        <v>4442.994</v>
      </c>
      <c r="O7" s="62"/>
      <c r="P7" s="62"/>
      <c r="Q7" s="62">
        <v>4440.126</v>
      </c>
      <c r="R7" s="63" t="str">
        <f>IFERROR(IF(OR($N7="",$O7="",$F7=""),"",ROUND(('⚙️ Setelan'!$B$3*'⚙️ Setelan'!$B$4/100)/(ABS($N7-$O7)*VLOOKUP($F7,'⚙️ Setelan'!$A$14:$F$20,4,FALSE)),2)),"")</f>
        <v/>
      </c>
      <c r="S7" s="64">
        <v>0.09</v>
      </c>
      <c r="T7" s="65" t="str">
        <f>IFERROR(IF(OR($N7="",$O7="",$S7=""),"",ABS($N7-$O7)*$S7*VLOOKUP($F7,'⚙️ Setelan'!$A$14:$F$20,4,FALSE)),"")</f>
        <v/>
      </c>
      <c r="U7" s="63" t="str">
        <f t="shared" si="2"/>
        <v/>
      </c>
      <c r="V7" s="65">
        <f>IFERROR(IF(OR($Q7="",$N7="",$S7=""),"",($Q7-$N7)*IF($G7="Buy",1,-1)*$S7*VLOOKUP($F7,'⚙️ Setelan'!$A$14:$F$20,4,FALSE)),"")</f>
        <v>25.8119999999954</v>
      </c>
      <c r="W7" s="65">
        <f>IFERROR(IF(OR($S7="",$F7=""),"",$S7*VLOOKUP($F7,'⚙️ Setelan'!$A$14:$F$20,5,FALSE)),"")</f>
        <v>0.99</v>
      </c>
      <c r="X7" s="65">
        <f t="shared" si="3"/>
        <v>24.8219999999954</v>
      </c>
      <c r="Y7" s="63" t="str">
        <f t="shared" si="4"/>
        <v/>
      </c>
      <c r="Z7" s="58" t="str">
        <f t="shared" si="5"/>
        <v>Win</v>
      </c>
      <c r="AA7" s="66">
        <f t="shared" si="6"/>
        <v>4</v>
      </c>
      <c r="AB7" s="62"/>
      <c r="AC7" s="62"/>
      <c r="AD7" s="63" t="str">
        <f>IFERROR(IF(OR($AB7="",$T7="",$T7=0),"",ROUND(ABS($N7-$AB7)*$S7*VLOOKUP($F7,'⚙️ Setelan'!$A$14:$F$20,4,FALSE)/$T7,2)),"")</f>
        <v/>
      </c>
      <c r="AE7" s="63" t="str">
        <f>IFERROR(IF(OR($AC7="",$T7="",$T7=0),"",ROUND(ABS($AC7-$N7)*$S7*VLOOKUP($F7,'⚙️ Setelan'!$A$14:$F$20,4,FALSE)/$T7,2)),"")</f>
        <v/>
      </c>
      <c r="AF7" s="61"/>
      <c r="AG7" s="61"/>
      <c r="AH7" s="61"/>
      <c r="AI7" s="61"/>
      <c r="AJ7" s="61"/>
      <c r="AK7" s="67" t="s">
        <v>109</v>
      </c>
      <c r="AL7" s="58" t="str">
        <f>IF(OR($C7="",$B7=""),"",IF(AND($Z6="Loss",$B7=$B6,MOD($C7-$D6,1)*1440&lt;'⚙️ Setelan'!$B$9),"⚠️ Revenge",""))</f>
        <v/>
      </c>
      <c r="AM7" s="68"/>
      <c r="AN7" s="58" t="str">
        <f>IF($AM7="","",IFERROR(_xlfn.IMAGE(IF(REGEXMATCH($AM7,"\.(png|jpg|jpeg|gif)$"),$AM7,"https://s3.tradingview.com/snapshots/"&amp;LOWER(MID(REGEXEXTRACT($AM7,"/x/([A-Za-z0-9]+)"),1,1))&amp;"/"&amp;REGEXEXTRACT($AM7,"/x/([A-Za-z0-9]+)")&amp;".png"),1),"⚠️ link tidak dikenali"))</f>
        <v/>
      </c>
      <c r="AO7" s="68"/>
      <c r="AP7" s="58" t="str">
        <f>IF($AO7="","",IFERROR(_xlfn.IMAGE(IF(REGEXMATCH($AO7,"\.(png|jpg|jpeg|gif)$"),$AO7,"https://s3.tradingview.com/snapshots/"&amp;LOWER(MID(REGEXEXTRACT($AO7,"/x/([A-Za-z0-9]+)"),1,1))&amp;"/"&amp;REGEXEXTRACT($AO7,"/x/([A-Za-z0-9]+)")&amp;".png"),1),"⚠️ link tidak dikenali"))</f>
        <v/>
      </c>
      <c r="AQ7" s="66">
        <f>IF($Z7="",0,IF(AND(OR('📊 Dashboard'!$B$4="(Semua)",$F7='📊 Dashboard'!$B$4),OR('📊 Dashboard'!$B$5="(Semua)",$H7='📊 Dashboard'!$B$5),OR('📊 Dashboard'!$B$6="(Semua)",$E7='📊 Dashboard'!$B$6),OR('📊 Dashboard'!$B$7="(Semua)",$AF7='📊 Dashboard'!$B$7),OR('📊 Dashboard'!$B$8="(Semua)",$AG7='📊 Dashboard'!$B$8),OR('📊 Dashboard'!$B$9="(Semua)",$K7='📊 Dashboard'!$B$9)),1,0))</f>
        <v>1</v>
      </c>
      <c r="AR7" s="69" t="s">
        <v>114</v>
      </c>
    </row>
    <row r="8" ht="58" customHeight="1" spans="1:44">
      <c r="A8" s="58">
        <f t="shared" si="0"/>
        <v>6</v>
      </c>
      <c r="B8" s="59">
        <v>46265</v>
      </c>
      <c r="C8" s="60">
        <v>0.371782407407407</v>
      </c>
      <c r="D8" s="60">
        <v>0.374386574074074</v>
      </c>
      <c r="E8" s="58" t="str">
        <f t="shared" si="1"/>
        <v>Asia</v>
      </c>
      <c r="F8" s="61" t="s">
        <v>49</v>
      </c>
      <c r="G8" s="61" t="s">
        <v>108</v>
      </c>
      <c r="H8" s="61"/>
      <c r="I8" s="61"/>
      <c r="J8" s="61"/>
      <c r="K8" s="61"/>
      <c r="L8" s="61"/>
      <c r="M8" s="61"/>
      <c r="N8" s="62">
        <v>4442.994</v>
      </c>
      <c r="O8" s="62"/>
      <c r="P8" s="62"/>
      <c r="Q8" s="62">
        <v>4440.261</v>
      </c>
      <c r="R8" s="63" t="str">
        <f>IFERROR(IF(OR($N8="",$O8="",$F8=""),"",ROUND(('⚙️ Setelan'!$B$3*'⚙️ Setelan'!$B$4/100)/(ABS($N8-$O8)*VLOOKUP($F8,'⚙️ Setelan'!$A$14:$F$20,4,FALSE)),2)),"")</f>
        <v/>
      </c>
      <c r="S8" s="64">
        <v>0.09</v>
      </c>
      <c r="T8" s="65" t="str">
        <f>IFERROR(IF(OR($N8="",$O8="",$S8=""),"",ABS($N8-$O8)*$S8*VLOOKUP($F8,'⚙️ Setelan'!$A$14:$F$20,4,FALSE)),"")</f>
        <v/>
      </c>
      <c r="U8" s="63" t="str">
        <f t="shared" si="2"/>
        <v/>
      </c>
      <c r="V8" s="65">
        <f>IFERROR(IF(OR($Q8="",$N8="",$S8=""),"",($Q8-$N8)*IF($G8="Buy",1,-1)*$S8*VLOOKUP($F8,'⚙️ Setelan'!$A$14:$F$20,4,FALSE)),"")</f>
        <v>24.5969999999934</v>
      </c>
      <c r="W8" s="65">
        <f>IFERROR(IF(OR($S8="",$F8=""),"",$S8*VLOOKUP($F8,'⚙️ Setelan'!$A$14:$F$20,5,FALSE)),"")</f>
        <v>0.99</v>
      </c>
      <c r="X8" s="65">
        <f t="shared" si="3"/>
        <v>23.6069999999934</v>
      </c>
      <c r="Y8" s="63" t="str">
        <f t="shared" si="4"/>
        <v/>
      </c>
      <c r="Z8" s="58" t="str">
        <f t="shared" si="5"/>
        <v>Win</v>
      </c>
      <c r="AA8" s="66">
        <f t="shared" si="6"/>
        <v>4</v>
      </c>
      <c r="AB8" s="62"/>
      <c r="AC8" s="62"/>
      <c r="AD8" s="63" t="str">
        <f>IFERROR(IF(OR($AB8="",$T8="",$T8=0),"",ROUND(ABS($N8-$AB8)*$S8*VLOOKUP($F8,'⚙️ Setelan'!$A$14:$F$20,4,FALSE)/$T8,2)),"")</f>
        <v/>
      </c>
      <c r="AE8" s="63" t="str">
        <f>IFERROR(IF(OR($AC8="",$T8="",$T8=0),"",ROUND(ABS($AC8-$N8)*$S8*VLOOKUP($F8,'⚙️ Setelan'!$A$14:$F$20,4,FALSE)/$T8,2)),"")</f>
        <v/>
      </c>
      <c r="AF8" s="61"/>
      <c r="AG8" s="61"/>
      <c r="AH8" s="61"/>
      <c r="AI8" s="61"/>
      <c r="AJ8" s="61"/>
      <c r="AK8" s="67" t="s">
        <v>109</v>
      </c>
      <c r="AL8" s="58" t="str">
        <f>IF(OR($C8="",$B8=""),"",IF(AND($Z7="Loss",$B8=$B7,MOD($C8-$D7,1)*1440&lt;'⚙️ Setelan'!$B$9),"⚠️ Revenge",""))</f>
        <v/>
      </c>
      <c r="AM8" s="68"/>
      <c r="AN8" s="58" t="str">
        <f>IF($AM8="","",IFERROR(_xlfn.IMAGE(IF(REGEXMATCH($AM8,"\.(png|jpg|jpeg|gif)$"),$AM8,"https://s3.tradingview.com/snapshots/"&amp;LOWER(MID(REGEXEXTRACT($AM8,"/x/([A-Za-z0-9]+)"),1,1))&amp;"/"&amp;REGEXEXTRACT($AM8,"/x/([A-Za-z0-9]+)")&amp;".png"),1),"⚠️ link tidak dikenali"))</f>
        <v/>
      </c>
      <c r="AO8" s="68"/>
      <c r="AP8" s="58" t="str">
        <f>IF($AO8="","",IFERROR(_xlfn.IMAGE(IF(REGEXMATCH($AO8,"\.(png|jpg|jpeg|gif)$"),$AO8,"https://s3.tradingview.com/snapshots/"&amp;LOWER(MID(REGEXEXTRACT($AO8,"/x/([A-Za-z0-9]+)"),1,1))&amp;"/"&amp;REGEXEXTRACT($AO8,"/x/([A-Za-z0-9]+)")&amp;".png"),1),"⚠️ link tidak dikenali"))</f>
        <v/>
      </c>
      <c r="AQ8" s="66">
        <f>IF($Z8="",0,IF(AND(OR('📊 Dashboard'!$B$4="(Semua)",$F8='📊 Dashboard'!$B$4),OR('📊 Dashboard'!$B$5="(Semua)",$H8='📊 Dashboard'!$B$5),OR('📊 Dashboard'!$B$6="(Semua)",$E8='📊 Dashboard'!$B$6),OR('📊 Dashboard'!$B$7="(Semua)",$AF8='📊 Dashboard'!$B$7),OR('📊 Dashboard'!$B$8="(Semua)",$AG8='📊 Dashboard'!$B$8),OR('📊 Dashboard'!$B$9="(Semua)",$K8='📊 Dashboard'!$B$9)),1,0))</f>
        <v>1</v>
      </c>
      <c r="AR8" s="69" t="s">
        <v>115</v>
      </c>
    </row>
    <row r="9" ht="58" customHeight="1" spans="1:44">
      <c r="A9" s="58">
        <f t="shared" si="0"/>
        <v>7</v>
      </c>
      <c r="B9" s="59">
        <v>46265</v>
      </c>
      <c r="C9" s="60">
        <v>0.375856481481481</v>
      </c>
      <c r="D9" s="60">
        <v>0.376585648148148</v>
      </c>
      <c r="E9" s="58" t="str">
        <f t="shared" si="1"/>
        <v>Asia</v>
      </c>
      <c r="F9" s="61" t="s">
        <v>49</v>
      </c>
      <c r="G9" s="61" t="s">
        <v>108</v>
      </c>
      <c r="H9" s="61"/>
      <c r="I9" s="61"/>
      <c r="J9" s="61"/>
      <c r="K9" s="61"/>
      <c r="L9" s="61"/>
      <c r="M9" s="61"/>
      <c r="N9" s="62">
        <v>4434.113</v>
      </c>
      <c r="O9" s="62"/>
      <c r="P9" s="62"/>
      <c r="Q9" s="62">
        <v>4430.431</v>
      </c>
      <c r="R9" s="63" t="str">
        <f>IFERROR(IF(OR($N9="",$O9="",$F9=""),"",ROUND(('⚙️ Setelan'!$B$3*'⚙️ Setelan'!$B$4/100)/(ABS($N9-$O9)*VLOOKUP($F9,'⚙️ Setelan'!$A$14:$F$20,4,FALSE)),2)),"")</f>
        <v/>
      </c>
      <c r="S9" s="64">
        <v>0.09</v>
      </c>
      <c r="T9" s="65" t="str">
        <f>IFERROR(IF(OR($N9="",$O9="",$S9=""),"",ABS($N9-$O9)*$S9*VLOOKUP($F9,'⚙️ Setelan'!$A$14:$F$20,4,FALSE)),"")</f>
        <v/>
      </c>
      <c r="U9" s="63" t="str">
        <f t="shared" si="2"/>
        <v/>
      </c>
      <c r="V9" s="65">
        <f>IFERROR(IF(OR($Q9="",$N9="",$S9=""),"",($Q9-$N9)*IF($G9="Buy",1,-1)*$S9*VLOOKUP($F9,'⚙️ Setelan'!$A$14:$F$20,4,FALSE)),"")</f>
        <v>33.1380000000063</v>
      </c>
      <c r="W9" s="65">
        <f>IFERROR(IF(OR($S9="",$F9=""),"",$S9*VLOOKUP($F9,'⚙️ Setelan'!$A$14:$F$20,5,FALSE)),"")</f>
        <v>0.99</v>
      </c>
      <c r="X9" s="65">
        <f t="shared" si="3"/>
        <v>32.1480000000063</v>
      </c>
      <c r="Y9" s="63" t="str">
        <f t="shared" si="4"/>
        <v/>
      </c>
      <c r="Z9" s="58" t="str">
        <f t="shared" si="5"/>
        <v>Win</v>
      </c>
      <c r="AA9" s="66">
        <f t="shared" si="6"/>
        <v>1</v>
      </c>
      <c r="AB9" s="62"/>
      <c r="AC9" s="62"/>
      <c r="AD9" s="63" t="str">
        <f>IFERROR(IF(OR($AB9="",$T9="",$T9=0),"",ROUND(ABS($N9-$AB9)*$S9*VLOOKUP($F9,'⚙️ Setelan'!$A$14:$F$20,4,FALSE)/$T9,2)),"")</f>
        <v/>
      </c>
      <c r="AE9" s="63" t="str">
        <f>IFERROR(IF(OR($AC9="",$T9="",$T9=0),"",ROUND(ABS($AC9-$N9)*$S9*VLOOKUP($F9,'⚙️ Setelan'!$A$14:$F$20,4,FALSE)/$T9,2)),"")</f>
        <v/>
      </c>
      <c r="AF9" s="61"/>
      <c r="AG9" s="61"/>
      <c r="AH9" s="61"/>
      <c r="AI9" s="61"/>
      <c r="AJ9" s="61"/>
      <c r="AK9" s="67" t="s">
        <v>109</v>
      </c>
      <c r="AL9" s="58" t="str">
        <f>IF(OR($C9="",$B9=""),"",IF(AND($Z8="Loss",$B9=$B8,MOD($C9-$D8,1)*1440&lt;'⚙️ Setelan'!$B$9),"⚠️ Revenge",""))</f>
        <v/>
      </c>
      <c r="AM9" s="68"/>
      <c r="AN9" s="58" t="str">
        <f>IF($AM9="","",IFERROR(_xlfn.IMAGE(IF(REGEXMATCH($AM9,"\.(png|jpg|jpeg|gif)$"),$AM9,"https://s3.tradingview.com/snapshots/"&amp;LOWER(MID(REGEXEXTRACT($AM9,"/x/([A-Za-z0-9]+)"),1,1))&amp;"/"&amp;REGEXEXTRACT($AM9,"/x/([A-Za-z0-9]+)")&amp;".png"),1),"⚠️ link tidak dikenali"))</f>
        <v/>
      </c>
      <c r="AO9" s="68"/>
      <c r="AP9" s="58" t="str">
        <f>IF($AO9="","",IFERROR(_xlfn.IMAGE(IF(REGEXMATCH($AO9,"\.(png|jpg|jpeg|gif)$"),$AO9,"https://s3.tradingview.com/snapshots/"&amp;LOWER(MID(REGEXEXTRACT($AO9,"/x/([A-Za-z0-9]+)"),1,1))&amp;"/"&amp;REGEXEXTRACT($AO9,"/x/([A-Za-z0-9]+)")&amp;".png"),1),"⚠️ link tidak dikenali"))</f>
        <v/>
      </c>
      <c r="AQ9" s="66">
        <f>IF($Z9="",0,IF(AND(OR('📊 Dashboard'!$B$4="(Semua)",$F9='📊 Dashboard'!$B$4),OR('📊 Dashboard'!$B$5="(Semua)",$H9='📊 Dashboard'!$B$5),OR('📊 Dashboard'!$B$6="(Semua)",$E9='📊 Dashboard'!$B$6),OR('📊 Dashboard'!$B$7="(Semua)",$AF9='📊 Dashboard'!$B$7),OR('📊 Dashboard'!$B$8="(Semua)",$AG9='📊 Dashboard'!$B$8),OR('📊 Dashboard'!$B$9="(Semua)",$K9='📊 Dashboard'!$B$9)),1,0))</f>
        <v>1</v>
      </c>
      <c r="AR9" s="69" t="s">
        <v>116</v>
      </c>
    </row>
    <row r="10" ht="58" customHeight="1" spans="1:44">
      <c r="A10" s="58">
        <f t="shared" si="0"/>
        <v>8</v>
      </c>
      <c r="B10" s="59">
        <v>46265</v>
      </c>
      <c r="C10" s="60">
        <v>0.378506944444444</v>
      </c>
      <c r="D10" s="60">
        <v>0.381215277777778</v>
      </c>
      <c r="E10" s="58" t="str">
        <f t="shared" si="1"/>
        <v>Asia</v>
      </c>
      <c r="F10" s="61" t="s">
        <v>49</v>
      </c>
      <c r="G10" s="61" t="s">
        <v>117</v>
      </c>
      <c r="H10" s="61"/>
      <c r="I10" s="61"/>
      <c r="J10" s="61"/>
      <c r="K10" s="61"/>
      <c r="L10" s="61"/>
      <c r="M10" s="61"/>
      <c r="N10" s="62">
        <v>4427.774</v>
      </c>
      <c r="O10" s="62">
        <v>4421.554</v>
      </c>
      <c r="P10" s="62">
        <v>4439.986</v>
      </c>
      <c r="Q10" s="62">
        <v>4432.601</v>
      </c>
      <c r="R10" s="63">
        <f>IFERROR(IF(OR($N10="",$O10="",$F10=""),"",ROUND(('⚙️ Setelan'!$B$3*'⚙️ Setelan'!$B$4/100)/(ABS($N10-$O10)*VLOOKUP($F10,'⚙️ Setelan'!$A$14:$F$20,4,FALSE)),2)),"")</f>
        <v>0.09</v>
      </c>
      <c r="S10" s="64">
        <v>0.09</v>
      </c>
      <c r="T10" s="65">
        <f>IFERROR(IF(OR($N10="",$O10="",$S10=""),"",ABS($N10-$O10)*$S10*VLOOKUP($F10,'⚙️ Setelan'!$A$14:$F$20,4,FALSE)),"")</f>
        <v>55.9800000000023</v>
      </c>
      <c r="U10" s="63">
        <f t="shared" si="2"/>
        <v>1.96</v>
      </c>
      <c r="V10" s="65">
        <f>IFERROR(IF(OR($Q10="",$N10="",$S10=""),"",($Q10-$N10)*IF($G10="Buy",1,-1)*$S10*VLOOKUP($F10,'⚙️ Setelan'!$A$14:$F$20,4,FALSE)),"")</f>
        <v>43.4429999999938</v>
      </c>
      <c r="W10" s="65">
        <f>IFERROR(IF(OR($S10="",$F10=""),"",$S10*VLOOKUP($F10,'⚙️ Setelan'!$A$14:$F$20,5,FALSE)),"")</f>
        <v>0.99</v>
      </c>
      <c r="X10" s="65">
        <f t="shared" si="3"/>
        <v>42.4529999999938</v>
      </c>
      <c r="Y10" s="63">
        <f t="shared" si="4"/>
        <v>0.76</v>
      </c>
      <c r="Z10" s="58" t="str">
        <f t="shared" si="5"/>
        <v>Win</v>
      </c>
      <c r="AA10" s="66">
        <f t="shared" si="6"/>
        <v>4</v>
      </c>
      <c r="AB10" s="62"/>
      <c r="AC10" s="62"/>
      <c r="AD10" s="63" t="str">
        <f>IFERROR(IF(OR($AB10="",$T10="",$T10=0),"",ROUND(ABS($N10-$AB10)*$S10*VLOOKUP($F10,'⚙️ Setelan'!$A$14:$F$20,4,FALSE)/$T10,2)),"")</f>
        <v/>
      </c>
      <c r="AE10" s="63" t="str">
        <f>IFERROR(IF(OR($AC10="",$T10="",$T10=0),"",ROUND(ABS($AC10-$N10)*$S10*VLOOKUP($F10,'⚙️ Setelan'!$A$14:$F$20,4,FALSE)/$T10,2)),"")</f>
        <v/>
      </c>
      <c r="AF10" s="61"/>
      <c r="AG10" s="61"/>
      <c r="AH10" s="61"/>
      <c r="AI10" s="61"/>
      <c r="AJ10" s="61"/>
      <c r="AK10" s="67" t="s">
        <v>1</v>
      </c>
      <c r="AL10" s="58" t="str">
        <f>IF(OR($C10="",$B10=""),"",IF(AND($Z9="Loss",$B10=$B9,MOD($C10-$D9,1)*1440&lt;'⚙️ Setelan'!$B$9),"⚠️ Revenge",""))</f>
        <v/>
      </c>
      <c r="AM10" s="68"/>
      <c r="AN10" s="58" t="str">
        <f>IF($AM10="","",IFERROR(_xlfn.IMAGE(IF(REGEXMATCH($AM10,"\.(png|jpg|jpeg|gif)$"),$AM10,"https://s3.tradingview.com/snapshots/"&amp;LOWER(MID(REGEXEXTRACT($AM10,"/x/([A-Za-z0-9]+)"),1,1))&amp;"/"&amp;REGEXEXTRACT($AM10,"/x/([A-Za-z0-9]+)")&amp;".png"),1),"⚠️ link tidak dikenali"))</f>
        <v/>
      </c>
      <c r="AO10" s="68"/>
      <c r="AP10" s="58" t="str">
        <f>IF($AO10="","",IFERROR(_xlfn.IMAGE(IF(REGEXMATCH($AO10,"\.(png|jpg|jpeg|gif)$"),$AO10,"https://s3.tradingview.com/snapshots/"&amp;LOWER(MID(REGEXEXTRACT($AO10,"/x/([A-Za-z0-9]+)"),1,1))&amp;"/"&amp;REGEXEXTRACT($AO10,"/x/([A-Za-z0-9]+)")&amp;".png"),1),"⚠️ link tidak dikenali"))</f>
        <v/>
      </c>
      <c r="AQ10" s="66">
        <f>IF($Z10="",0,IF(AND(OR('📊 Dashboard'!$B$4="(Semua)",$F10='📊 Dashboard'!$B$4),OR('📊 Dashboard'!$B$5="(Semua)",$H10='📊 Dashboard'!$B$5),OR('📊 Dashboard'!$B$6="(Semua)",$E10='📊 Dashboard'!$B$6),OR('📊 Dashboard'!$B$7="(Semua)",$AF10='📊 Dashboard'!$B$7),OR('📊 Dashboard'!$B$8="(Semua)",$AG10='📊 Dashboard'!$B$8),OR('📊 Dashboard'!$B$9="(Semua)",$K10='📊 Dashboard'!$B$9)),1,0))</f>
        <v>1</v>
      </c>
      <c r="AR10" s="69" t="s">
        <v>118</v>
      </c>
    </row>
    <row r="11" ht="58" customHeight="1" spans="1:44">
      <c r="A11" s="58">
        <f t="shared" si="0"/>
        <v>9</v>
      </c>
      <c r="B11" s="59">
        <v>46265</v>
      </c>
      <c r="C11" s="60">
        <v>0.378518518518518</v>
      </c>
      <c r="D11" s="60">
        <v>0.381215277777778</v>
      </c>
      <c r="E11" s="58" t="str">
        <f t="shared" si="1"/>
        <v>Asia</v>
      </c>
      <c r="F11" s="61" t="s">
        <v>49</v>
      </c>
      <c r="G11" s="61" t="s">
        <v>117</v>
      </c>
      <c r="H11" s="61"/>
      <c r="I11" s="61"/>
      <c r="J11" s="61"/>
      <c r="K11" s="61"/>
      <c r="L11" s="61"/>
      <c r="M11" s="61"/>
      <c r="N11" s="62">
        <v>4427.608</v>
      </c>
      <c r="O11" s="62">
        <v>4421.388</v>
      </c>
      <c r="P11" s="62">
        <v>4439.906</v>
      </c>
      <c r="Q11" s="62">
        <v>4432.601</v>
      </c>
      <c r="R11" s="63">
        <f>IFERROR(IF(OR($N11="",$O11="",$F11=""),"",ROUND(('⚙️ Setelan'!$B$3*'⚙️ Setelan'!$B$4/100)/(ABS($N11-$O11)*VLOOKUP($F11,'⚙️ Setelan'!$A$14:$F$20,4,FALSE)),2)),"")</f>
        <v>0.09</v>
      </c>
      <c r="S11" s="64">
        <v>0.09</v>
      </c>
      <c r="T11" s="65">
        <f>IFERROR(IF(OR($N11="",$O11="",$S11=""),"",ABS($N11-$O11)*$S11*VLOOKUP($F11,'⚙️ Setelan'!$A$14:$F$20,4,FALSE)),"")</f>
        <v>55.9800000000023</v>
      </c>
      <c r="U11" s="63">
        <f t="shared" si="2"/>
        <v>1.98</v>
      </c>
      <c r="V11" s="65">
        <f>IFERROR(IF(OR($Q11="",$N11="",$S11=""),"",($Q11-$N11)*IF($G11="Buy",1,-1)*$S11*VLOOKUP($F11,'⚙️ Setelan'!$A$14:$F$20,4,FALSE)),"")</f>
        <v>44.9369999999954</v>
      </c>
      <c r="W11" s="65">
        <f>IFERROR(IF(OR($S11="",$F11=""),"",$S11*VLOOKUP($F11,'⚙️ Setelan'!$A$14:$F$20,5,FALSE)),"")</f>
        <v>0.99</v>
      </c>
      <c r="X11" s="65">
        <f t="shared" si="3"/>
        <v>43.9469999999953</v>
      </c>
      <c r="Y11" s="63">
        <f t="shared" si="4"/>
        <v>0.79</v>
      </c>
      <c r="Z11" s="58" t="str">
        <f t="shared" si="5"/>
        <v>Win</v>
      </c>
      <c r="AA11" s="66">
        <f t="shared" si="6"/>
        <v>4</v>
      </c>
      <c r="AB11" s="62"/>
      <c r="AC11" s="62"/>
      <c r="AD11" s="63" t="str">
        <f>IFERROR(IF(OR($AB11="",$T11="",$T11=0),"",ROUND(ABS($N11-$AB11)*$S11*VLOOKUP($F11,'⚙️ Setelan'!$A$14:$F$20,4,FALSE)/$T11,2)),"")</f>
        <v/>
      </c>
      <c r="AE11" s="63" t="str">
        <f>IFERROR(IF(OR($AC11="",$T11="",$T11=0),"",ROUND(ABS($AC11-$N11)*$S11*VLOOKUP($F11,'⚙️ Setelan'!$A$14:$F$20,4,FALSE)/$T11,2)),"")</f>
        <v/>
      </c>
      <c r="AF11" s="61"/>
      <c r="AG11" s="61"/>
      <c r="AH11" s="61"/>
      <c r="AI11" s="61"/>
      <c r="AJ11" s="61"/>
      <c r="AK11" s="67" t="s">
        <v>1</v>
      </c>
      <c r="AL11" s="58" t="str">
        <f>IF(OR($C11="",$B11=""),"",IF(AND($Z10="Loss",$B11=$B10,MOD($C11-$D10,1)*1440&lt;'⚙️ Setelan'!$B$9),"⚠️ Revenge",""))</f>
        <v/>
      </c>
      <c r="AM11" s="68"/>
      <c r="AN11" s="58" t="str">
        <f>IF($AM11="","",IFERROR(_xlfn.IMAGE(IF(REGEXMATCH($AM11,"\.(png|jpg|jpeg|gif)$"),$AM11,"https://s3.tradingview.com/snapshots/"&amp;LOWER(MID(REGEXEXTRACT($AM11,"/x/([A-Za-z0-9]+)"),1,1))&amp;"/"&amp;REGEXEXTRACT($AM11,"/x/([A-Za-z0-9]+)")&amp;".png"),1),"⚠️ link tidak dikenali"))</f>
        <v/>
      </c>
      <c r="AO11" s="68"/>
      <c r="AP11" s="58" t="str">
        <f>IF($AO11="","",IFERROR(_xlfn.IMAGE(IF(REGEXMATCH($AO11,"\.(png|jpg|jpeg|gif)$"),$AO11,"https://s3.tradingview.com/snapshots/"&amp;LOWER(MID(REGEXEXTRACT($AO11,"/x/([A-Za-z0-9]+)"),1,1))&amp;"/"&amp;REGEXEXTRACT($AO11,"/x/([A-Za-z0-9]+)")&amp;".png"),1),"⚠️ link tidak dikenali"))</f>
        <v/>
      </c>
      <c r="AQ11" s="66">
        <f>IF($Z11="",0,IF(AND(OR('📊 Dashboard'!$B$4="(Semua)",$F11='📊 Dashboard'!$B$4),OR('📊 Dashboard'!$B$5="(Semua)",$H11='📊 Dashboard'!$B$5),OR('📊 Dashboard'!$B$6="(Semua)",$E11='📊 Dashboard'!$B$6),OR('📊 Dashboard'!$B$7="(Semua)",$AF11='📊 Dashboard'!$B$7),OR('📊 Dashboard'!$B$8="(Semua)",$AG11='📊 Dashboard'!$B$8),OR('📊 Dashboard'!$B$9="(Semua)",$K11='📊 Dashboard'!$B$9)),1,0))</f>
        <v>1</v>
      </c>
      <c r="AR11" s="69" t="s">
        <v>119</v>
      </c>
    </row>
    <row r="12" ht="58" customHeight="1" spans="1:44">
      <c r="A12" s="58" t="str">
        <f t="shared" si="0"/>
        <v/>
      </c>
      <c r="B12" s="59"/>
      <c r="C12" s="60"/>
      <c r="D12" s="60"/>
      <c r="E12" s="58" t="str">
        <f t="shared" si="1"/>
        <v/>
      </c>
      <c r="F12" s="61"/>
      <c r="G12" s="61"/>
      <c r="H12" s="61"/>
      <c r="I12" s="61"/>
      <c r="J12" s="61"/>
      <c r="K12" s="61"/>
      <c r="L12" s="61"/>
      <c r="M12" s="61"/>
      <c r="N12" s="62"/>
      <c r="O12" s="62"/>
      <c r="P12" s="62"/>
      <c r="Q12" s="62"/>
      <c r="R12" s="63" t="str">
        <f>IFERROR(IF(OR($N12="",$O12="",$F12=""),"",ROUND(('⚙️ Setelan'!$B$3*'⚙️ Setelan'!$B$4/100)/(ABS($N12-$O12)*VLOOKUP($F12,'⚙️ Setelan'!$A$14:$F$20,4,FALSE)),2)),"")</f>
        <v/>
      </c>
      <c r="S12" s="64"/>
      <c r="T12" s="65" t="str">
        <f>IFERROR(IF(OR($N12="",$O12="",$S12=""),"",ABS($N12-$O12)*$S12*VLOOKUP($F12,'⚙️ Setelan'!$A$14:$F$20,4,FALSE)),"")</f>
        <v/>
      </c>
      <c r="U12" s="63" t="str">
        <f t="shared" si="2"/>
        <v/>
      </c>
      <c r="V12" s="65" t="str">
        <f>IFERROR(IF(OR($Q12="",$N12="",$S12=""),"",($Q12-$N12)*IF($G12="Buy",1,-1)*$S12*VLOOKUP($F12,'⚙️ Setelan'!$A$14:$F$20,4,FALSE)),"")</f>
        <v/>
      </c>
      <c r="W12" s="65" t="str">
        <f>IFERROR(IF(OR($S12="",$F12=""),"",$S12*VLOOKUP($F12,'⚙️ Setelan'!$A$14:$F$20,5,FALSE)),"")</f>
        <v/>
      </c>
      <c r="X12" s="65" t="str">
        <f t="shared" si="3"/>
        <v/>
      </c>
      <c r="Y12" s="63" t="str">
        <f t="shared" si="4"/>
        <v/>
      </c>
      <c r="Z12" s="58" t="str">
        <f t="shared" si="5"/>
        <v/>
      </c>
      <c r="AA12" s="66" t="str">
        <f t="shared" si="6"/>
        <v/>
      </c>
      <c r="AB12" s="62"/>
      <c r="AC12" s="62"/>
      <c r="AD12" s="63" t="str">
        <f>IFERROR(IF(OR($AB12="",$T12="",$T12=0),"",ROUND(ABS($N12-$AB12)*$S12*VLOOKUP($F12,'⚙️ Setelan'!$A$14:$F$20,4,FALSE)/$T12,2)),"")</f>
        <v/>
      </c>
      <c r="AE12" s="63" t="str">
        <f>IFERROR(IF(OR($AC12="",$T12="",$T12=0),"",ROUND(ABS($AC12-$N12)*$S12*VLOOKUP($F12,'⚙️ Setelan'!$A$14:$F$20,4,FALSE)/$T12,2)),"")</f>
        <v/>
      </c>
      <c r="AF12" s="61"/>
      <c r="AG12" s="61"/>
      <c r="AH12" s="61"/>
      <c r="AI12" s="61"/>
      <c r="AJ12" s="61"/>
      <c r="AK12" s="67"/>
      <c r="AL12" s="58" t="str">
        <f>IF(OR($C12="",$B12=""),"",IF(AND($Z11="Loss",$B12=$B11,MOD($C12-$D11,1)*1440&lt;'⚙️ Setelan'!$B$9),"⚠️ Revenge",""))</f>
        <v/>
      </c>
      <c r="AM12" s="68"/>
      <c r="AN12" s="58" t="str">
        <f>IF($AM12="","",IFERROR(_xlfn.IMAGE(IF(REGEXMATCH($AM12,"\.(png|jpg|jpeg|gif)$"),$AM12,"https://s3.tradingview.com/snapshots/"&amp;LOWER(MID(REGEXEXTRACT($AM12,"/x/([A-Za-z0-9]+)"),1,1))&amp;"/"&amp;REGEXEXTRACT($AM12,"/x/([A-Za-z0-9]+)")&amp;".png"),1),"⚠️ link tidak dikenali"))</f>
        <v/>
      </c>
      <c r="AO12" s="68"/>
      <c r="AP12" s="58" t="str">
        <f>IF($AO12="","",IFERROR(_xlfn.IMAGE(IF(REGEXMATCH($AO12,"\.(png|jpg|jpeg|gif)$"),$AO12,"https://s3.tradingview.com/snapshots/"&amp;LOWER(MID(REGEXEXTRACT($AO12,"/x/([A-Za-z0-9]+)"),1,1))&amp;"/"&amp;REGEXEXTRACT($AO12,"/x/([A-Za-z0-9]+)")&amp;".png"),1),"⚠️ link tidak dikenali"))</f>
        <v/>
      </c>
      <c r="AQ12" s="66">
        <f>IF($Z12="",0,IF(AND(OR('📊 Dashboard'!$B$4="(Semua)",$F12='📊 Dashboard'!$B$4),OR('📊 Dashboard'!$B$5="(Semua)",$H12='📊 Dashboard'!$B$5),OR('📊 Dashboard'!$B$6="(Semua)",$E12='📊 Dashboard'!$B$6),OR('📊 Dashboard'!$B$7="(Semua)",$AF12='📊 Dashboard'!$B$7),OR('📊 Dashboard'!$B$8="(Semua)",$AG12='📊 Dashboard'!$B$8),OR('📊 Dashboard'!$B$9="(Semua)",$K12='📊 Dashboard'!$B$9)),1,0))</f>
        <v>0</v>
      </c>
      <c r="AR12" s="69"/>
    </row>
    <row r="13" ht="58" customHeight="1" spans="1:44">
      <c r="A13" s="58" t="str">
        <f t="shared" si="0"/>
        <v/>
      </c>
      <c r="B13" s="59"/>
      <c r="C13" s="60"/>
      <c r="D13" s="60"/>
      <c r="E13" s="58" t="str">
        <f t="shared" si="1"/>
        <v/>
      </c>
      <c r="F13" s="61"/>
      <c r="G13" s="61"/>
      <c r="H13" s="61"/>
      <c r="I13" s="61"/>
      <c r="J13" s="61"/>
      <c r="K13" s="61"/>
      <c r="L13" s="61"/>
      <c r="M13" s="61"/>
      <c r="N13" s="62"/>
      <c r="O13" s="62"/>
      <c r="P13" s="62"/>
      <c r="Q13" s="62"/>
      <c r="R13" s="63" t="str">
        <f>IFERROR(IF(OR($N13="",$O13="",$F13=""),"",ROUND(('⚙️ Setelan'!$B$3*'⚙️ Setelan'!$B$4/100)/(ABS($N13-$O13)*VLOOKUP($F13,'⚙️ Setelan'!$A$14:$F$20,4,FALSE)),2)),"")</f>
        <v/>
      </c>
      <c r="S13" s="64"/>
      <c r="T13" s="65" t="str">
        <f>IFERROR(IF(OR($N13="",$O13="",$S13=""),"",ABS($N13-$O13)*$S13*VLOOKUP($F13,'⚙️ Setelan'!$A$14:$F$20,4,FALSE)),"")</f>
        <v/>
      </c>
      <c r="U13" s="63" t="str">
        <f t="shared" si="2"/>
        <v/>
      </c>
      <c r="V13" s="65" t="str">
        <f>IFERROR(IF(OR($Q13="",$N13="",$S13=""),"",($Q13-$N13)*IF($G13="Buy",1,-1)*$S13*VLOOKUP($F13,'⚙️ Setelan'!$A$14:$F$20,4,FALSE)),"")</f>
        <v/>
      </c>
      <c r="W13" s="65" t="str">
        <f>IFERROR(IF(OR($S13="",$F13=""),"",$S13*VLOOKUP($F13,'⚙️ Setelan'!$A$14:$F$20,5,FALSE)),"")</f>
        <v/>
      </c>
      <c r="X13" s="65" t="str">
        <f t="shared" si="3"/>
        <v/>
      </c>
      <c r="Y13" s="63" t="str">
        <f t="shared" si="4"/>
        <v/>
      </c>
      <c r="Z13" s="58" t="str">
        <f t="shared" si="5"/>
        <v/>
      </c>
      <c r="AA13" s="66" t="str">
        <f t="shared" si="6"/>
        <v/>
      </c>
      <c r="AB13" s="62"/>
      <c r="AC13" s="62"/>
      <c r="AD13" s="63" t="str">
        <f>IFERROR(IF(OR($AB13="",$T13="",$T13=0),"",ROUND(ABS($N13-$AB13)*$S13*VLOOKUP($F13,'⚙️ Setelan'!$A$14:$F$20,4,FALSE)/$T13,2)),"")</f>
        <v/>
      </c>
      <c r="AE13" s="63" t="str">
        <f>IFERROR(IF(OR($AC13="",$T13="",$T13=0),"",ROUND(ABS($AC13-$N13)*$S13*VLOOKUP($F13,'⚙️ Setelan'!$A$14:$F$20,4,FALSE)/$T13,2)),"")</f>
        <v/>
      </c>
      <c r="AF13" s="61"/>
      <c r="AG13" s="61"/>
      <c r="AH13" s="61"/>
      <c r="AI13" s="61"/>
      <c r="AJ13" s="61"/>
      <c r="AK13" s="67"/>
      <c r="AL13" s="58" t="str">
        <f>IF(OR($C13="",$B13=""),"",IF(AND($Z12="Loss",$B13=$B12,MOD($C13-$D12,1)*1440&lt;'⚙️ Setelan'!$B$9),"⚠️ Revenge",""))</f>
        <v/>
      </c>
      <c r="AM13" s="68"/>
      <c r="AN13" s="58" t="str">
        <f>IF($AM13="","",IFERROR(_xlfn.IMAGE(IF(REGEXMATCH($AM13,"\.(png|jpg|jpeg|gif)$"),$AM13,"https://s3.tradingview.com/snapshots/"&amp;LOWER(MID(REGEXEXTRACT($AM13,"/x/([A-Za-z0-9]+)"),1,1))&amp;"/"&amp;REGEXEXTRACT($AM13,"/x/([A-Za-z0-9]+)")&amp;".png"),1),"⚠️ link tidak dikenali"))</f>
        <v/>
      </c>
      <c r="AO13" s="68"/>
      <c r="AP13" s="58" t="str">
        <f>IF($AO13="","",IFERROR(_xlfn.IMAGE(IF(REGEXMATCH($AO13,"\.(png|jpg|jpeg|gif)$"),$AO13,"https://s3.tradingview.com/snapshots/"&amp;LOWER(MID(REGEXEXTRACT($AO13,"/x/([A-Za-z0-9]+)"),1,1))&amp;"/"&amp;REGEXEXTRACT($AO13,"/x/([A-Za-z0-9]+)")&amp;".png"),1),"⚠️ link tidak dikenali"))</f>
        <v/>
      </c>
      <c r="AQ13" s="66">
        <f>IF($Z13="",0,IF(AND(OR('📊 Dashboard'!$B$4="(Semua)",$F13='📊 Dashboard'!$B$4),OR('📊 Dashboard'!$B$5="(Semua)",$H13='📊 Dashboard'!$B$5),OR('📊 Dashboard'!$B$6="(Semua)",$E13='📊 Dashboard'!$B$6),OR('📊 Dashboard'!$B$7="(Semua)",$AF13='📊 Dashboard'!$B$7),OR('📊 Dashboard'!$B$8="(Semua)",$AG13='📊 Dashboard'!$B$8),OR('📊 Dashboard'!$B$9="(Semua)",$K13='📊 Dashboard'!$B$9)),1,0))</f>
        <v>0</v>
      </c>
      <c r="AR13" s="69"/>
    </row>
    <row r="14" ht="58" customHeight="1" spans="1:44">
      <c r="A14" s="58" t="str">
        <f t="shared" si="0"/>
        <v/>
      </c>
      <c r="B14" s="59"/>
      <c r="C14" s="60"/>
      <c r="D14" s="60"/>
      <c r="E14" s="58" t="str">
        <f t="shared" si="1"/>
        <v/>
      </c>
      <c r="F14" s="61"/>
      <c r="G14" s="61"/>
      <c r="H14" s="61"/>
      <c r="I14" s="61"/>
      <c r="J14" s="61"/>
      <c r="K14" s="61"/>
      <c r="L14" s="61"/>
      <c r="M14" s="61"/>
      <c r="N14" s="62"/>
      <c r="O14" s="62"/>
      <c r="P14" s="62"/>
      <c r="Q14" s="62"/>
      <c r="R14" s="63" t="str">
        <f>IFERROR(IF(OR($N14="",$O14="",$F14=""),"",ROUND(('⚙️ Setelan'!$B$3*'⚙️ Setelan'!$B$4/100)/(ABS($N14-$O14)*VLOOKUP($F14,'⚙️ Setelan'!$A$14:$F$20,4,FALSE)),2)),"")</f>
        <v/>
      </c>
      <c r="S14" s="64"/>
      <c r="T14" s="65" t="str">
        <f>IFERROR(IF(OR($N14="",$O14="",$S14=""),"",ABS($N14-$O14)*$S14*VLOOKUP($F14,'⚙️ Setelan'!$A$14:$F$20,4,FALSE)),"")</f>
        <v/>
      </c>
      <c r="U14" s="63" t="str">
        <f t="shared" si="2"/>
        <v/>
      </c>
      <c r="V14" s="65" t="str">
        <f>IFERROR(IF(OR($Q14="",$N14="",$S14=""),"",($Q14-$N14)*IF($G14="Buy",1,-1)*$S14*VLOOKUP($F14,'⚙️ Setelan'!$A$14:$F$20,4,FALSE)),"")</f>
        <v/>
      </c>
      <c r="W14" s="65" t="str">
        <f>IFERROR(IF(OR($S14="",$F14=""),"",$S14*VLOOKUP($F14,'⚙️ Setelan'!$A$14:$F$20,5,FALSE)),"")</f>
        <v/>
      </c>
      <c r="X14" s="65" t="str">
        <f t="shared" si="3"/>
        <v/>
      </c>
      <c r="Y14" s="63" t="str">
        <f t="shared" si="4"/>
        <v/>
      </c>
      <c r="Z14" s="58" t="str">
        <f t="shared" si="5"/>
        <v/>
      </c>
      <c r="AA14" s="66" t="str">
        <f t="shared" si="6"/>
        <v/>
      </c>
      <c r="AB14" s="62"/>
      <c r="AC14" s="62"/>
      <c r="AD14" s="63" t="str">
        <f>IFERROR(IF(OR($AB14="",$T14="",$T14=0),"",ROUND(ABS($N14-$AB14)*$S14*VLOOKUP($F14,'⚙️ Setelan'!$A$14:$F$20,4,FALSE)/$T14,2)),"")</f>
        <v/>
      </c>
      <c r="AE14" s="63" t="str">
        <f>IFERROR(IF(OR($AC14="",$T14="",$T14=0),"",ROUND(ABS($AC14-$N14)*$S14*VLOOKUP($F14,'⚙️ Setelan'!$A$14:$F$20,4,FALSE)/$T14,2)),"")</f>
        <v/>
      </c>
      <c r="AF14" s="61"/>
      <c r="AG14" s="61"/>
      <c r="AH14" s="61"/>
      <c r="AI14" s="61"/>
      <c r="AJ14" s="61"/>
      <c r="AK14" s="67"/>
      <c r="AL14" s="58" t="str">
        <f>IF(OR($C14="",$B14=""),"",IF(AND($Z13="Loss",$B14=$B13,MOD($C14-$D13,1)*1440&lt;'⚙️ Setelan'!$B$9),"⚠️ Revenge",""))</f>
        <v/>
      </c>
      <c r="AM14" s="68"/>
      <c r="AN14" s="58" t="str">
        <f>IF($AM14="","",IFERROR(_xlfn.IMAGE(IF(REGEXMATCH($AM14,"\.(png|jpg|jpeg|gif)$"),$AM14,"https://s3.tradingview.com/snapshots/"&amp;LOWER(MID(REGEXEXTRACT($AM14,"/x/([A-Za-z0-9]+)"),1,1))&amp;"/"&amp;REGEXEXTRACT($AM14,"/x/([A-Za-z0-9]+)")&amp;".png"),1),"⚠️ link tidak dikenali"))</f>
        <v/>
      </c>
      <c r="AO14" s="68"/>
      <c r="AP14" s="58" t="str">
        <f>IF($AO14="","",IFERROR(_xlfn.IMAGE(IF(REGEXMATCH($AO14,"\.(png|jpg|jpeg|gif)$"),$AO14,"https://s3.tradingview.com/snapshots/"&amp;LOWER(MID(REGEXEXTRACT($AO14,"/x/([A-Za-z0-9]+)"),1,1))&amp;"/"&amp;REGEXEXTRACT($AO14,"/x/([A-Za-z0-9]+)")&amp;".png"),1),"⚠️ link tidak dikenali"))</f>
        <v/>
      </c>
      <c r="AQ14" s="66">
        <f>IF($Z14="",0,IF(AND(OR('📊 Dashboard'!$B$4="(Semua)",$F14='📊 Dashboard'!$B$4),OR('📊 Dashboard'!$B$5="(Semua)",$H14='📊 Dashboard'!$B$5),OR('📊 Dashboard'!$B$6="(Semua)",$E14='📊 Dashboard'!$B$6),OR('📊 Dashboard'!$B$7="(Semua)",$AF14='📊 Dashboard'!$B$7),OR('📊 Dashboard'!$B$8="(Semua)",$AG14='📊 Dashboard'!$B$8),OR('📊 Dashboard'!$B$9="(Semua)",$K14='📊 Dashboard'!$B$9)),1,0))</f>
        <v>0</v>
      </c>
      <c r="AR14" s="69"/>
    </row>
    <row r="15" ht="58" customHeight="1" spans="1:44">
      <c r="A15" s="58" t="str">
        <f t="shared" si="0"/>
        <v/>
      </c>
      <c r="B15" s="59"/>
      <c r="C15" s="60"/>
      <c r="D15" s="60"/>
      <c r="E15" s="58" t="str">
        <f t="shared" si="1"/>
        <v/>
      </c>
      <c r="F15" s="61"/>
      <c r="G15" s="61"/>
      <c r="H15" s="61"/>
      <c r="I15" s="61"/>
      <c r="J15" s="61"/>
      <c r="K15" s="61"/>
      <c r="L15" s="61"/>
      <c r="M15" s="61"/>
      <c r="N15" s="62"/>
      <c r="O15" s="62"/>
      <c r="P15" s="62"/>
      <c r="Q15" s="62"/>
      <c r="R15" s="63" t="str">
        <f>IFERROR(IF(OR($N15="",$O15="",$F15=""),"",ROUND(('⚙️ Setelan'!$B$3*'⚙️ Setelan'!$B$4/100)/(ABS($N15-$O15)*VLOOKUP($F15,'⚙️ Setelan'!$A$14:$F$20,4,FALSE)),2)),"")</f>
        <v/>
      </c>
      <c r="S15" s="64"/>
      <c r="T15" s="65" t="str">
        <f>IFERROR(IF(OR($N15="",$O15="",$S15=""),"",ABS($N15-$O15)*$S15*VLOOKUP($F15,'⚙️ Setelan'!$A$14:$F$20,4,FALSE)),"")</f>
        <v/>
      </c>
      <c r="U15" s="63" t="str">
        <f t="shared" si="2"/>
        <v/>
      </c>
      <c r="V15" s="65" t="str">
        <f>IFERROR(IF(OR($Q15="",$N15="",$S15=""),"",($Q15-$N15)*IF($G15="Buy",1,-1)*$S15*VLOOKUP($F15,'⚙️ Setelan'!$A$14:$F$20,4,FALSE)),"")</f>
        <v/>
      </c>
      <c r="W15" s="65" t="str">
        <f>IFERROR(IF(OR($S15="",$F15=""),"",$S15*VLOOKUP($F15,'⚙️ Setelan'!$A$14:$F$20,5,FALSE)),"")</f>
        <v/>
      </c>
      <c r="X15" s="65" t="str">
        <f t="shared" si="3"/>
        <v/>
      </c>
      <c r="Y15" s="63" t="str">
        <f t="shared" si="4"/>
        <v/>
      </c>
      <c r="Z15" s="58" t="str">
        <f t="shared" si="5"/>
        <v/>
      </c>
      <c r="AA15" s="66" t="str">
        <f t="shared" si="6"/>
        <v/>
      </c>
      <c r="AB15" s="62"/>
      <c r="AC15" s="62"/>
      <c r="AD15" s="63" t="str">
        <f>IFERROR(IF(OR($AB15="",$T15="",$T15=0),"",ROUND(ABS($N15-$AB15)*$S15*VLOOKUP($F15,'⚙️ Setelan'!$A$14:$F$20,4,FALSE)/$T15,2)),"")</f>
        <v/>
      </c>
      <c r="AE15" s="63" t="str">
        <f>IFERROR(IF(OR($AC15="",$T15="",$T15=0),"",ROUND(ABS($AC15-$N15)*$S15*VLOOKUP($F15,'⚙️ Setelan'!$A$14:$F$20,4,FALSE)/$T15,2)),"")</f>
        <v/>
      </c>
      <c r="AF15" s="61"/>
      <c r="AG15" s="61"/>
      <c r="AH15" s="61"/>
      <c r="AI15" s="61"/>
      <c r="AJ15" s="61"/>
      <c r="AK15" s="67"/>
      <c r="AL15" s="58" t="str">
        <f>IF(OR($C15="",$B15=""),"",IF(AND($Z14="Loss",$B15=$B14,MOD($C15-$D14,1)*1440&lt;'⚙️ Setelan'!$B$9),"⚠️ Revenge",""))</f>
        <v/>
      </c>
      <c r="AM15" s="68"/>
      <c r="AN15" s="58" t="str">
        <f>IF($AM15="","",IFERROR(_xlfn.IMAGE(IF(REGEXMATCH($AM15,"\.(png|jpg|jpeg|gif)$"),$AM15,"https://s3.tradingview.com/snapshots/"&amp;LOWER(MID(REGEXEXTRACT($AM15,"/x/([A-Za-z0-9]+)"),1,1))&amp;"/"&amp;REGEXEXTRACT($AM15,"/x/([A-Za-z0-9]+)")&amp;".png"),1),"⚠️ link tidak dikenali"))</f>
        <v/>
      </c>
      <c r="AO15" s="68"/>
      <c r="AP15" s="58" t="str">
        <f>IF($AO15="","",IFERROR(_xlfn.IMAGE(IF(REGEXMATCH($AO15,"\.(png|jpg|jpeg|gif)$"),$AO15,"https://s3.tradingview.com/snapshots/"&amp;LOWER(MID(REGEXEXTRACT($AO15,"/x/([A-Za-z0-9]+)"),1,1))&amp;"/"&amp;REGEXEXTRACT($AO15,"/x/([A-Za-z0-9]+)")&amp;".png"),1),"⚠️ link tidak dikenali"))</f>
        <v/>
      </c>
      <c r="AQ15" s="66">
        <f>IF($Z15="",0,IF(AND(OR('📊 Dashboard'!$B$4="(Semua)",$F15='📊 Dashboard'!$B$4),OR('📊 Dashboard'!$B$5="(Semua)",$H15='📊 Dashboard'!$B$5),OR('📊 Dashboard'!$B$6="(Semua)",$E15='📊 Dashboard'!$B$6),OR('📊 Dashboard'!$B$7="(Semua)",$AF15='📊 Dashboard'!$B$7),OR('📊 Dashboard'!$B$8="(Semua)",$AG15='📊 Dashboard'!$B$8),OR('📊 Dashboard'!$B$9="(Semua)",$K15='📊 Dashboard'!$B$9)),1,0))</f>
        <v>0</v>
      </c>
      <c r="AR15" s="69"/>
    </row>
    <row r="16" ht="58" customHeight="1" spans="1:44">
      <c r="A16" s="58" t="str">
        <f t="shared" si="0"/>
        <v/>
      </c>
      <c r="B16" s="59"/>
      <c r="C16" s="60"/>
      <c r="D16" s="60"/>
      <c r="E16" s="58" t="str">
        <f t="shared" si="1"/>
        <v/>
      </c>
      <c r="F16" s="61"/>
      <c r="G16" s="61"/>
      <c r="H16" s="61"/>
      <c r="I16" s="61"/>
      <c r="J16" s="61"/>
      <c r="K16" s="61"/>
      <c r="L16" s="61"/>
      <c r="M16" s="61"/>
      <c r="N16" s="62"/>
      <c r="O16" s="62"/>
      <c r="P16" s="62"/>
      <c r="Q16" s="62"/>
      <c r="R16" s="63" t="str">
        <f>IFERROR(IF(OR($N16="",$O16="",$F16=""),"",ROUND(('⚙️ Setelan'!$B$3*'⚙️ Setelan'!$B$4/100)/(ABS($N16-$O16)*VLOOKUP($F16,'⚙️ Setelan'!$A$14:$F$20,4,FALSE)),2)),"")</f>
        <v/>
      </c>
      <c r="S16" s="64"/>
      <c r="T16" s="65" t="str">
        <f>IFERROR(IF(OR($N16="",$O16="",$S16=""),"",ABS($N16-$O16)*$S16*VLOOKUP($F16,'⚙️ Setelan'!$A$14:$F$20,4,FALSE)),"")</f>
        <v/>
      </c>
      <c r="U16" s="63" t="str">
        <f t="shared" si="2"/>
        <v/>
      </c>
      <c r="V16" s="65" t="str">
        <f>IFERROR(IF(OR($Q16="",$N16="",$S16=""),"",($Q16-$N16)*IF($G16="Buy",1,-1)*$S16*VLOOKUP($F16,'⚙️ Setelan'!$A$14:$F$20,4,FALSE)),"")</f>
        <v/>
      </c>
      <c r="W16" s="65" t="str">
        <f>IFERROR(IF(OR($S16="",$F16=""),"",$S16*VLOOKUP($F16,'⚙️ Setelan'!$A$14:$F$20,5,FALSE)),"")</f>
        <v/>
      </c>
      <c r="X16" s="65" t="str">
        <f t="shared" si="3"/>
        <v/>
      </c>
      <c r="Y16" s="63" t="str">
        <f t="shared" si="4"/>
        <v/>
      </c>
      <c r="Z16" s="58" t="str">
        <f t="shared" si="5"/>
        <v/>
      </c>
      <c r="AA16" s="66" t="str">
        <f t="shared" si="6"/>
        <v/>
      </c>
      <c r="AB16" s="62"/>
      <c r="AC16" s="62"/>
      <c r="AD16" s="63" t="str">
        <f>IFERROR(IF(OR($AB16="",$T16="",$T16=0),"",ROUND(ABS($N16-$AB16)*$S16*VLOOKUP($F16,'⚙️ Setelan'!$A$14:$F$20,4,FALSE)/$T16,2)),"")</f>
        <v/>
      </c>
      <c r="AE16" s="63" t="str">
        <f>IFERROR(IF(OR($AC16="",$T16="",$T16=0),"",ROUND(ABS($AC16-$N16)*$S16*VLOOKUP($F16,'⚙️ Setelan'!$A$14:$F$20,4,FALSE)/$T16,2)),"")</f>
        <v/>
      </c>
      <c r="AF16" s="61"/>
      <c r="AG16" s="61"/>
      <c r="AH16" s="61"/>
      <c r="AI16" s="61"/>
      <c r="AJ16" s="61"/>
      <c r="AK16" s="67"/>
      <c r="AL16" s="58" t="str">
        <f>IF(OR($C16="",$B16=""),"",IF(AND($Z15="Loss",$B16=$B15,MOD($C16-$D15,1)*1440&lt;'⚙️ Setelan'!$B$9),"⚠️ Revenge",""))</f>
        <v/>
      </c>
      <c r="AM16" s="68"/>
      <c r="AN16" s="58" t="str">
        <f>IF($AM16="","",IFERROR(_xlfn.IMAGE(IF(REGEXMATCH($AM16,"\.(png|jpg|jpeg|gif)$"),$AM16,"https://s3.tradingview.com/snapshots/"&amp;LOWER(MID(REGEXEXTRACT($AM16,"/x/([A-Za-z0-9]+)"),1,1))&amp;"/"&amp;REGEXEXTRACT($AM16,"/x/([A-Za-z0-9]+)")&amp;".png"),1),"⚠️ link tidak dikenali"))</f>
        <v/>
      </c>
      <c r="AO16" s="68"/>
      <c r="AP16" s="58" t="str">
        <f>IF($AO16="","",IFERROR(_xlfn.IMAGE(IF(REGEXMATCH($AO16,"\.(png|jpg|jpeg|gif)$"),$AO16,"https://s3.tradingview.com/snapshots/"&amp;LOWER(MID(REGEXEXTRACT($AO16,"/x/([A-Za-z0-9]+)"),1,1))&amp;"/"&amp;REGEXEXTRACT($AO16,"/x/([A-Za-z0-9]+)")&amp;".png"),1),"⚠️ link tidak dikenali"))</f>
        <v/>
      </c>
      <c r="AQ16" s="66">
        <f>IF($Z16="",0,IF(AND(OR('📊 Dashboard'!$B$4="(Semua)",$F16='📊 Dashboard'!$B$4),OR('📊 Dashboard'!$B$5="(Semua)",$H16='📊 Dashboard'!$B$5),OR('📊 Dashboard'!$B$6="(Semua)",$E16='📊 Dashboard'!$B$6),OR('📊 Dashboard'!$B$7="(Semua)",$AF16='📊 Dashboard'!$B$7),OR('📊 Dashboard'!$B$8="(Semua)",$AG16='📊 Dashboard'!$B$8),OR('📊 Dashboard'!$B$9="(Semua)",$K16='📊 Dashboard'!$B$9)),1,0))</f>
        <v>0</v>
      </c>
      <c r="AR16" s="69"/>
    </row>
    <row r="17" ht="58" customHeight="1" spans="1:44">
      <c r="A17" s="58" t="str">
        <f t="shared" si="0"/>
        <v/>
      </c>
      <c r="B17" s="59"/>
      <c r="C17" s="60"/>
      <c r="D17" s="60"/>
      <c r="E17" s="58" t="str">
        <f t="shared" si="1"/>
        <v/>
      </c>
      <c r="F17" s="61"/>
      <c r="G17" s="61"/>
      <c r="H17" s="61"/>
      <c r="I17" s="61"/>
      <c r="J17" s="61"/>
      <c r="K17" s="61"/>
      <c r="L17" s="61"/>
      <c r="M17" s="61"/>
      <c r="N17" s="62"/>
      <c r="O17" s="62"/>
      <c r="P17" s="62"/>
      <c r="Q17" s="62"/>
      <c r="R17" s="63" t="str">
        <f>IFERROR(IF(OR($N17="",$O17="",$F17=""),"",ROUND(('⚙️ Setelan'!$B$3*'⚙️ Setelan'!$B$4/100)/(ABS($N17-$O17)*VLOOKUP($F17,'⚙️ Setelan'!$A$14:$F$20,4,FALSE)),2)),"")</f>
        <v/>
      </c>
      <c r="S17" s="64"/>
      <c r="T17" s="65" t="str">
        <f>IFERROR(IF(OR($N17="",$O17="",$S17=""),"",ABS($N17-$O17)*$S17*VLOOKUP($F17,'⚙️ Setelan'!$A$14:$F$20,4,FALSE)),"")</f>
        <v/>
      </c>
      <c r="U17" s="63" t="str">
        <f t="shared" si="2"/>
        <v/>
      </c>
      <c r="V17" s="65" t="str">
        <f>IFERROR(IF(OR($Q17="",$N17="",$S17=""),"",($Q17-$N17)*IF($G17="Buy",1,-1)*$S17*VLOOKUP($F17,'⚙️ Setelan'!$A$14:$F$20,4,FALSE)),"")</f>
        <v/>
      </c>
      <c r="W17" s="65" t="str">
        <f>IFERROR(IF(OR($S17="",$F17=""),"",$S17*VLOOKUP($F17,'⚙️ Setelan'!$A$14:$F$20,5,FALSE)),"")</f>
        <v/>
      </c>
      <c r="X17" s="65" t="str">
        <f t="shared" si="3"/>
        <v/>
      </c>
      <c r="Y17" s="63" t="str">
        <f t="shared" si="4"/>
        <v/>
      </c>
      <c r="Z17" s="58" t="str">
        <f t="shared" si="5"/>
        <v/>
      </c>
      <c r="AA17" s="66" t="str">
        <f t="shared" si="6"/>
        <v/>
      </c>
      <c r="AB17" s="62"/>
      <c r="AC17" s="62"/>
      <c r="AD17" s="63" t="str">
        <f>IFERROR(IF(OR($AB17="",$T17="",$T17=0),"",ROUND(ABS($N17-$AB17)*$S17*VLOOKUP($F17,'⚙️ Setelan'!$A$14:$F$20,4,FALSE)/$T17,2)),"")</f>
        <v/>
      </c>
      <c r="AE17" s="63" t="str">
        <f>IFERROR(IF(OR($AC17="",$T17="",$T17=0),"",ROUND(ABS($AC17-$N17)*$S17*VLOOKUP($F17,'⚙️ Setelan'!$A$14:$F$20,4,FALSE)/$T17,2)),"")</f>
        <v/>
      </c>
      <c r="AF17" s="61"/>
      <c r="AG17" s="61"/>
      <c r="AH17" s="61"/>
      <c r="AI17" s="61"/>
      <c r="AJ17" s="61"/>
      <c r="AK17" s="67"/>
      <c r="AL17" s="58" t="str">
        <f>IF(OR($C17="",$B17=""),"",IF(AND($Z16="Loss",$B17=$B16,MOD($C17-$D16,1)*1440&lt;'⚙️ Setelan'!$B$9),"⚠️ Revenge",""))</f>
        <v/>
      </c>
      <c r="AM17" s="68"/>
      <c r="AN17" s="58" t="str">
        <f>IF($AM17="","",IFERROR(_xlfn.IMAGE(IF(REGEXMATCH($AM17,"\.(png|jpg|jpeg|gif)$"),$AM17,"https://s3.tradingview.com/snapshots/"&amp;LOWER(MID(REGEXEXTRACT($AM17,"/x/([A-Za-z0-9]+)"),1,1))&amp;"/"&amp;REGEXEXTRACT($AM17,"/x/([A-Za-z0-9]+)")&amp;".png"),1),"⚠️ link tidak dikenali"))</f>
        <v/>
      </c>
      <c r="AO17" s="68"/>
      <c r="AP17" s="58" t="str">
        <f>IF($AO17="","",IFERROR(_xlfn.IMAGE(IF(REGEXMATCH($AO17,"\.(png|jpg|jpeg|gif)$"),$AO17,"https://s3.tradingview.com/snapshots/"&amp;LOWER(MID(REGEXEXTRACT($AO17,"/x/([A-Za-z0-9]+)"),1,1))&amp;"/"&amp;REGEXEXTRACT($AO17,"/x/([A-Za-z0-9]+)")&amp;".png"),1),"⚠️ link tidak dikenali"))</f>
        <v/>
      </c>
      <c r="AQ17" s="66">
        <f>IF($Z17="",0,IF(AND(OR('📊 Dashboard'!$B$4="(Semua)",$F17='📊 Dashboard'!$B$4),OR('📊 Dashboard'!$B$5="(Semua)",$H17='📊 Dashboard'!$B$5),OR('📊 Dashboard'!$B$6="(Semua)",$E17='📊 Dashboard'!$B$6),OR('📊 Dashboard'!$B$7="(Semua)",$AF17='📊 Dashboard'!$B$7),OR('📊 Dashboard'!$B$8="(Semua)",$AG17='📊 Dashboard'!$B$8),OR('📊 Dashboard'!$B$9="(Semua)",$K17='📊 Dashboard'!$B$9)),1,0))</f>
        <v>0</v>
      </c>
      <c r="AR17" s="69"/>
    </row>
    <row r="18" ht="58" customHeight="1" spans="1:44">
      <c r="A18" s="58" t="str">
        <f t="shared" si="0"/>
        <v/>
      </c>
      <c r="B18" s="59"/>
      <c r="C18" s="60"/>
      <c r="D18" s="60"/>
      <c r="E18" s="58" t="str">
        <f t="shared" si="1"/>
        <v/>
      </c>
      <c r="F18" s="61"/>
      <c r="G18" s="61"/>
      <c r="H18" s="61"/>
      <c r="I18" s="61"/>
      <c r="J18" s="61"/>
      <c r="K18" s="61"/>
      <c r="L18" s="61"/>
      <c r="M18" s="61"/>
      <c r="N18" s="62"/>
      <c r="O18" s="62"/>
      <c r="P18" s="62"/>
      <c r="Q18" s="62"/>
      <c r="R18" s="63" t="str">
        <f>IFERROR(IF(OR($N18="",$O18="",$F18=""),"",ROUND(('⚙️ Setelan'!$B$3*'⚙️ Setelan'!$B$4/100)/(ABS($N18-$O18)*VLOOKUP($F18,'⚙️ Setelan'!$A$14:$F$20,4,FALSE)),2)),"")</f>
        <v/>
      </c>
      <c r="S18" s="64"/>
      <c r="T18" s="65" t="str">
        <f>IFERROR(IF(OR($N18="",$O18="",$S18=""),"",ABS($N18-$O18)*$S18*VLOOKUP($F18,'⚙️ Setelan'!$A$14:$F$20,4,FALSE)),"")</f>
        <v/>
      </c>
      <c r="U18" s="63" t="str">
        <f t="shared" si="2"/>
        <v/>
      </c>
      <c r="V18" s="65" t="str">
        <f>IFERROR(IF(OR($Q18="",$N18="",$S18=""),"",($Q18-$N18)*IF($G18="Buy",1,-1)*$S18*VLOOKUP($F18,'⚙️ Setelan'!$A$14:$F$20,4,FALSE)),"")</f>
        <v/>
      </c>
      <c r="W18" s="65" t="str">
        <f>IFERROR(IF(OR($S18="",$F18=""),"",$S18*VLOOKUP($F18,'⚙️ Setelan'!$A$14:$F$20,5,FALSE)),"")</f>
        <v/>
      </c>
      <c r="X18" s="65" t="str">
        <f t="shared" si="3"/>
        <v/>
      </c>
      <c r="Y18" s="63" t="str">
        <f t="shared" si="4"/>
        <v/>
      </c>
      <c r="Z18" s="58" t="str">
        <f t="shared" si="5"/>
        <v/>
      </c>
      <c r="AA18" s="66" t="str">
        <f t="shared" si="6"/>
        <v/>
      </c>
      <c r="AB18" s="62"/>
      <c r="AC18" s="62"/>
      <c r="AD18" s="63" t="str">
        <f>IFERROR(IF(OR($AB18="",$T18="",$T18=0),"",ROUND(ABS($N18-$AB18)*$S18*VLOOKUP($F18,'⚙️ Setelan'!$A$14:$F$20,4,FALSE)/$T18,2)),"")</f>
        <v/>
      </c>
      <c r="AE18" s="63" t="str">
        <f>IFERROR(IF(OR($AC18="",$T18="",$T18=0),"",ROUND(ABS($AC18-$N18)*$S18*VLOOKUP($F18,'⚙️ Setelan'!$A$14:$F$20,4,FALSE)/$T18,2)),"")</f>
        <v/>
      </c>
      <c r="AF18" s="61"/>
      <c r="AG18" s="61"/>
      <c r="AH18" s="61"/>
      <c r="AI18" s="61"/>
      <c r="AJ18" s="61"/>
      <c r="AK18" s="67"/>
      <c r="AL18" s="58" t="str">
        <f>IF(OR($C18="",$B18=""),"",IF(AND($Z17="Loss",$B18=$B17,MOD($C18-$D17,1)*1440&lt;'⚙️ Setelan'!$B$9),"⚠️ Revenge",""))</f>
        <v/>
      </c>
      <c r="AM18" s="68"/>
      <c r="AN18" s="58" t="str">
        <f>IF($AM18="","",IFERROR(_xlfn.IMAGE(IF(REGEXMATCH($AM18,"\.(png|jpg|jpeg|gif)$"),$AM18,"https://s3.tradingview.com/snapshots/"&amp;LOWER(MID(REGEXEXTRACT($AM18,"/x/([A-Za-z0-9]+)"),1,1))&amp;"/"&amp;REGEXEXTRACT($AM18,"/x/([A-Za-z0-9]+)")&amp;".png"),1),"⚠️ link tidak dikenali"))</f>
        <v/>
      </c>
      <c r="AO18" s="68"/>
      <c r="AP18" s="58" t="str">
        <f>IF($AO18="","",IFERROR(_xlfn.IMAGE(IF(REGEXMATCH($AO18,"\.(png|jpg|jpeg|gif)$"),$AO18,"https://s3.tradingview.com/snapshots/"&amp;LOWER(MID(REGEXEXTRACT($AO18,"/x/([A-Za-z0-9]+)"),1,1))&amp;"/"&amp;REGEXEXTRACT($AO18,"/x/([A-Za-z0-9]+)")&amp;".png"),1),"⚠️ link tidak dikenali"))</f>
        <v/>
      </c>
      <c r="AQ18" s="66">
        <f>IF($Z18="",0,IF(AND(OR('📊 Dashboard'!$B$4="(Semua)",$F18='📊 Dashboard'!$B$4),OR('📊 Dashboard'!$B$5="(Semua)",$H18='📊 Dashboard'!$B$5),OR('📊 Dashboard'!$B$6="(Semua)",$E18='📊 Dashboard'!$B$6),OR('📊 Dashboard'!$B$7="(Semua)",$AF18='📊 Dashboard'!$B$7),OR('📊 Dashboard'!$B$8="(Semua)",$AG18='📊 Dashboard'!$B$8),OR('📊 Dashboard'!$B$9="(Semua)",$K18='📊 Dashboard'!$B$9)),1,0))</f>
        <v>0</v>
      </c>
      <c r="AR18" s="69"/>
    </row>
    <row r="19" ht="58" customHeight="1" spans="1:44">
      <c r="A19" s="58" t="str">
        <f t="shared" si="0"/>
        <v/>
      </c>
      <c r="B19" s="59"/>
      <c r="C19" s="60"/>
      <c r="D19" s="60"/>
      <c r="E19" s="58" t="str">
        <f t="shared" si="1"/>
        <v/>
      </c>
      <c r="F19" s="61"/>
      <c r="G19" s="61"/>
      <c r="H19" s="61"/>
      <c r="I19" s="61"/>
      <c r="J19" s="61"/>
      <c r="K19" s="61"/>
      <c r="L19" s="61"/>
      <c r="M19" s="61"/>
      <c r="N19" s="62"/>
      <c r="O19" s="62"/>
      <c r="P19" s="62"/>
      <c r="Q19" s="62"/>
      <c r="R19" s="63" t="str">
        <f>IFERROR(IF(OR($N19="",$O19="",$F19=""),"",ROUND(('⚙️ Setelan'!$B$3*'⚙️ Setelan'!$B$4/100)/(ABS($N19-$O19)*VLOOKUP($F19,'⚙️ Setelan'!$A$14:$F$20,4,FALSE)),2)),"")</f>
        <v/>
      </c>
      <c r="S19" s="64"/>
      <c r="T19" s="65" t="str">
        <f>IFERROR(IF(OR($N19="",$O19="",$S19=""),"",ABS($N19-$O19)*$S19*VLOOKUP($F19,'⚙️ Setelan'!$A$14:$F$20,4,FALSE)),"")</f>
        <v/>
      </c>
      <c r="U19" s="63" t="str">
        <f t="shared" si="2"/>
        <v/>
      </c>
      <c r="V19" s="65" t="str">
        <f>IFERROR(IF(OR($Q19="",$N19="",$S19=""),"",($Q19-$N19)*IF($G19="Buy",1,-1)*$S19*VLOOKUP($F19,'⚙️ Setelan'!$A$14:$F$20,4,FALSE)),"")</f>
        <v/>
      </c>
      <c r="W19" s="65" t="str">
        <f>IFERROR(IF(OR($S19="",$F19=""),"",$S19*VLOOKUP($F19,'⚙️ Setelan'!$A$14:$F$20,5,FALSE)),"")</f>
        <v/>
      </c>
      <c r="X19" s="65" t="str">
        <f t="shared" si="3"/>
        <v/>
      </c>
      <c r="Y19" s="63" t="str">
        <f t="shared" si="4"/>
        <v/>
      </c>
      <c r="Z19" s="58" t="str">
        <f t="shared" si="5"/>
        <v/>
      </c>
      <c r="AA19" s="66" t="str">
        <f t="shared" si="6"/>
        <v/>
      </c>
      <c r="AB19" s="62"/>
      <c r="AC19" s="62"/>
      <c r="AD19" s="63" t="str">
        <f>IFERROR(IF(OR($AB19="",$T19="",$T19=0),"",ROUND(ABS($N19-$AB19)*$S19*VLOOKUP($F19,'⚙️ Setelan'!$A$14:$F$20,4,FALSE)/$T19,2)),"")</f>
        <v/>
      </c>
      <c r="AE19" s="63" t="str">
        <f>IFERROR(IF(OR($AC19="",$T19="",$T19=0),"",ROUND(ABS($AC19-$N19)*$S19*VLOOKUP($F19,'⚙️ Setelan'!$A$14:$F$20,4,FALSE)/$T19,2)),"")</f>
        <v/>
      </c>
      <c r="AF19" s="61"/>
      <c r="AG19" s="61"/>
      <c r="AH19" s="61"/>
      <c r="AI19" s="61"/>
      <c r="AJ19" s="61"/>
      <c r="AK19" s="67"/>
      <c r="AL19" s="58" t="str">
        <f>IF(OR($C19="",$B19=""),"",IF(AND($Z18="Loss",$B19=$B18,MOD($C19-$D18,1)*1440&lt;'⚙️ Setelan'!$B$9),"⚠️ Revenge",""))</f>
        <v/>
      </c>
      <c r="AM19" s="68"/>
      <c r="AN19" s="58" t="str">
        <f>IF($AM19="","",IFERROR(_xlfn.IMAGE(IF(REGEXMATCH($AM19,"\.(png|jpg|jpeg|gif)$"),$AM19,"https://s3.tradingview.com/snapshots/"&amp;LOWER(MID(REGEXEXTRACT($AM19,"/x/([A-Za-z0-9]+)"),1,1))&amp;"/"&amp;REGEXEXTRACT($AM19,"/x/([A-Za-z0-9]+)")&amp;".png"),1),"⚠️ link tidak dikenali"))</f>
        <v/>
      </c>
      <c r="AO19" s="68"/>
      <c r="AP19" s="58" t="str">
        <f>IF($AO19="","",IFERROR(_xlfn.IMAGE(IF(REGEXMATCH($AO19,"\.(png|jpg|jpeg|gif)$"),$AO19,"https://s3.tradingview.com/snapshots/"&amp;LOWER(MID(REGEXEXTRACT($AO19,"/x/([A-Za-z0-9]+)"),1,1))&amp;"/"&amp;REGEXEXTRACT($AO19,"/x/([A-Za-z0-9]+)")&amp;".png"),1),"⚠️ link tidak dikenali"))</f>
        <v/>
      </c>
      <c r="AQ19" s="66">
        <f>IF($Z19="",0,IF(AND(OR('📊 Dashboard'!$B$4="(Semua)",$F19='📊 Dashboard'!$B$4),OR('📊 Dashboard'!$B$5="(Semua)",$H19='📊 Dashboard'!$B$5),OR('📊 Dashboard'!$B$6="(Semua)",$E19='📊 Dashboard'!$B$6),OR('📊 Dashboard'!$B$7="(Semua)",$AF19='📊 Dashboard'!$B$7),OR('📊 Dashboard'!$B$8="(Semua)",$AG19='📊 Dashboard'!$B$8),OR('📊 Dashboard'!$B$9="(Semua)",$K19='📊 Dashboard'!$B$9)),1,0))</f>
        <v>0</v>
      </c>
      <c r="AR19" s="69"/>
    </row>
    <row r="20" ht="58" customHeight="1" spans="1:44">
      <c r="A20" s="58" t="str">
        <f t="shared" si="0"/>
        <v/>
      </c>
      <c r="B20" s="59"/>
      <c r="C20" s="60"/>
      <c r="D20" s="60"/>
      <c r="E20" s="58" t="str">
        <f t="shared" si="1"/>
        <v/>
      </c>
      <c r="F20" s="61"/>
      <c r="G20" s="61"/>
      <c r="H20" s="61"/>
      <c r="I20" s="61"/>
      <c r="J20" s="61"/>
      <c r="K20" s="61"/>
      <c r="L20" s="61"/>
      <c r="M20" s="61"/>
      <c r="N20" s="62"/>
      <c r="O20" s="62"/>
      <c r="P20" s="62"/>
      <c r="Q20" s="62"/>
      <c r="R20" s="63" t="str">
        <f>IFERROR(IF(OR($N20="",$O20="",$F20=""),"",ROUND(('⚙️ Setelan'!$B$3*'⚙️ Setelan'!$B$4/100)/(ABS($N20-$O20)*VLOOKUP($F20,'⚙️ Setelan'!$A$14:$F$20,4,FALSE)),2)),"")</f>
        <v/>
      </c>
      <c r="S20" s="64"/>
      <c r="T20" s="65" t="str">
        <f>IFERROR(IF(OR($N20="",$O20="",$S20=""),"",ABS($N20-$O20)*$S20*VLOOKUP($F20,'⚙️ Setelan'!$A$14:$F$20,4,FALSE)),"")</f>
        <v/>
      </c>
      <c r="U20" s="63" t="str">
        <f t="shared" si="2"/>
        <v/>
      </c>
      <c r="V20" s="65" t="str">
        <f>IFERROR(IF(OR($Q20="",$N20="",$S20=""),"",($Q20-$N20)*IF($G20="Buy",1,-1)*$S20*VLOOKUP($F20,'⚙️ Setelan'!$A$14:$F$20,4,FALSE)),"")</f>
        <v/>
      </c>
      <c r="W20" s="65" t="str">
        <f>IFERROR(IF(OR($S20="",$F20=""),"",$S20*VLOOKUP($F20,'⚙️ Setelan'!$A$14:$F$20,5,FALSE)),"")</f>
        <v/>
      </c>
      <c r="X20" s="65" t="str">
        <f t="shared" si="3"/>
        <v/>
      </c>
      <c r="Y20" s="63" t="str">
        <f t="shared" si="4"/>
        <v/>
      </c>
      <c r="Z20" s="58" t="str">
        <f t="shared" si="5"/>
        <v/>
      </c>
      <c r="AA20" s="66" t="str">
        <f t="shared" si="6"/>
        <v/>
      </c>
      <c r="AB20" s="62"/>
      <c r="AC20" s="62"/>
      <c r="AD20" s="63" t="str">
        <f>IFERROR(IF(OR($AB20="",$T20="",$T20=0),"",ROUND(ABS($N20-$AB20)*$S20*VLOOKUP($F20,'⚙️ Setelan'!$A$14:$F$20,4,FALSE)/$T20,2)),"")</f>
        <v/>
      </c>
      <c r="AE20" s="63" t="str">
        <f>IFERROR(IF(OR($AC20="",$T20="",$T20=0),"",ROUND(ABS($AC20-$N20)*$S20*VLOOKUP($F20,'⚙️ Setelan'!$A$14:$F$20,4,FALSE)/$T20,2)),"")</f>
        <v/>
      </c>
      <c r="AF20" s="61"/>
      <c r="AG20" s="61"/>
      <c r="AH20" s="61"/>
      <c r="AI20" s="61"/>
      <c r="AJ20" s="61"/>
      <c r="AK20" s="67"/>
      <c r="AL20" s="58" t="str">
        <f>IF(OR($C20="",$B20=""),"",IF(AND($Z19="Loss",$B20=$B19,MOD($C20-$D19,1)*1440&lt;'⚙️ Setelan'!$B$9),"⚠️ Revenge",""))</f>
        <v/>
      </c>
      <c r="AM20" s="68"/>
      <c r="AN20" s="58" t="str">
        <f>IF($AM20="","",IFERROR(_xlfn.IMAGE(IF(REGEXMATCH($AM20,"\.(png|jpg|jpeg|gif)$"),$AM20,"https://s3.tradingview.com/snapshots/"&amp;LOWER(MID(REGEXEXTRACT($AM20,"/x/([A-Za-z0-9]+)"),1,1))&amp;"/"&amp;REGEXEXTRACT($AM20,"/x/([A-Za-z0-9]+)")&amp;".png"),1),"⚠️ link tidak dikenali"))</f>
        <v/>
      </c>
      <c r="AO20" s="68"/>
      <c r="AP20" s="58" t="str">
        <f>IF($AO20="","",IFERROR(_xlfn.IMAGE(IF(REGEXMATCH($AO20,"\.(png|jpg|jpeg|gif)$"),$AO20,"https://s3.tradingview.com/snapshots/"&amp;LOWER(MID(REGEXEXTRACT($AO20,"/x/([A-Za-z0-9]+)"),1,1))&amp;"/"&amp;REGEXEXTRACT($AO20,"/x/([A-Za-z0-9]+)")&amp;".png"),1),"⚠️ link tidak dikenali"))</f>
        <v/>
      </c>
      <c r="AQ20" s="66">
        <f>IF($Z20="",0,IF(AND(OR('📊 Dashboard'!$B$4="(Semua)",$F20='📊 Dashboard'!$B$4),OR('📊 Dashboard'!$B$5="(Semua)",$H20='📊 Dashboard'!$B$5),OR('📊 Dashboard'!$B$6="(Semua)",$E20='📊 Dashboard'!$B$6),OR('📊 Dashboard'!$B$7="(Semua)",$AF20='📊 Dashboard'!$B$7),OR('📊 Dashboard'!$B$8="(Semua)",$AG20='📊 Dashboard'!$B$8),OR('📊 Dashboard'!$B$9="(Semua)",$K20='📊 Dashboard'!$B$9)),1,0))</f>
        <v>0</v>
      </c>
      <c r="AR20" s="69"/>
    </row>
    <row r="21" ht="58" customHeight="1" spans="1:44">
      <c r="A21" s="58" t="str">
        <f t="shared" si="0"/>
        <v/>
      </c>
      <c r="B21" s="59"/>
      <c r="C21" s="60"/>
      <c r="D21" s="60"/>
      <c r="E21" s="58" t="str">
        <f t="shared" si="1"/>
        <v/>
      </c>
      <c r="F21" s="61"/>
      <c r="G21" s="61"/>
      <c r="H21" s="61"/>
      <c r="I21" s="61"/>
      <c r="J21" s="61"/>
      <c r="K21" s="61"/>
      <c r="L21" s="61"/>
      <c r="M21" s="61"/>
      <c r="N21" s="62"/>
      <c r="O21" s="62"/>
      <c r="P21" s="62"/>
      <c r="Q21" s="62"/>
      <c r="R21" s="63" t="str">
        <f>IFERROR(IF(OR($N21="",$O21="",$F21=""),"",ROUND(('⚙️ Setelan'!$B$3*'⚙️ Setelan'!$B$4/100)/(ABS($N21-$O21)*VLOOKUP($F21,'⚙️ Setelan'!$A$14:$F$20,4,FALSE)),2)),"")</f>
        <v/>
      </c>
      <c r="S21" s="64"/>
      <c r="T21" s="65" t="str">
        <f>IFERROR(IF(OR($N21="",$O21="",$S21=""),"",ABS($N21-$O21)*$S21*VLOOKUP($F21,'⚙️ Setelan'!$A$14:$F$20,4,FALSE)),"")</f>
        <v/>
      </c>
      <c r="U21" s="63" t="str">
        <f t="shared" si="2"/>
        <v/>
      </c>
      <c r="V21" s="65" t="str">
        <f>IFERROR(IF(OR($Q21="",$N21="",$S21=""),"",($Q21-$N21)*IF($G21="Buy",1,-1)*$S21*VLOOKUP($F21,'⚙️ Setelan'!$A$14:$F$20,4,FALSE)),"")</f>
        <v/>
      </c>
      <c r="W21" s="65" t="str">
        <f>IFERROR(IF(OR($S21="",$F21=""),"",$S21*VLOOKUP($F21,'⚙️ Setelan'!$A$14:$F$20,5,FALSE)),"")</f>
        <v/>
      </c>
      <c r="X21" s="65" t="str">
        <f t="shared" si="3"/>
        <v/>
      </c>
      <c r="Y21" s="63" t="str">
        <f t="shared" si="4"/>
        <v/>
      </c>
      <c r="Z21" s="58" t="str">
        <f t="shared" si="5"/>
        <v/>
      </c>
      <c r="AA21" s="66" t="str">
        <f t="shared" si="6"/>
        <v/>
      </c>
      <c r="AB21" s="62"/>
      <c r="AC21" s="62"/>
      <c r="AD21" s="63" t="str">
        <f>IFERROR(IF(OR($AB21="",$T21="",$T21=0),"",ROUND(ABS($N21-$AB21)*$S21*VLOOKUP($F21,'⚙️ Setelan'!$A$14:$F$20,4,FALSE)/$T21,2)),"")</f>
        <v/>
      </c>
      <c r="AE21" s="63" t="str">
        <f>IFERROR(IF(OR($AC21="",$T21="",$T21=0),"",ROUND(ABS($AC21-$N21)*$S21*VLOOKUP($F21,'⚙️ Setelan'!$A$14:$F$20,4,FALSE)/$T21,2)),"")</f>
        <v/>
      </c>
      <c r="AF21" s="61"/>
      <c r="AG21" s="61"/>
      <c r="AH21" s="61"/>
      <c r="AI21" s="61"/>
      <c r="AJ21" s="61"/>
      <c r="AK21" s="67"/>
      <c r="AL21" s="58" t="str">
        <f>IF(OR($C21="",$B21=""),"",IF(AND($Z20="Loss",$B21=$B20,MOD($C21-$D20,1)*1440&lt;'⚙️ Setelan'!$B$9),"⚠️ Revenge",""))</f>
        <v/>
      </c>
      <c r="AM21" s="68"/>
      <c r="AN21" s="58" t="str">
        <f>IF($AM21="","",IFERROR(_xlfn.IMAGE(IF(REGEXMATCH($AM21,"\.(png|jpg|jpeg|gif)$"),$AM21,"https://s3.tradingview.com/snapshots/"&amp;LOWER(MID(REGEXEXTRACT($AM21,"/x/([A-Za-z0-9]+)"),1,1))&amp;"/"&amp;REGEXEXTRACT($AM21,"/x/([A-Za-z0-9]+)")&amp;".png"),1),"⚠️ link tidak dikenali"))</f>
        <v/>
      </c>
      <c r="AO21" s="68"/>
      <c r="AP21" s="58" t="str">
        <f>IF($AO21="","",IFERROR(_xlfn.IMAGE(IF(REGEXMATCH($AO21,"\.(png|jpg|jpeg|gif)$"),$AO21,"https://s3.tradingview.com/snapshots/"&amp;LOWER(MID(REGEXEXTRACT($AO21,"/x/([A-Za-z0-9]+)"),1,1))&amp;"/"&amp;REGEXEXTRACT($AO21,"/x/([A-Za-z0-9]+)")&amp;".png"),1),"⚠️ link tidak dikenali"))</f>
        <v/>
      </c>
      <c r="AQ21" s="66">
        <f>IF($Z21="",0,IF(AND(OR('📊 Dashboard'!$B$4="(Semua)",$F21='📊 Dashboard'!$B$4),OR('📊 Dashboard'!$B$5="(Semua)",$H21='📊 Dashboard'!$B$5),OR('📊 Dashboard'!$B$6="(Semua)",$E21='📊 Dashboard'!$B$6),OR('📊 Dashboard'!$B$7="(Semua)",$AF21='📊 Dashboard'!$B$7),OR('📊 Dashboard'!$B$8="(Semua)",$AG21='📊 Dashboard'!$B$8),OR('📊 Dashboard'!$B$9="(Semua)",$K21='📊 Dashboard'!$B$9)),1,0))</f>
        <v>0</v>
      </c>
      <c r="AR21" s="69"/>
    </row>
    <row r="22" ht="58" customHeight="1" spans="1:44">
      <c r="A22" s="58" t="str">
        <f t="shared" si="0"/>
        <v/>
      </c>
      <c r="B22" s="59"/>
      <c r="C22" s="60"/>
      <c r="D22" s="60"/>
      <c r="E22" s="58" t="str">
        <f t="shared" si="1"/>
        <v/>
      </c>
      <c r="F22" s="61"/>
      <c r="G22" s="61"/>
      <c r="H22" s="61"/>
      <c r="I22" s="61"/>
      <c r="J22" s="61"/>
      <c r="K22" s="61"/>
      <c r="L22" s="61"/>
      <c r="M22" s="61"/>
      <c r="N22" s="62"/>
      <c r="O22" s="62"/>
      <c r="P22" s="62"/>
      <c r="Q22" s="62"/>
      <c r="R22" s="63" t="str">
        <f>IFERROR(IF(OR($N22="",$O22="",$F22=""),"",ROUND(('⚙️ Setelan'!$B$3*'⚙️ Setelan'!$B$4/100)/(ABS($N22-$O22)*VLOOKUP($F22,'⚙️ Setelan'!$A$14:$F$20,4,FALSE)),2)),"")</f>
        <v/>
      </c>
      <c r="S22" s="64"/>
      <c r="T22" s="65" t="str">
        <f>IFERROR(IF(OR($N22="",$O22="",$S22=""),"",ABS($N22-$O22)*$S22*VLOOKUP($F22,'⚙️ Setelan'!$A$14:$F$20,4,FALSE)),"")</f>
        <v/>
      </c>
      <c r="U22" s="63" t="str">
        <f t="shared" si="2"/>
        <v/>
      </c>
      <c r="V22" s="65" t="str">
        <f>IFERROR(IF(OR($Q22="",$N22="",$S22=""),"",($Q22-$N22)*IF($G22="Buy",1,-1)*$S22*VLOOKUP($F22,'⚙️ Setelan'!$A$14:$F$20,4,FALSE)),"")</f>
        <v/>
      </c>
      <c r="W22" s="65" t="str">
        <f>IFERROR(IF(OR($S22="",$F22=""),"",$S22*VLOOKUP($F22,'⚙️ Setelan'!$A$14:$F$20,5,FALSE)),"")</f>
        <v/>
      </c>
      <c r="X22" s="65" t="str">
        <f t="shared" si="3"/>
        <v/>
      </c>
      <c r="Y22" s="63" t="str">
        <f t="shared" si="4"/>
        <v/>
      </c>
      <c r="Z22" s="58" t="str">
        <f t="shared" si="5"/>
        <v/>
      </c>
      <c r="AA22" s="66" t="str">
        <f t="shared" si="6"/>
        <v/>
      </c>
      <c r="AB22" s="62"/>
      <c r="AC22" s="62"/>
      <c r="AD22" s="63" t="str">
        <f>IFERROR(IF(OR($AB22="",$T22="",$T22=0),"",ROUND(ABS($N22-$AB22)*$S22*VLOOKUP($F22,'⚙️ Setelan'!$A$14:$F$20,4,FALSE)/$T22,2)),"")</f>
        <v/>
      </c>
      <c r="AE22" s="63" t="str">
        <f>IFERROR(IF(OR($AC22="",$T22="",$T22=0),"",ROUND(ABS($AC22-$N22)*$S22*VLOOKUP($F22,'⚙️ Setelan'!$A$14:$F$20,4,FALSE)/$T22,2)),"")</f>
        <v/>
      </c>
      <c r="AF22" s="61"/>
      <c r="AG22" s="61"/>
      <c r="AH22" s="61"/>
      <c r="AI22" s="61"/>
      <c r="AJ22" s="61"/>
      <c r="AK22" s="67"/>
      <c r="AL22" s="58" t="str">
        <f>IF(OR($C22="",$B22=""),"",IF(AND($Z21="Loss",$B22=$B21,MOD($C22-$D21,1)*1440&lt;'⚙️ Setelan'!$B$9),"⚠️ Revenge",""))</f>
        <v/>
      </c>
      <c r="AM22" s="68"/>
      <c r="AN22" s="58" t="str">
        <f>IF($AM22="","",IFERROR(_xlfn.IMAGE(IF(REGEXMATCH($AM22,"\.(png|jpg|jpeg|gif)$"),$AM22,"https://s3.tradingview.com/snapshots/"&amp;LOWER(MID(REGEXEXTRACT($AM22,"/x/([A-Za-z0-9]+)"),1,1))&amp;"/"&amp;REGEXEXTRACT($AM22,"/x/([A-Za-z0-9]+)")&amp;".png"),1),"⚠️ link tidak dikenali"))</f>
        <v/>
      </c>
      <c r="AO22" s="68"/>
      <c r="AP22" s="58" t="str">
        <f>IF($AO22="","",IFERROR(_xlfn.IMAGE(IF(REGEXMATCH($AO22,"\.(png|jpg|jpeg|gif)$"),$AO22,"https://s3.tradingview.com/snapshots/"&amp;LOWER(MID(REGEXEXTRACT($AO22,"/x/([A-Za-z0-9]+)"),1,1))&amp;"/"&amp;REGEXEXTRACT($AO22,"/x/([A-Za-z0-9]+)")&amp;".png"),1),"⚠️ link tidak dikenali"))</f>
        <v/>
      </c>
      <c r="AQ22" s="66">
        <f>IF($Z22="",0,IF(AND(OR('📊 Dashboard'!$B$4="(Semua)",$F22='📊 Dashboard'!$B$4),OR('📊 Dashboard'!$B$5="(Semua)",$H22='📊 Dashboard'!$B$5),OR('📊 Dashboard'!$B$6="(Semua)",$E22='📊 Dashboard'!$B$6),OR('📊 Dashboard'!$B$7="(Semua)",$AF22='📊 Dashboard'!$B$7),OR('📊 Dashboard'!$B$8="(Semua)",$AG22='📊 Dashboard'!$B$8),OR('📊 Dashboard'!$B$9="(Semua)",$K22='📊 Dashboard'!$B$9)),1,0))</f>
        <v>0</v>
      </c>
      <c r="AR22" s="69"/>
    </row>
    <row r="23" ht="58" customHeight="1" spans="1:44">
      <c r="A23" s="58" t="str">
        <f t="shared" si="0"/>
        <v/>
      </c>
      <c r="B23" s="59"/>
      <c r="C23" s="60"/>
      <c r="D23" s="60"/>
      <c r="E23" s="58" t="str">
        <f t="shared" si="1"/>
        <v/>
      </c>
      <c r="F23" s="61"/>
      <c r="G23" s="61"/>
      <c r="H23" s="61"/>
      <c r="I23" s="61"/>
      <c r="J23" s="61"/>
      <c r="K23" s="61"/>
      <c r="L23" s="61"/>
      <c r="M23" s="61"/>
      <c r="N23" s="62"/>
      <c r="O23" s="62"/>
      <c r="P23" s="62"/>
      <c r="Q23" s="62"/>
      <c r="R23" s="63" t="str">
        <f>IFERROR(IF(OR($N23="",$O23="",$F23=""),"",ROUND(('⚙️ Setelan'!$B$3*'⚙️ Setelan'!$B$4/100)/(ABS($N23-$O23)*VLOOKUP($F23,'⚙️ Setelan'!$A$14:$F$20,4,FALSE)),2)),"")</f>
        <v/>
      </c>
      <c r="S23" s="64"/>
      <c r="T23" s="65" t="str">
        <f>IFERROR(IF(OR($N23="",$O23="",$S23=""),"",ABS($N23-$O23)*$S23*VLOOKUP($F23,'⚙️ Setelan'!$A$14:$F$20,4,FALSE)),"")</f>
        <v/>
      </c>
      <c r="U23" s="63" t="str">
        <f t="shared" si="2"/>
        <v/>
      </c>
      <c r="V23" s="65" t="str">
        <f>IFERROR(IF(OR($Q23="",$N23="",$S23=""),"",($Q23-$N23)*IF($G23="Buy",1,-1)*$S23*VLOOKUP($F23,'⚙️ Setelan'!$A$14:$F$20,4,FALSE)),"")</f>
        <v/>
      </c>
      <c r="W23" s="65" t="str">
        <f>IFERROR(IF(OR($S23="",$F23=""),"",$S23*VLOOKUP($F23,'⚙️ Setelan'!$A$14:$F$20,5,FALSE)),"")</f>
        <v/>
      </c>
      <c r="X23" s="65" t="str">
        <f t="shared" si="3"/>
        <v/>
      </c>
      <c r="Y23" s="63" t="str">
        <f t="shared" si="4"/>
        <v/>
      </c>
      <c r="Z23" s="58" t="str">
        <f t="shared" si="5"/>
        <v/>
      </c>
      <c r="AA23" s="66" t="str">
        <f t="shared" si="6"/>
        <v/>
      </c>
      <c r="AB23" s="62"/>
      <c r="AC23" s="62"/>
      <c r="AD23" s="63" t="str">
        <f>IFERROR(IF(OR($AB23="",$T23="",$T23=0),"",ROUND(ABS($N23-$AB23)*$S23*VLOOKUP($F23,'⚙️ Setelan'!$A$14:$F$20,4,FALSE)/$T23,2)),"")</f>
        <v/>
      </c>
      <c r="AE23" s="63" t="str">
        <f>IFERROR(IF(OR($AC23="",$T23="",$T23=0),"",ROUND(ABS($AC23-$N23)*$S23*VLOOKUP($F23,'⚙️ Setelan'!$A$14:$F$20,4,FALSE)/$T23,2)),"")</f>
        <v/>
      </c>
      <c r="AF23" s="61"/>
      <c r="AG23" s="61"/>
      <c r="AH23" s="61"/>
      <c r="AI23" s="61"/>
      <c r="AJ23" s="61"/>
      <c r="AK23" s="67"/>
      <c r="AL23" s="58" t="str">
        <f>IF(OR($C23="",$B23=""),"",IF(AND($Z22="Loss",$B23=$B22,MOD($C23-$D22,1)*1440&lt;'⚙️ Setelan'!$B$9),"⚠️ Revenge",""))</f>
        <v/>
      </c>
      <c r="AM23" s="68"/>
      <c r="AN23" s="58" t="str">
        <f>IF($AM23="","",IFERROR(_xlfn.IMAGE(IF(REGEXMATCH($AM23,"\.(png|jpg|jpeg|gif)$"),$AM23,"https://s3.tradingview.com/snapshots/"&amp;LOWER(MID(REGEXEXTRACT($AM23,"/x/([A-Za-z0-9]+)"),1,1))&amp;"/"&amp;REGEXEXTRACT($AM23,"/x/([A-Za-z0-9]+)")&amp;".png"),1),"⚠️ link tidak dikenali"))</f>
        <v/>
      </c>
      <c r="AO23" s="68"/>
      <c r="AP23" s="58" t="str">
        <f>IF($AO23="","",IFERROR(_xlfn.IMAGE(IF(REGEXMATCH($AO23,"\.(png|jpg|jpeg|gif)$"),$AO23,"https://s3.tradingview.com/snapshots/"&amp;LOWER(MID(REGEXEXTRACT($AO23,"/x/([A-Za-z0-9]+)"),1,1))&amp;"/"&amp;REGEXEXTRACT($AO23,"/x/([A-Za-z0-9]+)")&amp;".png"),1),"⚠️ link tidak dikenali"))</f>
        <v/>
      </c>
      <c r="AQ23" s="66">
        <f>IF($Z23="",0,IF(AND(OR('📊 Dashboard'!$B$4="(Semua)",$F23='📊 Dashboard'!$B$4),OR('📊 Dashboard'!$B$5="(Semua)",$H23='📊 Dashboard'!$B$5),OR('📊 Dashboard'!$B$6="(Semua)",$E23='📊 Dashboard'!$B$6),OR('📊 Dashboard'!$B$7="(Semua)",$AF23='📊 Dashboard'!$B$7),OR('📊 Dashboard'!$B$8="(Semua)",$AG23='📊 Dashboard'!$B$8),OR('📊 Dashboard'!$B$9="(Semua)",$K23='📊 Dashboard'!$B$9)),1,0))</f>
        <v>0</v>
      </c>
      <c r="AR23" s="69"/>
    </row>
    <row r="24" ht="58" customHeight="1" spans="1:44">
      <c r="A24" s="58" t="str">
        <f t="shared" si="0"/>
        <v/>
      </c>
      <c r="B24" s="59"/>
      <c r="C24" s="60"/>
      <c r="D24" s="60"/>
      <c r="E24" s="58" t="str">
        <f t="shared" si="1"/>
        <v/>
      </c>
      <c r="F24" s="61"/>
      <c r="G24" s="61"/>
      <c r="H24" s="61"/>
      <c r="I24" s="61"/>
      <c r="J24" s="61"/>
      <c r="K24" s="61"/>
      <c r="L24" s="61"/>
      <c r="M24" s="61"/>
      <c r="N24" s="62"/>
      <c r="O24" s="62"/>
      <c r="P24" s="62"/>
      <c r="Q24" s="62"/>
      <c r="R24" s="63" t="str">
        <f>IFERROR(IF(OR($N24="",$O24="",$F24=""),"",ROUND(('⚙️ Setelan'!$B$3*'⚙️ Setelan'!$B$4/100)/(ABS($N24-$O24)*VLOOKUP($F24,'⚙️ Setelan'!$A$14:$F$20,4,FALSE)),2)),"")</f>
        <v/>
      </c>
      <c r="S24" s="64"/>
      <c r="T24" s="65" t="str">
        <f>IFERROR(IF(OR($N24="",$O24="",$S24=""),"",ABS($N24-$O24)*$S24*VLOOKUP($F24,'⚙️ Setelan'!$A$14:$F$20,4,FALSE)),"")</f>
        <v/>
      </c>
      <c r="U24" s="63" t="str">
        <f t="shared" si="2"/>
        <v/>
      </c>
      <c r="V24" s="65" t="str">
        <f>IFERROR(IF(OR($Q24="",$N24="",$S24=""),"",($Q24-$N24)*IF($G24="Buy",1,-1)*$S24*VLOOKUP($F24,'⚙️ Setelan'!$A$14:$F$20,4,FALSE)),"")</f>
        <v/>
      </c>
      <c r="W24" s="65" t="str">
        <f>IFERROR(IF(OR($S24="",$F24=""),"",$S24*VLOOKUP($F24,'⚙️ Setelan'!$A$14:$F$20,5,FALSE)),"")</f>
        <v/>
      </c>
      <c r="X24" s="65" t="str">
        <f t="shared" si="3"/>
        <v/>
      </c>
      <c r="Y24" s="63" t="str">
        <f t="shared" si="4"/>
        <v/>
      </c>
      <c r="Z24" s="58" t="str">
        <f t="shared" si="5"/>
        <v/>
      </c>
      <c r="AA24" s="66" t="str">
        <f t="shared" si="6"/>
        <v/>
      </c>
      <c r="AB24" s="62"/>
      <c r="AC24" s="62"/>
      <c r="AD24" s="63" t="str">
        <f>IFERROR(IF(OR($AB24="",$T24="",$T24=0),"",ROUND(ABS($N24-$AB24)*$S24*VLOOKUP($F24,'⚙️ Setelan'!$A$14:$F$20,4,FALSE)/$T24,2)),"")</f>
        <v/>
      </c>
      <c r="AE24" s="63" t="str">
        <f>IFERROR(IF(OR($AC24="",$T24="",$T24=0),"",ROUND(ABS($AC24-$N24)*$S24*VLOOKUP($F24,'⚙️ Setelan'!$A$14:$F$20,4,FALSE)/$T24,2)),"")</f>
        <v/>
      </c>
      <c r="AF24" s="61"/>
      <c r="AG24" s="61"/>
      <c r="AH24" s="61"/>
      <c r="AI24" s="61"/>
      <c r="AJ24" s="61"/>
      <c r="AK24" s="67"/>
      <c r="AL24" s="58" t="str">
        <f>IF(OR($C24="",$B24=""),"",IF(AND($Z23="Loss",$B24=$B23,MOD($C24-$D23,1)*1440&lt;'⚙️ Setelan'!$B$9),"⚠️ Revenge",""))</f>
        <v/>
      </c>
      <c r="AM24" s="68"/>
      <c r="AN24" s="58" t="str">
        <f>IF($AM24="","",IFERROR(_xlfn.IMAGE(IF(REGEXMATCH($AM24,"\.(png|jpg|jpeg|gif)$"),$AM24,"https://s3.tradingview.com/snapshots/"&amp;LOWER(MID(REGEXEXTRACT($AM24,"/x/([A-Za-z0-9]+)"),1,1))&amp;"/"&amp;REGEXEXTRACT($AM24,"/x/([A-Za-z0-9]+)")&amp;".png"),1),"⚠️ link tidak dikenali"))</f>
        <v/>
      </c>
      <c r="AO24" s="68"/>
      <c r="AP24" s="58" t="str">
        <f>IF($AO24="","",IFERROR(_xlfn.IMAGE(IF(REGEXMATCH($AO24,"\.(png|jpg|jpeg|gif)$"),$AO24,"https://s3.tradingview.com/snapshots/"&amp;LOWER(MID(REGEXEXTRACT($AO24,"/x/([A-Za-z0-9]+)"),1,1))&amp;"/"&amp;REGEXEXTRACT($AO24,"/x/([A-Za-z0-9]+)")&amp;".png"),1),"⚠️ link tidak dikenali"))</f>
        <v/>
      </c>
      <c r="AQ24" s="66">
        <f>IF($Z24="",0,IF(AND(OR('📊 Dashboard'!$B$4="(Semua)",$F24='📊 Dashboard'!$B$4),OR('📊 Dashboard'!$B$5="(Semua)",$H24='📊 Dashboard'!$B$5),OR('📊 Dashboard'!$B$6="(Semua)",$E24='📊 Dashboard'!$B$6),OR('📊 Dashboard'!$B$7="(Semua)",$AF24='📊 Dashboard'!$B$7),OR('📊 Dashboard'!$B$8="(Semua)",$AG24='📊 Dashboard'!$B$8),OR('📊 Dashboard'!$B$9="(Semua)",$K24='📊 Dashboard'!$B$9)),1,0))</f>
        <v>0</v>
      </c>
      <c r="AR24" s="69"/>
    </row>
    <row r="25" ht="58" customHeight="1" spans="1:44">
      <c r="A25" s="58" t="str">
        <f t="shared" si="0"/>
        <v/>
      </c>
      <c r="B25" s="59"/>
      <c r="C25" s="60"/>
      <c r="D25" s="60"/>
      <c r="E25" s="58" t="str">
        <f t="shared" si="1"/>
        <v/>
      </c>
      <c r="F25" s="61"/>
      <c r="G25" s="61"/>
      <c r="H25" s="61"/>
      <c r="I25" s="61"/>
      <c r="J25" s="61"/>
      <c r="K25" s="61"/>
      <c r="L25" s="61"/>
      <c r="M25" s="61"/>
      <c r="N25" s="62"/>
      <c r="O25" s="62"/>
      <c r="P25" s="62"/>
      <c r="Q25" s="62"/>
      <c r="R25" s="63" t="str">
        <f>IFERROR(IF(OR($N25="",$O25="",$F25=""),"",ROUND(('⚙️ Setelan'!$B$3*'⚙️ Setelan'!$B$4/100)/(ABS($N25-$O25)*VLOOKUP($F25,'⚙️ Setelan'!$A$14:$F$20,4,FALSE)),2)),"")</f>
        <v/>
      </c>
      <c r="S25" s="64"/>
      <c r="T25" s="65" t="str">
        <f>IFERROR(IF(OR($N25="",$O25="",$S25=""),"",ABS($N25-$O25)*$S25*VLOOKUP($F25,'⚙️ Setelan'!$A$14:$F$20,4,FALSE)),"")</f>
        <v/>
      </c>
      <c r="U25" s="63" t="str">
        <f t="shared" si="2"/>
        <v/>
      </c>
      <c r="V25" s="65" t="str">
        <f>IFERROR(IF(OR($Q25="",$N25="",$S25=""),"",($Q25-$N25)*IF($G25="Buy",1,-1)*$S25*VLOOKUP($F25,'⚙️ Setelan'!$A$14:$F$20,4,FALSE)),"")</f>
        <v/>
      </c>
      <c r="W25" s="65" t="str">
        <f>IFERROR(IF(OR($S25="",$F25=""),"",$S25*VLOOKUP($F25,'⚙️ Setelan'!$A$14:$F$20,5,FALSE)),"")</f>
        <v/>
      </c>
      <c r="X25" s="65" t="str">
        <f t="shared" si="3"/>
        <v/>
      </c>
      <c r="Y25" s="63" t="str">
        <f t="shared" si="4"/>
        <v/>
      </c>
      <c r="Z25" s="58" t="str">
        <f t="shared" si="5"/>
        <v/>
      </c>
      <c r="AA25" s="66" t="str">
        <f t="shared" si="6"/>
        <v/>
      </c>
      <c r="AB25" s="62"/>
      <c r="AC25" s="62"/>
      <c r="AD25" s="63" t="str">
        <f>IFERROR(IF(OR($AB25="",$T25="",$T25=0),"",ROUND(ABS($N25-$AB25)*$S25*VLOOKUP($F25,'⚙️ Setelan'!$A$14:$F$20,4,FALSE)/$T25,2)),"")</f>
        <v/>
      </c>
      <c r="AE25" s="63" t="str">
        <f>IFERROR(IF(OR($AC25="",$T25="",$T25=0),"",ROUND(ABS($AC25-$N25)*$S25*VLOOKUP($F25,'⚙️ Setelan'!$A$14:$F$20,4,FALSE)/$T25,2)),"")</f>
        <v/>
      </c>
      <c r="AF25" s="61"/>
      <c r="AG25" s="61"/>
      <c r="AH25" s="61"/>
      <c r="AI25" s="61"/>
      <c r="AJ25" s="61"/>
      <c r="AK25" s="67"/>
      <c r="AL25" s="58" t="str">
        <f>IF(OR($C25="",$B25=""),"",IF(AND($Z24="Loss",$B25=$B24,MOD($C25-$D24,1)*1440&lt;'⚙️ Setelan'!$B$9),"⚠️ Revenge",""))</f>
        <v/>
      </c>
      <c r="AM25" s="68"/>
      <c r="AN25" s="58" t="str">
        <f>IF($AM25="","",IFERROR(_xlfn.IMAGE(IF(REGEXMATCH($AM25,"\.(png|jpg|jpeg|gif)$"),$AM25,"https://s3.tradingview.com/snapshots/"&amp;LOWER(MID(REGEXEXTRACT($AM25,"/x/([A-Za-z0-9]+)"),1,1))&amp;"/"&amp;REGEXEXTRACT($AM25,"/x/([A-Za-z0-9]+)")&amp;".png"),1),"⚠️ link tidak dikenali"))</f>
        <v/>
      </c>
      <c r="AO25" s="68"/>
      <c r="AP25" s="58" t="str">
        <f>IF($AO25="","",IFERROR(_xlfn.IMAGE(IF(REGEXMATCH($AO25,"\.(png|jpg|jpeg|gif)$"),$AO25,"https://s3.tradingview.com/snapshots/"&amp;LOWER(MID(REGEXEXTRACT($AO25,"/x/([A-Za-z0-9]+)"),1,1))&amp;"/"&amp;REGEXEXTRACT($AO25,"/x/([A-Za-z0-9]+)")&amp;".png"),1),"⚠️ link tidak dikenali"))</f>
        <v/>
      </c>
      <c r="AQ25" s="66">
        <f>IF($Z25="",0,IF(AND(OR('📊 Dashboard'!$B$4="(Semua)",$F25='📊 Dashboard'!$B$4),OR('📊 Dashboard'!$B$5="(Semua)",$H25='📊 Dashboard'!$B$5),OR('📊 Dashboard'!$B$6="(Semua)",$E25='📊 Dashboard'!$B$6),OR('📊 Dashboard'!$B$7="(Semua)",$AF25='📊 Dashboard'!$B$7),OR('📊 Dashboard'!$B$8="(Semua)",$AG25='📊 Dashboard'!$B$8),OR('📊 Dashboard'!$B$9="(Semua)",$K25='📊 Dashboard'!$B$9)),1,0))</f>
        <v>0</v>
      </c>
      <c r="AR25" s="69"/>
    </row>
    <row r="26" ht="58" customHeight="1" spans="1:44">
      <c r="A26" s="58" t="str">
        <f t="shared" si="0"/>
        <v/>
      </c>
      <c r="B26" s="59"/>
      <c r="C26" s="60"/>
      <c r="D26" s="60"/>
      <c r="E26" s="58" t="str">
        <f t="shared" si="1"/>
        <v/>
      </c>
      <c r="F26" s="61"/>
      <c r="G26" s="61"/>
      <c r="H26" s="61"/>
      <c r="I26" s="61"/>
      <c r="J26" s="61"/>
      <c r="K26" s="61"/>
      <c r="L26" s="61"/>
      <c r="M26" s="61"/>
      <c r="N26" s="62"/>
      <c r="O26" s="62"/>
      <c r="P26" s="62"/>
      <c r="Q26" s="62"/>
      <c r="R26" s="63" t="str">
        <f>IFERROR(IF(OR($N26="",$O26="",$F26=""),"",ROUND(('⚙️ Setelan'!$B$3*'⚙️ Setelan'!$B$4/100)/(ABS($N26-$O26)*VLOOKUP($F26,'⚙️ Setelan'!$A$14:$F$20,4,FALSE)),2)),"")</f>
        <v/>
      </c>
      <c r="S26" s="64"/>
      <c r="T26" s="65" t="str">
        <f>IFERROR(IF(OR($N26="",$O26="",$S26=""),"",ABS($N26-$O26)*$S26*VLOOKUP($F26,'⚙️ Setelan'!$A$14:$F$20,4,FALSE)),"")</f>
        <v/>
      </c>
      <c r="U26" s="63" t="str">
        <f t="shared" si="2"/>
        <v/>
      </c>
      <c r="V26" s="65" t="str">
        <f>IFERROR(IF(OR($Q26="",$N26="",$S26=""),"",($Q26-$N26)*IF($G26="Buy",1,-1)*$S26*VLOOKUP($F26,'⚙️ Setelan'!$A$14:$F$20,4,FALSE)),"")</f>
        <v/>
      </c>
      <c r="W26" s="65" t="str">
        <f>IFERROR(IF(OR($S26="",$F26=""),"",$S26*VLOOKUP($F26,'⚙️ Setelan'!$A$14:$F$20,5,FALSE)),"")</f>
        <v/>
      </c>
      <c r="X26" s="65" t="str">
        <f t="shared" si="3"/>
        <v/>
      </c>
      <c r="Y26" s="63" t="str">
        <f t="shared" si="4"/>
        <v/>
      </c>
      <c r="Z26" s="58" t="str">
        <f t="shared" si="5"/>
        <v/>
      </c>
      <c r="AA26" s="66" t="str">
        <f t="shared" si="6"/>
        <v/>
      </c>
      <c r="AB26" s="62"/>
      <c r="AC26" s="62"/>
      <c r="AD26" s="63" t="str">
        <f>IFERROR(IF(OR($AB26="",$T26="",$T26=0),"",ROUND(ABS($N26-$AB26)*$S26*VLOOKUP($F26,'⚙️ Setelan'!$A$14:$F$20,4,FALSE)/$T26,2)),"")</f>
        <v/>
      </c>
      <c r="AE26" s="63" t="str">
        <f>IFERROR(IF(OR($AC26="",$T26="",$T26=0),"",ROUND(ABS($AC26-$N26)*$S26*VLOOKUP($F26,'⚙️ Setelan'!$A$14:$F$20,4,FALSE)/$T26,2)),"")</f>
        <v/>
      </c>
      <c r="AF26" s="61"/>
      <c r="AG26" s="61"/>
      <c r="AH26" s="61"/>
      <c r="AI26" s="61"/>
      <c r="AJ26" s="61"/>
      <c r="AK26" s="67"/>
      <c r="AL26" s="58" t="str">
        <f>IF(OR($C26="",$B26=""),"",IF(AND($Z25="Loss",$B26=$B25,MOD($C26-$D25,1)*1440&lt;'⚙️ Setelan'!$B$9),"⚠️ Revenge",""))</f>
        <v/>
      </c>
      <c r="AM26" s="68"/>
      <c r="AN26" s="58" t="str">
        <f>IF($AM26="","",IFERROR(_xlfn.IMAGE(IF(REGEXMATCH($AM26,"\.(png|jpg|jpeg|gif)$"),$AM26,"https://s3.tradingview.com/snapshots/"&amp;LOWER(MID(REGEXEXTRACT($AM26,"/x/([A-Za-z0-9]+)"),1,1))&amp;"/"&amp;REGEXEXTRACT($AM26,"/x/([A-Za-z0-9]+)")&amp;".png"),1),"⚠️ link tidak dikenali"))</f>
        <v/>
      </c>
      <c r="AO26" s="68"/>
      <c r="AP26" s="58" t="str">
        <f>IF($AO26="","",IFERROR(_xlfn.IMAGE(IF(REGEXMATCH($AO26,"\.(png|jpg|jpeg|gif)$"),$AO26,"https://s3.tradingview.com/snapshots/"&amp;LOWER(MID(REGEXEXTRACT($AO26,"/x/([A-Za-z0-9]+)"),1,1))&amp;"/"&amp;REGEXEXTRACT($AO26,"/x/([A-Za-z0-9]+)")&amp;".png"),1),"⚠️ link tidak dikenali"))</f>
        <v/>
      </c>
      <c r="AQ26" s="66">
        <f>IF($Z26="",0,IF(AND(OR('📊 Dashboard'!$B$4="(Semua)",$F26='📊 Dashboard'!$B$4),OR('📊 Dashboard'!$B$5="(Semua)",$H26='📊 Dashboard'!$B$5),OR('📊 Dashboard'!$B$6="(Semua)",$E26='📊 Dashboard'!$B$6),OR('📊 Dashboard'!$B$7="(Semua)",$AF26='📊 Dashboard'!$B$7),OR('📊 Dashboard'!$B$8="(Semua)",$AG26='📊 Dashboard'!$B$8),OR('📊 Dashboard'!$B$9="(Semua)",$K26='📊 Dashboard'!$B$9)),1,0))</f>
        <v>0</v>
      </c>
      <c r="AR26" s="69"/>
    </row>
    <row r="27" ht="58" customHeight="1" spans="1:44">
      <c r="A27" s="58" t="str">
        <f t="shared" si="0"/>
        <v/>
      </c>
      <c r="B27" s="59"/>
      <c r="C27" s="60"/>
      <c r="D27" s="60"/>
      <c r="E27" s="58" t="str">
        <f t="shared" si="1"/>
        <v/>
      </c>
      <c r="F27" s="61"/>
      <c r="G27" s="61"/>
      <c r="H27" s="61"/>
      <c r="I27" s="61"/>
      <c r="J27" s="61"/>
      <c r="K27" s="61"/>
      <c r="L27" s="61"/>
      <c r="M27" s="61"/>
      <c r="N27" s="62"/>
      <c r="O27" s="62"/>
      <c r="P27" s="62"/>
      <c r="Q27" s="62"/>
      <c r="R27" s="63" t="str">
        <f>IFERROR(IF(OR($N27="",$O27="",$F27=""),"",ROUND(('⚙️ Setelan'!$B$3*'⚙️ Setelan'!$B$4/100)/(ABS($N27-$O27)*VLOOKUP($F27,'⚙️ Setelan'!$A$14:$F$20,4,FALSE)),2)),"")</f>
        <v/>
      </c>
      <c r="S27" s="64"/>
      <c r="T27" s="65" t="str">
        <f>IFERROR(IF(OR($N27="",$O27="",$S27=""),"",ABS($N27-$O27)*$S27*VLOOKUP($F27,'⚙️ Setelan'!$A$14:$F$20,4,FALSE)),"")</f>
        <v/>
      </c>
      <c r="U27" s="63" t="str">
        <f t="shared" si="2"/>
        <v/>
      </c>
      <c r="V27" s="65" t="str">
        <f>IFERROR(IF(OR($Q27="",$N27="",$S27=""),"",($Q27-$N27)*IF($G27="Buy",1,-1)*$S27*VLOOKUP($F27,'⚙️ Setelan'!$A$14:$F$20,4,FALSE)),"")</f>
        <v/>
      </c>
      <c r="W27" s="65" t="str">
        <f>IFERROR(IF(OR($S27="",$F27=""),"",$S27*VLOOKUP($F27,'⚙️ Setelan'!$A$14:$F$20,5,FALSE)),"")</f>
        <v/>
      </c>
      <c r="X27" s="65" t="str">
        <f t="shared" si="3"/>
        <v/>
      </c>
      <c r="Y27" s="63" t="str">
        <f t="shared" si="4"/>
        <v/>
      </c>
      <c r="Z27" s="58" t="str">
        <f t="shared" si="5"/>
        <v/>
      </c>
      <c r="AA27" s="66" t="str">
        <f t="shared" si="6"/>
        <v/>
      </c>
      <c r="AB27" s="62"/>
      <c r="AC27" s="62"/>
      <c r="AD27" s="63" t="str">
        <f>IFERROR(IF(OR($AB27="",$T27="",$T27=0),"",ROUND(ABS($N27-$AB27)*$S27*VLOOKUP($F27,'⚙️ Setelan'!$A$14:$F$20,4,FALSE)/$T27,2)),"")</f>
        <v/>
      </c>
      <c r="AE27" s="63" t="str">
        <f>IFERROR(IF(OR($AC27="",$T27="",$T27=0),"",ROUND(ABS($AC27-$N27)*$S27*VLOOKUP($F27,'⚙️ Setelan'!$A$14:$F$20,4,FALSE)/$T27,2)),"")</f>
        <v/>
      </c>
      <c r="AF27" s="61"/>
      <c r="AG27" s="61"/>
      <c r="AH27" s="61"/>
      <c r="AI27" s="61"/>
      <c r="AJ27" s="61"/>
      <c r="AK27" s="67"/>
      <c r="AL27" s="58" t="str">
        <f>IF(OR($C27="",$B27=""),"",IF(AND($Z26="Loss",$B27=$B26,MOD($C27-$D26,1)*1440&lt;'⚙️ Setelan'!$B$9),"⚠️ Revenge",""))</f>
        <v/>
      </c>
      <c r="AM27" s="68"/>
      <c r="AN27" s="58" t="str">
        <f>IF($AM27="","",IFERROR(_xlfn.IMAGE(IF(REGEXMATCH($AM27,"\.(png|jpg|jpeg|gif)$"),$AM27,"https://s3.tradingview.com/snapshots/"&amp;LOWER(MID(REGEXEXTRACT($AM27,"/x/([A-Za-z0-9]+)"),1,1))&amp;"/"&amp;REGEXEXTRACT($AM27,"/x/([A-Za-z0-9]+)")&amp;".png"),1),"⚠️ link tidak dikenali"))</f>
        <v/>
      </c>
      <c r="AO27" s="68"/>
      <c r="AP27" s="58" t="str">
        <f>IF($AO27="","",IFERROR(_xlfn.IMAGE(IF(REGEXMATCH($AO27,"\.(png|jpg|jpeg|gif)$"),$AO27,"https://s3.tradingview.com/snapshots/"&amp;LOWER(MID(REGEXEXTRACT($AO27,"/x/([A-Za-z0-9]+)"),1,1))&amp;"/"&amp;REGEXEXTRACT($AO27,"/x/([A-Za-z0-9]+)")&amp;".png"),1),"⚠️ link tidak dikenali"))</f>
        <v/>
      </c>
      <c r="AQ27" s="66">
        <f>IF($Z27="",0,IF(AND(OR('📊 Dashboard'!$B$4="(Semua)",$F27='📊 Dashboard'!$B$4),OR('📊 Dashboard'!$B$5="(Semua)",$H27='📊 Dashboard'!$B$5),OR('📊 Dashboard'!$B$6="(Semua)",$E27='📊 Dashboard'!$B$6),OR('📊 Dashboard'!$B$7="(Semua)",$AF27='📊 Dashboard'!$B$7),OR('📊 Dashboard'!$B$8="(Semua)",$AG27='📊 Dashboard'!$B$8),OR('📊 Dashboard'!$B$9="(Semua)",$K27='📊 Dashboard'!$B$9)),1,0))</f>
        <v>0</v>
      </c>
      <c r="AR27" s="69"/>
    </row>
    <row r="28" ht="58" customHeight="1" spans="1:44">
      <c r="A28" s="58" t="str">
        <f t="shared" si="0"/>
        <v/>
      </c>
      <c r="B28" s="59"/>
      <c r="C28" s="60"/>
      <c r="D28" s="60"/>
      <c r="E28" s="58" t="str">
        <f t="shared" si="1"/>
        <v/>
      </c>
      <c r="F28" s="61"/>
      <c r="G28" s="61"/>
      <c r="H28" s="61"/>
      <c r="I28" s="61"/>
      <c r="J28" s="61"/>
      <c r="K28" s="61"/>
      <c r="L28" s="61"/>
      <c r="M28" s="61"/>
      <c r="N28" s="62"/>
      <c r="O28" s="62"/>
      <c r="P28" s="62"/>
      <c r="Q28" s="62"/>
      <c r="R28" s="63" t="str">
        <f>IFERROR(IF(OR($N28="",$O28="",$F28=""),"",ROUND(('⚙️ Setelan'!$B$3*'⚙️ Setelan'!$B$4/100)/(ABS($N28-$O28)*VLOOKUP($F28,'⚙️ Setelan'!$A$14:$F$20,4,FALSE)),2)),"")</f>
        <v/>
      </c>
      <c r="S28" s="64"/>
      <c r="T28" s="65" t="str">
        <f>IFERROR(IF(OR($N28="",$O28="",$S28=""),"",ABS($N28-$O28)*$S28*VLOOKUP($F28,'⚙️ Setelan'!$A$14:$F$20,4,FALSE)),"")</f>
        <v/>
      </c>
      <c r="U28" s="63" t="str">
        <f t="shared" si="2"/>
        <v/>
      </c>
      <c r="V28" s="65" t="str">
        <f>IFERROR(IF(OR($Q28="",$N28="",$S28=""),"",($Q28-$N28)*IF($G28="Buy",1,-1)*$S28*VLOOKUP($F28,'⚙️ Setelan'!$A$14:$F$20,4,FALSE)),"")</f>
        <v/>
      </c>
      <c r="W28" s="65" t="str">
        <f>IFERROR(IF(OR($S28="",$F28=""),"",$S28*VLOOKUP($F28,'⚙️ Setelan'!$A$14:$F$20,5,FALSE)),"")</f>
        <v/>
      </c>
      <c r="X28" s="65" t="str">
        <f t="shared" si="3"/>
        <v/>
      </c>
      <c r="Y28" s="63" t="str">
        <f t="shared" si="4"/>
        <v/>
      </c>
      <c r="Z28" s="58" t="str">
        <f t="shared" si="5"/>
        <v/>
      </c>
      <c r="AA28" s="66" t="str">
        <f t="shared" si="6"/>
        <v/>
      </c>
      <c r="AB28" s="62"/>
      <c r="AC28" s="62"/>
      <c r="AD28" s="63" t="str">
        <f>IFERROR(IF(OR($AB28="",$T28="",$T28=0),"",ROUND(ABS($N28-$AB28)*$S28*VLOOKUP($F28,'⚙️ Setelan'!$A$14:$F$20,4,FALSE)/$T28,2)),"")</f>
        <v/>
      </c>
      <c r="AE28" s="63" t="str">
        <f>IFERROR(IF(OR($AC28="",$T28="",$T28=0),"",ROUND(ABS($AC28-$N28)*$S28*VLOOKUP($F28,'⚙️ Setelan'!$A$14:$F$20,4,FALSE)/$T28,2)),"")</f>
        <v/>
      </c>
      <c r="AF28" s="61"/>
      <c r="AG28" s="61"/>
      <c r="AH28" s="61"/>
      <c r="AI28" s="61"/>
      <c r="AJ28" s="61"/>
      <c r="AK28" s="67"/>
      <c r="AL28" s="58" t="str">
        <f>IF(OR($C28="",$B28=""),"",IF(AND($Z27="Loss",$B28=$B27,MOD($C28-$D27,1)*1440&lt;'⚙️ Setelan'!$B$9),"⚠️ Revenge",""))</f>
        <v/>
      </c>
      <c r="AM28" s="68"/>
      <c r="AN28" s="58" t="str">
        <f>IF($AM28="","",IFERROR(_xlfn.IMAGE(IF(REGEXMATCH($AM28,"\.(png|jpg|jpeg|gif)$"),$AM28,"https://s3.tradingview.com/snapshots/"&amp;LOWER(MID(REGEXEXTRACT($AM28,"/x/([A-Za-z0-9]+)"),1,1))&amp;"/"&amp;REGEXEXTRACT($AM28,"/x/([A-Za-z0-9]+)")&amp;".png"),1),"⚠️ link tidak dikenali"))</f>
        <v/>
      </c>
      <c r="AO28" s="68"/>
      <c r="AP28" s="58" t="str">
        <f>IF($AO28="","",IFERROR(_xlfn.IMAGE(IF(REGEXMATCH($AO28,"\.(png|jpg|jpeg|gif)$"),$AO28,"https://s3.tradingview.com/snapshots/"&amp;LOWER(MID(REGEXEXTRACT($AO28,"/x/([A-Za-z0-9]+)"),1,1))&amp;"/"&amp;REGEXEXTRACT($AO28,"/x/([A-Za-z0-9]+)")&amp;".png"),1),"⚠️ link tidak dikenali"))</f>
        <v/>
      </c>
      <c r="AQ28" s="66">
        <f>IF($Z28="",0,IF(AND(OR('📊 Dashboard'!$B$4="(Semua)",$F28='📊 Dashboard'!$B$4),OR('📊 Dashboard'!$B$5="(Semua)",$H28='📊 Dashboard'!$B$5),OR('📊 Dashboard'!$B$6="(Semua)",$E28='📊 Dashboard'!$B$6),OR('📊 Dashboard'!$B$7="(Semua)",$AF28='📊 Dashboard'!$B$7),OR('📊 Dashboard'!$B$8="(Semua)",$AG28='📊 Dashboard'!$B$8),OR('📊 Dashboard'!$B$9="(Semua)",$K28='📊 Dashboard'!$B$9)),1,0))</f>
        <v>0</v>
      </c>
      <c r="AR28" s="69"/>
    </row>
    <row r="29" ht="58" customHeight="1" spans="1:44">
      <c r="A29" s="58" t="str">
        <f t="shared" si="0"/>
        <v/>
      </c>
      <c r="B29" s="59"/>
      <c r="C29" s="60"/>
      <c r="D29" s="60"/>
      <c r="E29" s="58" t="str">
        <f t="shared" si="1"/>
        <v/>
      </c>
      <c r="F29" s="61"/>
      <c r="G29" s="61"/>
      <c r="H29" s="61"/>
      <c r="I29" s="61"/>
      <c r="J29" s="61"/>
      <c r="K29" s="61"/>
      <c r="L29" s="61"/>
      <c r="M29" s="61"/>
      <c r="N29" s="62"/>
      <c r="O29" s="62"/>
      <c r="P29" s="62"/>
      <c r="Q29" s="62"/>
      <c r="R29" s="63" t="str">
        <f>IFERROR(IF(OR($N29="",$O29="",$F29=""),"",ROUND(('⚙️ Setelan'!$B$3*'⚙️ Setelan'!$B$4/100)/(ABS($N29-$O29)*VLOOKUP($F29,'⚙️ Setelan'!$A$14:$F$20,4,FALSE)),2)),"")</f>
        <v/>
      </c>
      <c r="S29" s="64"/>
      <c r="T29" s="65" t="str">
        <f>IFERROR(IF(OR($N29="",$O29="",$S29=""),"",ABS($N29-$O29)*$S29*VLOOKUP($F29,'⚙️ Setelan'!$A$14:$F$20,4,FALSE)),"")</f>
        <v/>
      </c>
      <c r="U29" s="63" t="str">
        <f t="shared" si="2"/>
        <v/>
      </c>
      <c r="V29" s="65" t="str">
        <f>IFERROR(IF(OR($Q29="",$N29="",$S29=""),"",($Q29-$N29)*IF($G29="Buy",1,-1)*$S29*VLOOKUP($F29,'⚙️ Setelan'!$A$14:$F$20,4,FALSE)),"")</f>
        <v/>
      </c>
      <c r="W29" s="65" t="str">
        <f>IFERROR(IF(OR($S29="",$F29=""),"",$S29*VLOOKUP($F29,'⚙️ Setelan'!$A$14:$F$20,5,FALSE)),"")</f>
        <v/>
      </c>
      <c r="X29" s="65" t="str">
        <f t="shared" si="3"/>
        <v/>
      </c>
      <c r="Y29" s="63" t="str">
        <f t="shared" si="4"/>
        <v/>
      </c>
      <c r="Z29" s="58" t="str">
        <f t="shared" si="5"/>
        <v/>
      </c>
      <c r="AA29" s="66" t="str">
        <f t="shared" si="6"/>
        <v/>
      </c>
      <c r="AB29" s="62"/>
      <c r="AC29" s="62"/>
      <c r="AD29" s="63" t="str">
        <f>IFERROR(IF(OR($AB29="",$T29="",$T29=0),"",ROUND(ABS($N29-$AB29)*$S29*VLOOKUP($F29,'⚙️ Setelan'!$A$14:$F$20,4,FALSE)/$T29,2)),"")</f>
        <v/>
      </c>
      <c r="AE29" s="63" t="str">
        <f>IFERROR(IF(OR($AC29="",$T29="",$T29=0),"",ROUND(ABS($AC29-$N29)*$S29*VLOOKUP($F29,'⚙️ Setelan'!$A$14:$F$20,4,FALSE)/$T29,2)),"")</f>
        <v/>
      </c>
      <c r="AF29" s="61"/>
      <c r="AG29" s="61"/>
      <c r="AH29" s="61"/>
      <c r="AI29" s="61"/>
      <c r="AJ29" s="61"/>
      <c r="AK29" s="67"/>
      <c r="AL29" s="58" t="str">
        <f>IF(OR($C29="",$B29=""),"",IF(AND($Z28="Loss",$B29=$B28,MOD($C29-$D28,1)*1440&lt;'⚙️ Setelan'!$B$9),"⚠️ Revenge",""))</f>
        <v/>
      </c>
      <c r="AM29" s="68"/>
      <c r="AN29" s="58" t="str">
        <f>IF($AM29="","",IFERROR(_xlfn.IMAGE(IF(REGEXMATCH($AM29,"\.(png|jpg|jpeg|gif)$"),$AM29,"https://s3.tradingview.com/snapshots/"&amp;LOWER(MID(REGEXEXTRACT($AM29,"/x/([A-Za-z0-9]+)"),1,1))&amp;"/"&amp;REGEXEXTRACT($AM29,"/x/([A-Za-z0-9]+)")&amp;".png"),1),"⚠️ link tidak dikenali"))</f>
        <v/>
      </c>
      <c r="AO29" s="68"/>
      <c r="AP29" s="58" t="str">
        <f>IF($AO29="","",IFERROR(_xlfn.IMAGE(IF(REGEXMATCH($AO29,"\.(png|jpg|jpeg|gif)$"),$AO29,"https://s3.tradingview.com/snapshots/"&amp;LOWER(MID(REGEXEXTRACT($AO29,"/x/([A-Za-z0-9]+)"),1,1))&amp;"/"&amp;REGEXEXTRACT($AO29,"/x/([A-Za-z0-9]+)")&amp;".png"),1),"⚠️ link tidak dikenali"))</f>
        <v/>
      </c>
      <c r="AQ29" s="66">
        <f>IF($Z29="",0,IF(AND(OR('📊 Dashboard'!$B$4="(Semua)",$F29='📊 Dashboard'!$B$4),OR('📊 Dashboard'!$B$5="(Semua)",$H29='📊 Dashboard'!$B$5),OR('📊 Dashboard'!$B$6="(Semua)",$E29='📊 Dashboard'!$B$6),OR('📊 Dashboard'!$B$7="(Semua)",$AF29='📊 Dashboard'!$B$7),OR('📊 Dashboard'!$B$8="(Semua)",$AG29='📊 Dashboard'!$B$8),OR('📊 Dashboard'!$B$9="(Semua)",$K29='📊 Dashboard'!$B$9)),1,0))</f>
        <v>0</v>
      </c>
      <c r="AR29" s="69"/>
    </row>
    <row r="30" ht="58" customHeight="1" spans="1:44">
      <c r="A30" s="58" t="str">
        <f t="shared" si="0"/>
        <v/>
      </c>
      <c r="B30" s="59"/>
      <c r="C30" s="60"/>
      <c r="D30" s="60"/>
      <c r="E30" s="58" t="str">
        <f t="shared" si="1"/>
        <v/>
      </c>
      <c r="F30" s="61"/>
      <c r="G30" s="61"/>
      <c r="H30" s="61"/>
      <c r="I30" s="61"/>
      <c r="J30" s="61"/>
      <c r="K30" s="61"/>
      <c r="L30" s="61"/>
      <c r="M30" s="61"/>
      <c r="N30" s="62"/>
      <c r="O30" s="62"/>
      <c r="P30" s="62"/>
      <c r="Q30" s="62"/>
      <c r="R30" s="63" t="str">
        <f>IFERROR(IF(OR($N30="",$O30="",$F30=""),"",ROUND(('⚙️ Setelan'!$B$3*'⚙️ Setelan'!$B$4/100)/(ABS($N30-$O30)*VLOOKUP($F30,'⚙️ Setelan'!$A$14:$F$20,4,FALSE)),2)),"")</f>
        <v/>
      </c>
      <c r="S30" s="64"/>
      <c r="T30" s="65" t="str">
        <f>IFERROR(IF(OR($N30="",$O30="",$S30=""),"",ABS($N30-$O30)*$S30*VLOOKUP($F30,'⚙️ Setelan'!$A$14:$F$20,4,FALSE)),"")</f>
        <v/>
      </c>
      <c r="U30" s="63" t="str">
        <f t="shared" si="2"/>
        <v/>
      </c>
      <c r="V30" s="65" t="str">
        <f>IFERROR(IF(OR($Q30="",$N30="",$S30=""),"",($Q30-$N30)*IF($G30="Buy",1,-1)*$S30*VLOOKUP($F30,'⚙️ Setelan'!$A$14:$F$20,4,FALSE)),"")</f>
        <v/>
      </c>
      <c r="W30" s="65" t="str">
        <f>IFERROR(IF(OR($S30="",$F30=""),"",$S30*VLOOKUP($F30,'⚙️ Setelan'!$A$14:$F$20,5,FALSE)),"")</f>
        <v/>
      </c>
      <c r="X30" s="65" t="str">
        <f t="shared" si="3"/>
        <v/>
      </c>
      <c r="Y30" s="63" t="str">
        <f t="shared" si="4"/>
        <v/>
      </c>
      <c r="Z30" s="58" t="str">
        <f t="shared" si="5"/>
        <v/>
      </c>
      <c r="AA30" s="66" t="str">
        <f t="shared" si="6"/>
        <v/>
      </c>
      <c r="AB30" s="62"/>
      <c r="AC30" s="62"/>
      <c r="AD30" s="63" t="str">
        <f>IFERROR(IF(OR($AB30="",$T30="",$T30=0),"",ROUND(ABS($N30-$AB30)*$S30*VLOOKUP($F30,'⚙️ Setelan'!$A$14:$F$20,4,FALSE)/$T30,2)),"")</f>
        <v/>
      </c>
      <c r="AE30" s="63" t="str">
        <f>IFERROR(IF(OR($AC30="",$T30="",$T30=0),"",ROUND(ABS($AC30-$N30)*$S30*VLOOKUP($F30,'⚙️ Setelan'!$A$14:$F$20,4,FALSE)/$T30,2)),"")</f>
        <v/>
      </c>
      <c r="AF30" s="61"/>
      <c r="AG30" s="61"/>
      <c r="AH30" s="61"/>
      <c r="AI30" s="61"/>
      <c r="AJ30" s="61"/>
      <c r="AK30" s="67"/>
      <c r="AL30" s="58" t="str">
        <f>IF(OR($C30="",$B30=""),"",IF(AND($Z29="Loss",$B30=$B29,MOD($C30-$D29,1)*1440&lt;'⚙️ Setelan'!$B$9),"⚠️ Revenge",""))</f>
        <v/>
      </c>
      <c r="AM30" s="68"/>
      <c r="AN30" s="58" t="str">
        <f>IF($AM30="","",IFERROR(_xlfn.IMAGE(IF(REGEXMATCH($AM30,"\.(png|jpg|jpeg|gif)$"),$AM30,"https://s3.tradingview.com/snapshots/"&amp;LOWER(MID(REGEXEXTRACT($AM30,"/x/([A-Za-z0-9]+)"),1,1))&amp;"/"&amp;REGEXEXTRACT($AM30,"/x/([A-Za-z0-9]+)")&amp;".png"),1),"⚠️ link tidak dikenali"))</f>
        <v/>
      </c>
      <c r="AO30" s="68"/>
      <c r="AP30" s="58" t="str">
        <f>IF($AO30="","",IFERROR(_xlfn.IMAGE(IF(REGEXMATCH($AO30,"\.(png|jpg|jpeg|gif)$"),$AO30,"https://s3.tradingview.com/snapshots/"&amp;LOWER(MID(REGEXEXTRACT($AO30,"/x/([A-Za-z0-9]+)"),1,1))&amp;"/"&amp;REGEXEXTRACT($AO30,"/x/([A-Za-z0-9]+)")&amp;".png"),1),"⚠️ link tidak dikenali"))</f>
        <v/>
      </c>
      <c r="AQ30" s="66">
        <f>IF($Z30="",0,IF(AND(OR('📊 Dashboard'!$B$4="(Semua)",$F30='📊 Dashboard'!$B$4),OR('📊 Dashboard'!$B$5="(Semua)",$H30='📊 Dashboard'!$B$5),OR('📊 Dashboard'!$B$6="(Semua)",$E30='📊 Dashboard'!$B$6),OR('📊 Dashboard'!$B$7="(Semua)",$AF30='📊 Dashboard'!$B$7),OR('📊 Dashboard'!$B$8="(Semua)",$AG30='📊 Dashboard'!$B$8),OR('📊 Dashboard'!$B$9="(Semua)",$K30='📊 Dashboard'!$B$9)),1,0))</f>
        <v>0</v>
      </c>
      <c r="AR30" s="69"/>
    </row>
    <row r="31" ht="58" customHeight="1" spans="1:44">
      <c r="A31" s="58" t="str">
        <f t="shared" si="0"/>
        <v/>
      </c>
      <c r="B31" s="59"/>
      <c r="C31" s="60"/>
      <c r="D31" s="60"/>
      <c r="E31" s="58" t="str">
        <f t="shared" si="1"/>
        <v/>
      </c>
      <c r="F31" s="61"/>
      <c r="G31" s="61"/>
      <c r="H31" s="61"/>
      <c r="I31" s="61"/>
      <c r="J31" s="61"/>
      <c r="K31" s="61"/>
      <c r="L31" s="61"/>
      <c r="M31" s="61"/>
      <c r="N31" s="62"/>
      <c r="O31" s="62"/>
      <c r="P31" s="62"/>
      <c r="Q31" s="62"/>
      <c r="R31" s="63" t="str">
        <f>IFERROR(IF(OR($N31="",$O31="",$F31=""),"",ROUND(('⚙️ Setelan'!$B$3*'⚙️ Setelan'!$B$4/100)/(ABS($N31-$O31)*VLOOKUP($F31,'⚙️ Setelan'!$A$14:$F$20,4,FALSE)),2)),"")</f>
        <v/>
      </c>
      <c r="S31" s="64"/>
      <c r="T31" s="65" t="str">
        <f>IFERROR(IF(OR($N31="",$O31="",$S31=""),"",ABS($N31-$O31)*$S31*VLOOKUP($F31,'⚙️ Setelan'!$A$14:$F$20,4,FALSE)),"")</f>
        <v/>
      </c>
      <c r="U31" s="63" t="str">
        <f t="shared" si="2"/>
        <v/>
      </c>
      <c r="V31" s="65" t="str">
        <f>IFERROR(IF(OR($Q31="",$N31="",$S31=""),"",($Q31-$N31)*IF($G31="Buy",1,-1)*$S31*VLOOKUP($F31,'⚙️ Setelan'!$A$14:$F$20,4,FALSE)),"")</f>
        <v/>
      </c>
      <c r="W31" s="65" t="str">
        <f>IFERROR(IF(OR($S31="",$F31=""),"",$S31*VLOOKUP($F31,'⚙️ Setelan'!$A$14:$F$20,5,FALSE)),"")</f>
        <v/>
      </c>
      <c r="X31" s="65" t="str">
        <f t="shared" si="3"/>
        <v/>
      </c>
      <c r="Y31" s="63" t="str">
        <f t="shared" si="4"/>
        <v/>
      </c>
      <c r="Z31" s="58" t="str">
        <f t="shared" si="5"/>
        <v/>
      </c>
      <c r="AA31" s="66" t="str">
        <f t="shared" si="6"/>
        <v/>
      </c>
      <c r="AB31" s="62"/>
      <c r="AC31" s="62"/>
      <c r="AD31" s="63" t="str">
        <f>IFERROR(IF(OR($AB31="",$T31="",$T31=0),"",ROUND(ABS($N31-$AB31)*$S31*VLOOKUP($F31,'⚙️ Setelan'!$A$14:$F$20,4,FALSE)/$T31,2)),"")</f>
        <v/>
      </c>
      <c r="AE31" s="63" t="str">
        <f>IFERROR(IF(OR($AC31="",$T31="",$T31=0),"",ROUND(ABS($AC31-$N31)*$S31*VLOOKUP($F31,'⚙️ Setelan'!$A$14:$F$20,4,FALSE)/$T31,2)),"")</f>
        <v/>
      </c>
      <c r="AF31" s="61"/>
      <c r="AG31" s="61"/>
      <c r="AH31" s="61"/>
      <c r="AI31" s="61"/>
      <c r="AJ31" s="61"/>
      <c r="AK31" s="67"/>
      <c r="AL31" s="58" t="str">
        <f>IF(OR($C31="",$B31=""),"",IF(AND($Z30="Loss",$B31=$B30,MOD($C31-$D30,1)*1440&lt;'⚙️ Setelan'!$B$9),"⚠️ Revenge",""))</f>
        <v/>
      </c>
      <c r="AM31" s="68"/>
      <c r="AN31" s="58" t="str">
        <f>IF($AM31="","",IFERROR(_xlfn.IMAGE(IF(REGEXMATCH($AM31,"\.(png|jpg|jpeg|gif)$"),$AM31,"https://s3.tradingview.com/snapshots/"&amp;LOWER(MID(REGEXEXTRACT($AM31,"/x/([A-Za-z0-9]+)"),1,1))&amp;"/"&amp;REGEXEXTRACT($AM31,"/x/([A-Za-z0-9]+)")&amp;".png"),1),"⚠️ link tidak dikenali"))</f>
        <v/>
      </c>
      <c r="AO31" s="68"/>
      <c r="AP31" s="58" t="str">
        <f>IF($AO31="","",IFERROR(_xlfn.IMAGE(IF(REGEXMATCH($AO31,"\.(png|jpg|jpeg|gif)$"),$AO31,"https://s3.tradingview.com/snapshots/"&amp;LOWER(MID(REGEXEXTRACT($AO31,"/x/([A-Za-z0-9]+)"),1,1))&amp;"/"&amp;REGEXEXTRACT($AO31,"/x/([A-Za-z0-9]+)")&amp;".png"),1),"⚠️ link tidak dikenali"))</f>
        <v/>
      </c>
      <c r="AQ31" s="66">
        <f>IF($Z31="",0,IF(AND(OR('📊 Dashboard'!$B$4="(Semua)",$F31='📊 Dashboard'!$B$4),OR('📊 Dashboard'!$B$5="(Semua)",$H31='📊 Dashboard'!$B$5),OR('📊 Dashboard'!$B$6="(Semua)",$E31='📊 Dashboard'!$B$6),OR('📊 Dashboard'!$B$7="(Semua)",$AF31='📊 Dashboard'!$B$7),OR('📊 Dashboard'!$B$8="(Semua)",$AG31='📊 Dashboard'!$B$8),OR('📊 Dashboard'!$B$9="(Semua)",$K31='📊 Dashboard'!$B$9)),1,0))</f>
        <v>0</v>
      </c>
      <c r="AR31" s="69"/>
    </row>
    <row r="32" ht="58" customHeight="1" spans="1:44">
      <c r="A32" s="58" t="str">
        <f t="shared" si="0"/>
        <v/>
      </c>
      <c r="B32" s="59"/>
      <c r="C32" s="60"/>
      <c r="D32" s="60"/>
      <c r="E32" s="58" t="str">
        <f t="shared" si="1"/>
        <v/>
      </c>
      <c r="F32" s="61"/>
      <c r="G32" s="61"/>
      <c r="H32" s="61"/>
      <c r="I32" s="61"/>
      <c r="J32" s="61"/>
      <c r="K32" s="61"/>
      <c r="L32" s="61"/>
      <c r="M32" s="61"/>
      <c r="N32" s="62"/>
      <c r="O32" s="62"/>
      <c r="P32" s="62"/>
      <c r="Q32" s="62"/>
      <c r="R32" s="63" t="str">
        <f>IFERROR(IF(OR($N32="",$O32="",$F32=""),"",ROUND(('⚙️ Setelan'!$B$3*'⚙️ Setelan'!$B$4/100)/(ABS($N32-$O32)*VLOOKUP($F32,'⚙️ Setelan'!$A$14:$F$20,4,FALSE)),2)),"")</f>
        <v/>
      </c>
      <c r="S32" s="64"/>
      <c r="T32" s="65" t="str">
        <f>IFERROR(IF(OR($N32="",$O32="",$S32=""),"",ABS($N32-$O32)*$S32*VLOOKUP($F32,'⚙️ Setelan'!$A$14:$F$20,4,FALSE)),"")</f>
        <v/>
      </c>
      <c r="U32" s="63" t="str">
        <f t="shared" si="2"/>
        <v/>
      </c>
      <c r="V32" s="65" t="str">
        <f>IFERROR(IF(OR($Q32="",$N32="",$S32=""),"",($Q32-$N32)*IF($G32="Buy",1,-1)*$S32*VLOOKUP($F32,'⚙️ Setelan'!$A$14:$F$20,4,FALSE)),"")</f>
        <v/>
      </c>
      <c r="W32" s="65" t="str">
        <f>IFERROR(IF(OR($S32="",$F32=""),"",$S32*VLOOKUP($F32,'⚙️ Setelan'!$A$14:$F$20,5,FALSE)),"")</f>
        <v/>
      </c>
      <c r="X32" s="65" t="str">
        <f t="shared" si="3"/>
        <v/>
      </c>
      <c r="Y32" s="63" t="str">
        <f t="shared" si="4"/>
        <v/>
      </c>
      <c r="Z32" s="58" t="str">
        <f t="shared" si="5"/>
        <v/>
      </c>
      <c r="AA32" s="66" t="str">
        <f t="shared" si="6"/>
        <v/>
      </c>
      <c r="AB32" s="62"/>
      <c r="AC32" s="62"/>
      <c r="AD32" s="63" t="str">
        <f>IFERROR(IF(OR($AB32="",$T32="",$T32=0),"",ROUND(ABS($N32-$AB32)*$S32*VLOOKUP($F32,'⚙️ Setelan'!$A$14:$F$20,4,FALSE)/$T32,2)),"")</f>
        <v/>
      </c>
      <c r="AE32" s="63" t="str">
        <f>IFERROR(IF(OR($AC32="",$T32="",$T32=0),"",ROUND(ABS($AC32-$N32)*$S32*VLOOKUP($F32,'⚙️ Setelan'!$A$14:$F$20,4,FALSE)/$T32,2)),"")</f>
        <v/>
      </c>
      <c r="AF32" s="61"/>
      <c r="AG32" s="61"/>
      <c r="AH32" s="61"/>
      <c r="AI32" s="61"/>
      <c r="AJ32" s="61"/>
      <c r="AK32" s="67"/>
      <c r="AL32" s="58" t="str">
        <f>IF(OR($C32="",$B32=""),"",IF(AND($Z31="Loss",$B32=$B31,MOD($C32-$D31,1)*1440&lt;'⚙️ Setelan'!$B$9),"⚠️ Revenge",""))</f>
        <v/>
      </c>
      <c r="AM32" s="68"/>
      <c r="AN32" s="58" t="str">
        <f>IF($AM32="","",IFERROR(_xlfn.IMAGE(IF(REGEXMATCH($AM32,"\.(png|jpg|jpeg|gif)$"),$AM32,"https://s3.tradingview.com/snapshots/"&amp;LOWER(MID(REGEXEXTRACT($AM32,"/x/([A-Za-z0-9]+)"),1,1))&amp;"/"&amp;REGEXEXTRACT($AM32,"/x/([A-Za-z0-9]+)")&amp;".png"),1),"⚠️ link tidak dikenali"))</f>
        <v/>
      </c>
      <c r="AO32" s="68"/>
      <c r="AP32" s="58" t="str">
        <f>IF($AO32="","",IFERROR(_xlfn.IMAGE(IF(REGEXMATCH($AO32,"\.(png|jpg|jpeg|gif)$"),$AO32,"https://s3.tradingview.com/snapshots/"&amp;LOWER(MID(REGEXEXTRACT($AO32,"/x/([A-Za-z0-9]+)"),1,1))&amp;"/"&amp;REGEXEXTRACT($AO32,"/x/([A-Za-z0-9]+)")&amp;".png"),1),"⚠️ link tidak dikenali"))</f>
        <v/>
      </c>
      <c r="AQ32" s="66">
        <f>IF($Z32="",0,IF(AND(OR('📊 Dashboard'!$B$4="(Semua)",$F32='📊 Dashboard'!$B$4),OR('📊 Dashboard'!$B$5="(Semua)",$H32='📊 Dashboard'!$B$5),OR('📊 Dashboard'!$B$6="(Semua)",$E32='📊 Dashboard'!$B$6),OR('📊 Dashboard'!$B$7="(Semua)",$AF32='📊 Dashboard'!$B$7),OR('📊 Dashboard'!$B$8="(Semua)",$AG32='📊 Dashboard'!$B$8),OR('📊 Dashboard'!$B$9="(Semua)",$K32='📊 Dashboard'!$B$9)),1,0))</f>
        <v>0</v>
      </c>
      <c r="AR32" s="69"/>
    </row>
    <row r="33" ht="58" customHeight="1" spans="1:44">
      <c r="A33" s="58" t="str">
        <f t="shared" si="0"/>
        <v/>
      </c>
      <c r="B33" s="59"/>
      <c r="C33" s="60"/>
      <c r="D33" s="60"/>
      <c r="E33" s="58" t="str">
        <f t="shared" si="1"/>
        <v/>
      </c>
      <c r="F33" s="61"/>
      <c r="G33" s="61"/>
      <c r="H33" s="61"/>
      <c r="I33" s="61"/>
      <c r="J33" s="61"/>
      <c r="K33" s="61"/>
      <c r="L33" s="61"/>
      <c r="M33" s="61"/>
      <c r="N33" s="62"/>
      <c r="O33" s="62"/>
      <c r="P33" s="62"/>
      <c r="Q33" s="62"/>
      <c r="R33" s="63" t="str">
        <f>IFERROR(IF(OR($N33="",$O33="",$F33=""),"",ROUND(('⚙️ Setelan'!$B$3*'⚙️ Setelan'!$B$4/100)/(ABS($N33-$O33)*VLOOKUP($F33,'⚙️ Setelan'!$A$14:$F$20,4,FALSE)),2)),"")</f>
        <v/>
      </c>
      <c r="S33" s="64"/>
      <c r="T33" s="65" t="str">
        <f>IFERROR(IF(OR($N33="",$O33="",$S33=""),"",ABS($N33-$O33)*$S33*VLOOKUP($F33,'⚙️ Setelan'!$A$14:$F$20,4,FALSE)),"")</f>
        <v/>
      </c>
      <c r="U33" s="63" t="str">
        <f t="shared" si="2"/>
        <v/>
      </c>
      <c r="V33" s="65" t="str">
        <f>IFERROR(IF(OR($Q33="",$N33="",$S33=""),"",($Q33-$N33)*IF($G33="Buy",1,-1)*$S33*VLOOKUP($F33,'⚙️ Setelan'!$A$14:$F$20,4,FALSE)),"")</f>
        <v/>
      </c>
      <c r="W33" s="65" t="str">
        <f>IFERROR(IF(OR($S33="",$F33=""),"",$S33*VLOOKUP($F33,'⚙️ Setelan'!$A$14:$F$20,5,FALSE)),"")</f>
        <v/>
      </c>
      <c r="X33" s="65" t="str">
        <f t="shared" si="3"/>
        <v/>
      </c>
      <c r="Y33" s="63" t="str">
        <f t="shared" si="4"/>
        <v/>
      </c>
      <c r="Z33" s="58" t="str">
        <f t="shared" si="5"/>
        <v/>
      </c>
      <c r="AA33" s="66" t="str">
        <f t="shared" si="6"/>
        <v/>
      </c>
      <c r="AB33" s="62"/>
      <c r="AC33" s="62"/>
      <c r="AD33" s="63" t="str">
        <f>IFERROR(IF(OR($AB33="",$T33="",$T33=0),"",ROUND(ABS($N33-$AB33)*$S33*VLOOKUP($F33,'⚙️ Setelan'!$A$14:$F$20,4,FALSE)/$T33,2)),"")</f>
        <v/>
      </c>
      <c r="AE33" s="63" t="str">
        <f>IFERROR(IF(OR($AC33="",$T33="",$T33=0),"",ROUND(ABS($AC33-$N33)*$S33*VLOOKUP($F33,'⚙️ Setelan'!$A$14:$F$20,4,FALSE)/$T33,2)),"")</f>
        <v/>
      </c>
      <c r="AF33" s="61"/>
      <c r="AG33" s="61"/>
      <c r="AH33" s="61"/>
      <c r="AI33" s="61"/>
      <c r="AJ33" s="61"/>
      <c r="AK33" s="67"/>
      <c r="AL33" s="58" t="str">
        <f>IF(OR($C33="",$B33=""),"",IF(AND($Z32="Loss",$B33=$B32,MOD($C33-$D32,1)*1440&lt;'⚙️ Setelan'!$B$9),"⚠️ Revenge",""))</f>
        <v/>
      </c>
      <c r="AM33" s="68"/>
      <c r="AN33" s="58" t="str">
        <f>IF($AM33="","",IFERROR(_xlfn.IMAGE(IF(REGEXMATCH($AM33,"\.(png|jpg|jpeg|gif)$"),$AM33,"https://s3.tradingview.com/snapshots/"&amp;LOWER(MID(REGEXEXTRACT($AM33,"/x/([A-Za-z0-9]+)"),1,1))&amp;"/"&amp;REGEXEXTRACT($AM33,"/x/([A-Za-z0-9]+)")&amp;".png"),1),"⚠️ link tidak dikenali"))</f>
        <v/>
      </c>
      <c r="AO33" s="68"/>
      <c r="AP33" s="58" t="str">
        <f>IF($AO33="","",IFERROR(_xlfn.IMAGE(IF(REGEXMATCH($AO33,"\.(png|jpg|jpeg|gif)$"),$AO33,"https://s3.tradingview.com/snapshots/"&amp;LOWER(MID(REGEXEXTRACT($AO33,"/x/([A-Za-z0-9]+)"),1,1))&amp;"/"&amp;REGEXEXTRACT($AO33,"/x/([A-Za-z0-9]+)")&amp;".png"),1),"⚠️ link tidak dikenali"))</f>
        <v/>
      </c>
      <c r="AQ33" s="66">
        <f>IF($Z33="",0,IF(AND(OR('📊 Dashboard'!$B$4="(Semua)",$F33='📊 Dashboard'!$B$4),OR('📊 Dashboard'!$B$5="(Semua)",$H33='📊 Dashboard'!$B$5),OR('📊 Dashboard'!$B$6="(Semua)",$E33='📊 Dashboard'!$B$6),OR('📊 Dashboard'!$B$7="(Semua)",$AF33='📊 Dashboard'!$B$7),OR('📊 Dashboard'!$B$8="(Semua)",$AG33='📊 Dashboard'!$B$8),OR('📊 Dashboard'!$B$9="(Semua)",$K33='📊 Dashboard'!$B$9)),1,0))</f>
        <v>0</v>
      </c>
      <c r="AR33" s="69"/>
    </row>
    <row r="34" ht="58" customHeight="1" spans="1:44">
      <c r="A34" s="58" t="str">
        <f t="shared" si="0"/>
        <v/>
      </c>
      <c r="B34" s="59"/>
      <c r="C34" s="60"/>
      <c r="D34" s="60"/>
      <c r="E34" s="58" t="str">
        <f t="shared" si="1"/>
        <v/>
      </c>
      <c r="F34" s="61"/>
      <c r="G34" s="61"/>
      <c r="H34" s="61"/>
      <c r="I34" s="61"/>
      <c r="J34" s="61"/>
      <c r="K34" s="61"/>
      <c r="L34" s="61"/>
      <c r="M34" s="61"/>
      <c r="N34" s="62"/>
      <c r="O34" s="62"/>
      <c r="P34" s="62"/>
      <c r="Q34" s="62"/>
      <c r="R34" s="63" t="str">
        <f>IFERROR(IF(OR($N34="",$O34="",$F34=""),"",ROUND(('⚙️ Setelan'!$B$3*'⚙️ Setelan'!$B$4/100)/(ABS($N34-$O34)*VLOOKUP($F34,'⚙️ Setelan'!$A$14:$F$20,4,FALSE)),2)),"")</f>
        <v/>
      </c>
      <c r="S34" s="64"/>
      <c r="T34" s="65" t="str">
        <f>IFERROR(IF(OR($N34="",$O34="",$S34=""),"",ABS($N34-$O34)*$S34*VLOOKUP($F34,'⚙️ Setelan'!$A$14:$F$20,4,FALSE)),"")</f>
        <v/>
      </c>
      <c r="U34" s="63" t="str">
        <f t="shared" si="2"/>
        <v/>
      </c>
      <c r="V34" s="65" t="str">
        <f>IFERROR(IF(OR($Q34="",$N34="",$S34=""),"",($Q34-$N34)*IF($G34="Buy",1,-1)*$S34*VLOOKUP($F34,'⚙️ Setelan'!$A$14:$F$20,4,FALSE)),"")</f>
        <v/>
      </c>
      <c r="W34" s="65" t="str">
        <f>IFERROR(IF(OR($S34="",$F34=""),"",$S34*VLOOKUP($F34,'⚙️ Setelan'!$A$14:$F$20,5,FALSE)),"")</f>
        <v/>
      </c>
      <c r="X34" s="65" t="str">
        <f t="shared" si="3"/>
        <v/>
      </c>
      <c r="Y34" s="63" t="str">
        <f t="shared" si="4"/>
        <v/>
      </c>
      <c r="Z34" s="58" t="str">
        <f t="shared" si="5"/>
        <v/>
      </c>
      <c r="AA34" s="66" t="str">
        <f t="shared" si="6"/>
        <v/>
      </c>
      <c r="AB34" s="62"/>
      <c r="AC34" s="62"/>
      <c r="AD34" s="63" t="str">
        <f>IFERROR(IF(OR($AB34="",$T34="",$T34=0),"",ROUND(ABS($N34-$AB34)*$S34*VLOOKUP($F34,'⚙️ Setelan'!$A$14:$F$20,4,FALSE)/$T34,2)),"")</f>
        <v/>
      </c>
      <c r="AE34" s="63" t="str">
        <f>IFERROR(IF(OR($AC34="",$T34="",$T34=0),"",ROUND(ABS($AC34-$N34)*$S34*VLOOKUP($F34,'⚙️ Setelan'!$A$14:$F$20,4,FALSE)/$T34,2)),"")</f>
        <v/>
      </c>
      <c r="AF34" s="61"/>
      <c r="AG34" s="61"/>
      <c r="AH34" s="61"/>
      <c r="AI34" s="61"/>
      <c r="AJ34" s="61"/>
      <c r="AK34" s="67"/>
      <c r="AL34" s="58" t="str">
        <f>IF(OR($C34="",$B34=""),"",IF(AND($Z33="Loss",$B34=$B33,MOD($C34-$D33,1)*1440&lt;'⚙️ Setelan'!$B$9),"⚠️ Revenge",""))</f>
        <v/>
      </c>
      <c r="AM34" s="68"/>
      <c r="AN34" s="58" t="str">
        <f>IF($AM34="","",IFERROR(_xlfn.IMAGE(IF(REGEXMATCH($AM34,"\.(png|jpg|jpeg|gif)$"),$AM34,"https://s3.tradingview.com/snapshots/"&amp;LOWER(MID(REGEXEXTRACT($AM34,"/x/([A-Za-z0-9]+)"),1,1))&amp;"/"&amp;REGEXEXTRACT($AM34,"/x/([A-Za-z0-9]+)")&amp;".png"),1),"⚠️ link tidak dikenali"))</f>
        <v/>
      </c>
      <c r="AO34" s="68"/>
      <c r="AP34" s="58" t="str">
        <f>IF($AO34="","",IFERROR(_xlfn.IMAGE(IF(REGEXMATCH($AO34,"\.(png|jpg|jpeg|gif)$"),$AO34,"https://s3.tradingview.com/snapshots/"&amp;LOWER(MID(REGEXEXTRACT($AO34,"/x/([A-Za-z0-9]+)"),1,1))&amp;"/"&amp;REGEXEXTRACT($AO34,"/x/([A-Za-z0-9]+)")&amp;".png"),1),"⚠️ link tidak dikenali"))</f>
        <v/>
      </c>
      <c r="AQ34" s="66">
        <f>IF($Z34="",0,IF(AND(OR('📊 Dashboard'!$B$4="(Semua)",$F34='📊 Dashboard'!$B$4),OR('📊 Dashboard'!$B$5="(Semua)",$H34='📊 Dashboard'!$B$5),OR('📊 Dashboard'!$B$6="(Semua)",$E34='📊 Dashboard'!$B$6),OR('📊 Dashboard'!$B$7="(Semua)",$AF34='📊 Dashboard'!$B$7),OR('📊 Dashboard'!$B$8="(Semua)",$AG34='📊 Dashboard'!$B$8),OR('📊 Dashboard'!$B$9="(Semua)",$K34='📊 Dashboard'!$B$9)),1,0))</f>
        <v>0</v>
      </c>
      <c r="AR34" s="69"/>
    </row>
    <row r="35" ht="58" customHeight="1" spans="1:44">
      <c r="A35" s="58" t="str">
        <f t="shared" si="0"/>
        <v/>
      </c>
      <c r="B35" s="59"/>
      <c r="C35" s="60"/>
      <c r="D35" s="60"/>
      <c r="E35" s="58" t="str">
        <f t="shared" si="1"/>
        <v/>
      </c>
      <c r="F35" s="61"/>
      <c r="G35" s="61"/>
      <c r="H35" s="61"/>
      <c r="I35" s="61"/>
      <c r="J35" s="61"/>
      <c r="K35" s="61"/>
      <c r="L35" s="61"/>
      <c r="M35" s="61"/>
      <c r="N35" s="62"/>
      <c r="O35" s="62"/>
      <c r="P35" s="62"/>
      <c r="Q35" s="62"/>
      <c r="R35" s="63" t="str">
        <f>IFERROR(IF(OR($N35="",$O35="",$F35=""),"",ROUND(('⚙️ Setelan'!$B$3*'⚙️ Setelan'!$B$4/100)/(ABS($N35-$O35)*VLOOKUP($F35,'⚙️ Setelan'!$A$14:$F$20,4,FALSE)),2)),"")</f>
        <v/>
      </c>
      <c r="S35" s="64"/>
      <c r="T35" s="65" t="str">
        <f>IFERROR(IF(OR($N35="",$O35="",$S35=""),"",ABS($N35-$O35)*$S35*VLOOKUP($F35,'⚙️ Setelan'!$A$14:$F$20,4,FALSE)),"")</f>
        <v/>
      </c>
      <c r="U35" s="63" t="str">
        <f t="shared" si="2"/>
        <v/>
      </c>
      <c r="V35" s="65" t="str">
        <f>IFERROR(IF(OR($Q35="",$N35="",$S35=""),"",($Q35-$N35)*IF($G35="Buy",1,-1)*$S35*VLOOKUP($F35,'⚙️ Setelan'!$A$14:$F$20,4,FALSE)),"")</f>
        <v/>
      </c>
      <c r="W35" s="65" t="str">
        <f>IFERROR(IF(OR($S35="",$F35=""),"",$S35*VLOOKUP($F35,'⚙️ Setelan'!$A$14:$F$20,5,FALSE)),"")</f>
        <v/>
      </c>
      <c r="X35" s="65" t="str">
        <f t="shared" si="3"/>
        <v/>
      </c>
      <c r="Y35" s="63" t="str">
        <f t="shared" si="4"/>
        <v/>
      </c>
      <c r="Z35" s="58" t="str">
        <f t="shared" si="5"/>
        <v/>
      </c>
      <c r="AA35" s="66" t="str">
        <f t="shared" si="6"/>
        <v/>
      </c>
      <c r="AB35" s="62"/>
      <c r="AC35" s="62"/>
      <c r="AD35" s="63" t="str">
        <f>IFERROR(IF(OR($AB35="",$T35="",$T35=0),"",ROUND(ABS($N35-$AB35)*$S35*VLOOKUP($F35,'⚙️ Setelan'!$A$14:$F$20,4,FALSE)/$T35,2)),"")</f>
        <v/>
      </c>
      <c r="AE35" s="63" t="str">
        <f>IFERROR(IF(OR($AC35="",$T35="",$T35=0),"",ROUND(ABS($AC35-$N35)*$S35*VLOOKUP($F35,'⚙️ Setelan'!$A$14:$F$20,4,FALSE)/$T35,2)),"")</f>
        <v/>
      </c>
      <c r="AF35" s="61"/>
      <c r="AG35" s="61"/>
      <c r="AH35" s="61"/>
      <c r="AI35" s="61"/>
      <c r="AJ35" s="61"/>
      <c r="AK35" s="67"/>
      <c r="AL35" s="58" t="str">
        <f>IF(OR($C35="",$B35=""),"",IF(AND($Z34="Loss",$B35=$B34,MOD($C35-$D34,1)*1440&lt;'⚙️ Setelan'!$B$9),"⚠️ Revenge",""))</f>
        <v/>
      </c>
      <c r="AM35" s="68"/>
      <c r="AN35" s="58" t="str">
        <f>IF($AM35="","",IFERROR(_xlfn.IMAGE(IF(REGEXMATCH($AM35,"\.(png|jpg|jpeg|gif)$"),$AM35,"https://s3.tradingview.com/snapshots/"&amp;LOWER(MID(REGEXEXTRACT($AM35,"/x/([A-Za-z0-9]+)"),1,1))&amp;"/"&amp;REGEXEXTRACT($AM35,"/x/([A-Za-z0-9]+)")&amp;".png"),1),"⚠️ link tidak dikenali"))</f>
        <v/>
      </c>
      <c r="AO35" s="68"/>
      <c r="AP35" s="58" t="str">
        <f>IF($AO35="","",IFERROR(_xlfn.IMAGE(IF(REGEXMATCH($AO35,"\.(png|jpg|jpeg|gif)$"),$AO35,"https://s3.tradingview.com/snapshots/"&amp;LOWER(MID(REGEXEXTRACT($AO35,"/x/([A-Za-z0-9]+)"),1,1))&amp;"/"&amp;REGEXEXTRACT($AO35,"/x/([A-Za-z0-9]+)")&amp;".png"),1),"⚠️ link tidak dikenali"))</f>
        <v/>
      </c>
      <c r="AQ35" s="66">
        <f>IF($Z35="",0,IF(AND(OR('📊 Dashboard'!$B$4="(Semua)",$F35='📊 Dashboard'!$B$4),OR('📊 Dashboard'!$B$5="(Semua)",$H35='📊 Dashboard'!$B$5),OR('📊 Dashboard'!$B$6="(Semua)",$E35='📊 Dashboard'!$B$6),OR('📊 Dashboard'!$B$7="(Semua)",$AF35='📊 Dashboard'!$B$7),OR('📊 Dashboard'!$B$8="(Semua)",$AG35='📊 Dashboard'!$B$8),OR('📊 Dashboard'!$B$9="(Semua)",$K35='📊 Dashboard'!$B$9)),1,0))</f>
        <v>0</v>
      </c>
      <c r="AR35" s="69"/>
    </row>
    <row r="36" ht="58" customHeight="1" spans="1:44">
      <c r="A36" s="58" t="str">
        <f t="shared" si="0"/>
        <v/>
      </c>
      <c r="B36" s="59"/>
      <c r="C36" s="60"/>
      <c r="D36" s="60"/>
      <c r="E36" s="58" t="str">
        <f t="shared" si="1"/>
        <v/>
      </c>
      <c r="F36" s="61"/>
      <c r="G36" s="61"/>
      <c r="H36" s="61"/>
      <c r="I36" s="61"/>
      <c r="J36" s="61"/>
      <c r="K36" s="61"/>
      <c r="L36" s="61"/>
      <c r="M36" s="61"/>
      <c r="N36" s="62"/>
      <c r="O36" s="62"/>
      <c r="P36" s="62"/>
      <c r="Q36" s="62"/>
      <c r="R36" s="63" t="str">
        <f>IFERROR(IF(OR($N36="",$O36="",$F36=""),"",ROUND(('⚙️ Setelan'!$B$3*'⚙️ Setelan'!$B$4/100)/(ABS($N36-$O36)*VLOOKUP($F36,'⚙️ Setelan'!$A$14:$F$20,4,FALSE)),2)),"")</f>
        <v/>
      </c>
      <c r="S36" s="64"/>
      <c r="T36" s="65" t="str">
        <f>IFERROR(IF(OR($N36="",$O36="",$S36=""),"",ABS($N36-$O36)*$S36*VLOOKUP($F36,'⚙️ Setelan'!$A$14:$F$20,4,FALSE)),"")</f>
        <v/>
      </c>
      <c r="U36" s="63" t="str">
        <f t="shared" si="2"/>
        <v/>
      </c>
      <c r="V36" s="65" t="str">
        <f>IFERROR(IF(OR($Q36="",$N36="",$S36=""),"",($Q36-$N36)*IF($G36="Buy",1,-1)*$S36*VLOOKUP($F36,'⚙️ Setelan'!$A$14:$F$20,4,FALSE)),"")</f>
        <v/>
      </c>
      <c r="W36" s="65" t="str">
        <f>IFERROR(IF(OR($S36="",$F36=""),"",$S36*VLOOKUP($F36,'⚙️ Setelan'!$A$14:$F$20,5,FALSE)),"")</f>
        <v/>
      </c>
      <c r="X36" s="65" t="str">
        <f t="shared" si="3"/>
        <v/>
      </c>
      <c r="Y36" s="63" t="str">
        <f t="shared" si="4"/>
        <v/>
      </c>
      <c r="Z36" s="58" t="str">
        <f t="shared" si="5"/>
        <v/>
      </c>
      <c r="AA36" s="66" t="str">
        <f t="shared" si="6"/>
        <v/>
      </c>
      <c r="AB36" s="62"/>
      <c r="AC36" s="62"/>
      <c r="AD36" s="63" t="str">
        <f>IFERROR(IF(OR($AB36="",$T36="",$T36=0),"",ROUND(ABS($N36-$AB36)*$S36*VLOOKUP($F36,'⚙️ Setelan'!$A$14:$F$20,4,FALSE)/$T36,2)),"")</f>
        <v/>
      </c>
      <c r="AE36" s="63" t="str">
        <f>IFERROR(IF(OR($AC36="",$T36="",$T36=0),"",ROUND(ABS($AC36-$N36)*$S36*VLOOKUP($F36,'⚙️ Setelan'!$A$14:$F$20,4,FALSE)/$T36,2)),"")</f>
        <v/>
      </c>
      <c r="AF36" s="61"/>
      <c r="AG36" s="61"/>
      <c r="AH36" s="61"/>
      <c r="AI36" s="61"/>
      <c r="AJ36" s="61"/>
      <c r="AK36" s="67"/>
      <c r="AL36" s="58" t="str">
        <f>IF(OR($C36="",$B36=""),"",IF(AND($Z35="Loss",$B36=$B35,MOD($C36-$D35,1)*1440&lt;'⚙️ Setelan'!$B$9),"⚠️ Revenge",""))</f>
        <v/>
      </c>
      <c r="AM36" s="68"/>
      <c r="AN36" s="58" t="str">
        <f>IF($AM36="","",IFERROR(_xlfn.IMAGE(IF(REGEXMATCH($AM36,"\.(png|jpg|jpeg|gif)$"),$AM36,"https://s3.tradingview.com/snapshots/"&amp;LOWER(MID(REGEXEXTRACT($AM36,"/x/([A-Za-z0-9]+)"),1,1))&amp;"/"&amp;REGEXEXTRACT($AM36,"/x/([A-Za-z0-9]+)")&amp;".png"),1),"⚠️ link tidak dikenali"))</f>
        <v/>
      </c>
      <c r="AO36" s="68"/>
      <c r="AP36" s="58" t="str">
        <f>IF($AO36="","",IFERROR(_xlfn.IMAGE(IF(REGEXMATCH($AO36,"\.(png|jpg|jpeg|gif)$"),$AO36,"https://s3.tradingview.com/snapshots/"&amp;LOWER(MID(REGEXEXTRACT($AO36,"/x/([A-Za-z0-9]+)"),1,1))&amp;"/"&amp;REGEXEXTRACT($AO36,"/x/([A-Za-z0-9]+)")&amp;".png"),1),"⚠️ link tidak dikenali"))</f>
        <v/>
      </c>
      <c r="AQ36" s="66">
        <f>IF($Z36="",0,IF(AND(OR('📊 Dashboard'!$B$4="(Semua)",$F36='📊 Dashboard'!$B$4),OR('📊 Dashboard'!$B$5="(Semua)",$H36='📊 Dashboard'!$B$5),OR('📊 Dashboard'!$B$6="(Semua)",$E36='📊 Dashboard'!$B$6),OR('📊 Dashboard'!$B$7="(Semua)",$AF36='📊 Dashboard'!$B$7),OR('📊 Dashboard'!$B$8="(Semua)",$AG36='📊 Dashboard'!$B$8),OR('📊 Dashboard'!$B$9="(Semua)",$K36='📊 Dashboard'!$B$9)),1,0))</f>
        <v>0</v>
      </c>
      <c r="AR36" s="69"/>
    </row>
    <row r="37" ht="58" customHeight="1" spans="1:44">
      <c r="A37" s="58" t="str">
        <f t="shared" si="0"/>
        <v/>
      </c>
      <c r="B37" s="59"/>
      <c r="C37" s="60"/>
      <c r="D37" s="60"/>
      <c r="E37" s="58" t="str">
        <f t="shared" si="1"/>
        <v/>
      </c>
      <c r="F37" s="61"/>
      <c r="G37" s="61"/>
      <c r="H37" s="61"/>
      <c r="I37" s="61"/>
      <c r="J37" s="61"/>
      <c r="K37" s="61"/>
      <c r="L37" s="61"/>
      <c r="M37" s="61"/>
      <c r="N37" s="62"/>
      <c r="O37" s="62"/>
      <c r="P37" s="62"/>
      <c r="Q37" s="62"/>
      <c r="R37" s="63" t="str">
        <f>IFERROR(IF(OR($N37="",$O37="",$F37=""),"",ROUND(('⚙️ Setelan'!$B$3*'⚙️ Setelan'!$B$4/100)/(ABS($N37-$O37)*VLOOKUP($F37,'⚙️ Setelan'!$A$14:$F$20,4,FALSE)),2)),"")</f>
        <v/>
      </c>
      <c r="S37" s="64"/>
      <c r="T37" s="65" t="str">
        <f>IFERROR(IF(OR($N37="",$O37="",$S37=""),"",ABS($N37-$O37)*$S37*VLOOKUP($F37,'⚙️ Setelan'!$A$14:$F$20,4,FALSE)),"")</f>
        <v/>
      </c>
      <c r="U37" s="63" t="str">
        <f t="shared" si="2"/>
        <v/>
      </c>
      <c r="V37" s="65" t="str">
        <f>IFERROR(IF(OR($Q37="",$N37="",$S37=""),"",($Q37-$N37)*IF($G37="Buy",1,-1)*$S37*VLOOKUP($F37,'⚙️ Setelan'!$A$14:$F$20,4,FALSE)),"")</f>
        <v/>
      </c>
      <c r="W37" s="65" t="str">
        <f>IFERROR(IF(OR($S37="",$F37=""),"",$S37*VLOOKUP($F37,'⚙️ Setelan'!$A$14:$F$20,5,FALSE)),"")</f>
        <v/>
      </c>
      <c r="X37" s="65" t="str">
        <f t="shared" si="3"/>
        <v/>
      </c>
      <c r="Y37" s="63" t="str">
        <f t="shared" si="4"/>
        <v/>
      </c>
      <c r="Z37" s="58" t="str">
        <f t="shared" si="5"/>
        <v/>
      </c>
      <c r="AA37" s="66" t="str">
        <f t="shared" si="6"/>
        <v/>
      </c>
      <c r="AB37" s="62"/>
      <c r="AC37" s="62"/>
      <c r="AD37" s="63" t="str">
        <f>IFERROR(IF(OR($AB37="",$T37="",$T37=0),"",ROUND(ABS($N37-$AB37)*$S37*VLOOKUP($F37,'⚙️ Setelan'!$A$14:$F$20,4,FALSE)/$T37,2)),"")</f>
        <v/>
      </c>
      <c r="AE37" s="63" t="str">
        <f>IFERROR(IF(OR($AC37="",$T37="",$T37=0),"",ROUND(ABS($AC37-$N37)*$S37*VLOOKUP($F37,'⚙️ Setelan'!$A$14:$F$20,4,FALSE)/$T37,2)),"")</f>
        <v/>
      </c>
      <c r="AF37" s="61"/>
      <c r="AG37" s="61"/>
      <c r="AH37" s="61"/>
      <c r="AI37" s="61"/>
      <c r="AJ37" s="61"/>
      <c r="AK37" s="67"/>
      <c r="AL37" s="58" t="str">
        <f>IF(OR($C37="",$B37=""),"",IF(AND($Z36="Loss",$B37=$B36,MOD($C37-$D36,1)*1440&lt;'⚙️ Setelan'!$B$9),"⚠️ Revenge",""))</f>
        <v/>
      </c>
      <c r="AM37" s="68"/>
      <c r="AN37" s="58" t="str">
        <f>IF($AM37="","",IFERROR(_xlfn.IMAGE(IF(REGEXMATCH($AM37,"\.(png|jpg|jpeg|gif)$"),$AM37,"https://s3.tradingview.com/snapshots/"&amp;LOWER(MID(REGEXEXTRACT($AM37,"/x/([A-Za-z0-9]+)"),1,1))&amp;"/"&amp;REGEXEXTRACT($AM37,"/x/([A-Za-z0-9]+)")&amp;".png"),1),"⚠️ link tidak dikenali"))</f>
        <v/>
      </c>
      <c r="AO37" s="68"/>
      <c r="AP37" s="58" t="str">
        <f>IF($AO37="","",IFERROR(_xlfn.IMAGE(IF(REGEXMATCH($AO37,"\.(png|jpg|jpeg|gif)$"),$AO37,"https://s3.tradingview.com/snapshots/"&amp;LOWER(MID(REGEXEXTRACT($AO37,"/x/([A-Za-z0-9]+)"),1,1))&amp;"/"&amp;REGEXEXTRACT($AO37,"/x/([A-Za-z0-9]+)")&amp;".png"),1),"⚠️ link tidak dikenali"))</f>
        <v/>
      </c>
      <c r="AQ37" s="66">
        <f>IF($Z37="",0,IF(AND(OR('📊 Dashboard'!$B$4="(Semua)",$F37='📊 Dashboard'!$B$4),OR('📊 Dashboard'!$B$5="(Semua)",$H37='📊 Dashboard'!$B$5),OR('📊 Dashboard'!$B$6="(Semua)",$E37='📊 Dashboard'!$B$6),OR('📊 Dashboard'!$B$7="(Semua)",$AF37='📊 Dashboard'!$B$7),OR('📊 Dashboard'!$B$8="(Semua)",$AG37='📊 Dashboard'!$B$8),OR('📊 Dashboard'!$B$9="(Semua)",$K37='📊 Dashboard'!$B$9)),1,0))</f>
        <v>0</v>
      </c>
      <c r="AR37" s="69"/>
    </row>
    <row r="38" ht="58" customHeight="1" spans="1:44">
      <c r="A38" s="58" t="str">
        <f t="shared" si="0"/>
        <v/>
      </c>
      <c r="B38" s="59"/>
      <c r="C38" s="60"/>
      <c r="D38" s="60"/>
      <c r="E38" s="58" t="str">
        <f t="shared" si="1"/>
        <v/>
      </c>
      <c r="F38" s="61"/>
      <c r="G38" s="61"/>
      <c r="H38" s="61"/>
      <c r="I38" s="61"/>
      <c r="J38" s="61"/>
      <c r="K38" s="61"/>
      <c r="L38" s="61"/>
      <c r="M38" s="61"/>
      <c r="N38" s="62"/>
      <c r="O38" s="62"/>
      <c r="P38" s="62"/>
      <c r="Q38" s="62"/>
      <c r="R38" s="63" t="str">
        <f>IFERROR(IF(OR($N38="",$O38="",$F38=""),"",ROUND(('⚙️ Setelan'!$B$3*'⚙️ Setelan'!$B$4/100)/(ABS($N38-$O38)*VLOOKUP($F38,'⚙️ Setelan'!$A$14:$F$20,4,FALSE)),2)),"")</f>
        <v/>
      </c>
      <c r="S38" s="64"/>
      <c r="T38" s="65" t="str">
        <f>IFERROR(IF(OR($N38="",$O38="",$S38=""),"",ABS($N38-$O38)*$S38*VLOOKUP($F38,'⚙️ Setelan'!$A$14:$F$20,4,FALSE)),"")</f>
        <v/>
      </c>
      <c r="U38" s="63" t="str">
        <f t="shared" si="2"/>
        <v/>
      </c>
      <c r="V38" s="65" t="str">
        <f>IFERROR(IF(OR($Q38="",$N38="",$S38=""),"",($Q38-$N38)*IF($G38="Buy",1,-1)*$S38*VLOOKUP($F38,'⚙️ Setelan'!$A$14:$F$20,4,FALSE)),"")</f>
        <v/>
      </c>
      <c r="W38" s="65" t="str">
        <f>IFERROR(IF(OR($S38="",$F38=""),"",$S38*VLOOKUP($F38,'⚙️ Setelan'!$A$14:$F$20,5,FALSE)),"")</f>
        <v/>
      </c>
      <c r="X38" s="65" t="str">
        <f t="shared" si="3"/>
        <v/>
      </c>
      <c r="Y38" s="63" t="str">
        <f t="shared" si="4"/>
        <v/>
      </c>
      <c r="Z38" s="58" t="str">
        <f t="shared" si="5"/>
        <v/>
      </c>
      <c r="AA38" s="66" t="str">
        <f t="shared" si="6"/>
        <v/>
      </c>
      <c r="AB38" s="62"/>
      <c r="AC38" s="62"/>
      <c r="AD38" s="63" t="str">
        <f>IFERROR(IF(OR($AB38="",$T38="",$T38=0),"",ROUND(ABS($N38-$AB38)*$S38*VLOOKUP($F38,'⚙️ Setelan'!$A$14:$F$20,4,FALSE)/$T38,2)),"")</f>
        <v/>
      </c>
      <c r="AE38" s="63" t="str">
        <f>IFERROR(IF(OR($AC38="",$T38="",$T38=0),"",ROUND(ABS($AC38-$N38)*$S38*VLOOKUP($F38,'⚙️ Setelan'!$A$14:$F$20,4,FALSE)/$T38,2)),"")</f>
        <v/>
      </c>
      <c r="AF38" s="61"/>
      <c r="AG38" s="61"/>
      <c r="AH38" s="61"/>
      <c r="AI38" s="61"/>
      <c r="AJ38" s="61"/>
      <c r="AK38" s="67"/>
      <c r="AL38" s="58" t="str">
        <f>IF(OR($C38="",$B38=""),"",IF(AND($Z37="Loss",$B38=$B37,MOD($C38-$D37,1)*1440&lt;'⚙️ Setelan'!$B$9),"⚠️ Revenge",""))</f>
        <v/>
      </c>
      <c r="AM38" s="68"/>
      <c r="AN38" s="58" t="str">
        <f>IF($AM38="","",IFERROR(_xlfn.IMAGE(IF(REGEXMATCH($AM38,"\.(png|jpg|jpeg|gif)$"),$AM38,"https://s3.tradingview.com/snapshots/"&amp;LOWER(MID(REGEXEXTRACT($AM38,"/x/([A-Za-z0-9]+)"),1,1))&amp;"/"&amp;REGEXEXTRACT($AM38,"/x/([A-Za-z0-9]+)")&amp;".png"),1),"⚠️ link tidak dikenali"))</f>
        <v/>
      </c>
      <c r="AO38" s="68"/>
      <c r="AP38" s="58" t="str">
        <f>IF($AO38="","",IFERROR(_xlfn.IMAGE(IF(REGEXMATCH($AO38,"\.(png|jpg|jpeg|gif)$"),$AO38,"https://s3.tradingview.com/snapshots/"&amp;LOWER(MID(REGEXEXTRACT($AO38,"/x/([A-Za-z0-9]+)"),1,1))&amp;"/"&amp;REGEXEXTRACT($AO38,"/x/([A-Za-z0-9]+)")&amp;".png"),1),"⚠️ link tidak dikenali"))</f>
        <v/>
      </c>
      <c r="AQ38" s="66">
        <f>IF($Z38="",0,IF(AND(OR('📊 Dashboard'!$B$4="(Semua)",$F38='📊 Dashboard'!$B$4),OR('📊 Dashboard'!$B$5="(Semua)",$H38='📊 Dashboard'!$B$5),OR('📊 Dashboard'!$B$6="(Semua)",$E38='📊 Dashboard'!$B$6),OR('📊 Dashboard'!$B$7="(Semua)",$AF38='📊 Dashboard'!$B$7),OR('📊 Dashboard'!$B$8="(Semua)",$AG38='📊 Dashboard'!$B$8),OR('📊 Dashboard'!$B$9="(Semua)",$K38='📊 Dashboard'!$B$9)),1,0))</f>
        <v>0</v>
      </c>
      <c r="AR38" s="69"/>
    </row>
    <row r="39" ht="58" customHeight="1" spans="1:44">
      <c r="A39" s="58" t="str">
        <f t="shared" si="0"/>
        <v/>
      </c>
      <c r="B39" s="59"/>
      <c r="C39" s="60"/>
      <c r="D39" s="60"/>
      <c r="E39" s="58" t="str">
        <f t="shared" si="1"/>
        <v/>
      </c>
      <c r="F39" s="61"/>
      <c r="G39" s="61"/>
      <c r="H39" s="61"/>
      <c r="I39" s="61"/>
      <c r="J39" s="61"/>
      <c r="K39" s="61"/>
      <c r="L39" s="61"/>
      <c r="M39" s="61"/>
      <c r="N39" s="62"/>
      <c r="O39" s="62"/>
      <c r="P39" s="62"/>
      <c r="Q39" s="62"/>
      <c r="R39" s="63" t="str">
        <f>IFERROR(IF(OR($N39="",$O39="",$F39=""),"",ROUND(('⚙️ Setelan'!$B$3*'⚙️ Setelan'!$B$4/100)/(ABS($N39-$O39)*VLOOKUP($F39,'⚙️ Setelan'!$A$14:$F$20,4,FALSE)),2)),"")</f>
        <v/>
      </c>
      <c r="S39" s="64"/>
      <c r="T39" s="65" t="str">
        <f>IFERROR(IF(OR($N39="",$O39="",$S39=""),"",ABS($N39-$O39)*$S39*VLOOKUP($F39,'⚙️ Setelan'!$A$14:$F$20,4,FALSE)),"")</f>
        <v/>
      </c>
      <c r="U39" s="63" t="str">
        <f t="shared" si="2"/>
        <v/>
      </c>
      <c r="V39" s="65" t="str">
        <f>IFERROR(IF(OR($Q39="",$N39="",$S39=""),"",($Q39-$N39)*IF($G39="Buy",1,-1)*$S39*VLOOKUP($F39,'⚙️ Setelan'!$A$14:$F$20,4,FALSE)),"")</f>
        <v/>
      </c>
      <c r="W39" s="65" t="str">
        <f>IFERROR(IF(OR($S39="",$F39=""),"",$S39*VLOOKUP($F39,'⚙️ Setelan'!$A$14:$F$20,5,FALSE)),"")</f>
        <v/>
      </c>
      <c r="X39" s="65" t="str">
        <f t="shared" si="3"/>
        <v/>
      </c>
      <c r="Y39" s="63" t="str">
        <f t="shared" si="4"/>
        <v/>
      </c>
      <c r="Z39" s="58" t="str">
        <f t="shared" si="5"/>
        <v/>
      </c>
      <c r="AA39" s="66" t="str">
        <f t="shared" si="6"/>
        <v/>
      </c>
      <c r="AB39" s="62"/>
      <c r="AC39" s="62"/>
      <c r="AD39" s="63" t="str">
        <f>IFERROR(IF(OR($AB39="",$T39="",$T39=0),"",ROUND(ABS($N39-$AB39)*$S39*VLOOKUP($F39,'⚙️ Setelan'!$A$14:$F$20,4,FALSE)/$T39,2)),"")</f>
        <v/>
      </c>
      <c r="AE39" s="63" t="str">
        <f>IFERROR(IF(OR($AC39="",$T39="",$T39=0),"",ROUND(ABS($AC39-$N39)*$S39*VLOOKUP($F39,'⚙️ Setelan'!$A$14:$F$20,4,FALSE)/$T39,2)),"")</f>
        <v/>
      </c>
      <c r="AF39" s="61"/>
      <c r="AG39" s="61"/>
      <c r="AH39" s="61"/>
      <c r="AI39" s="61"/>
      <c r="AJ39" s="61"/>
      <c r="AK39" s="67"/>
      <c r="AL39" s="58" t="str">
        <f>IF(OR($C39="",$B39=""),"",IF(AND($Z38="Loss",$B39=$B38,MOD($C39-$D38,1)*1440&lt;'⚙️ Setelan'!$B$9),"⚠️ Revenge",""))</f>
        <v/>
      </c>
      <c r="AM39" s="68"/>
      <c r="AN39" s="58" t="str">
        <f>IF($AM39="","",IFERROR(_xlfn.IMAGE(IF(REGEXMATCH($AM39,"\.(png|jpg|jpeg|gif)$"),$AM39,"https://s3.tradingview.com/snapshots/"&amp;LOWER(MID(REGEXEXTRACT($AM39,"/x/([A-Za-z0-9]+)"),1,1))&amp;"/"&amp;REGEXEXTRACT($AM39,"/x/([A-Za-z0-9]+)")&amp;".png"),1),"⚠️ link tidak dikenali"))</f>
        <v/>
      </c>
      <c r="AO39" s="68"/>
      <c r="AP39" s="58" t="str">
        <f>IF($AO39="","",IFERROR(_xlfn.IMAGE(IF(REGEXMATCH($AO39,"\.(png|jpg|jpeg|gif)$"),$AO39,"https://s3.tradingview.com/snapshots/"&amp;LOWER(MID(REGEXEXTRACT($AO39,"/x/([A-Za-z0-9]+)"),1,1))&amp;"/"&amp;REGEXEXTRACT($AO39,"/x/([A-Za-z0-9]+)")&amp;".png"),1),"⚠️ link tidak dikenali"))</f>
        <v/>
      </c>
      <c r="AQ39" s="66">
        <f>IF($Z39="",0,IF(AND(OR('📊 Dashboard'!$B$4="(Semua)",$F39='📊 Dashboard'!$B$4),OR('📊 Dashboard'!$B$5="(Semua)",$H39='📊 Dashboard'!$B$5),OR('📊 Dashboard'!$B$6="(Semua)",$E39='📊 Dashboard'!$B$6),OR('📊 Dashboard'!$B$7="(Semua)",$AF39='📊 Dashboard'!$B$7),OR('📊 Dashboard'!$B$8="(Semua)",$AG39='📊 Dashboard'!$B$8),OR('📊 Dashboard'!$B$9="(Semua)",$K39='📊 Dashboard'!$B$9)),1,0))</f>
        <v>0</v>
      </c>
      <c r="AR39" s="69"/>
    </row>
    <row r="40" ht="58" customHeight="1" spans="1:44">
      <c r="A40" s="58" t="str">
        <f t="shared" si="0"/>
        <v/>
      </c>
      <c r="B40" s="59"/>
      <c r="C40" s="60"/>
      <c r="D40" s="60"/>
      <c r="E40" s="58" t="str">
        <f t="shared" si="1"/>
        <v/>
      </c>
      <c r="F40" s="61"/>
      <c r="G40" s="61"/>
      <c r="H40" s="61"/>
      <c r="I40" s="61"/>
      <c r="J40" s="61"/>
      <c r="K40" s="61"/>
      <c r="L40" s="61"/>
      <c r="M40" s="61"/>
      <c r="N40" s="62"/>
      <c r="O40" s="62"/>
      <c r="P40" s="62"/>
      <c r="Q40" s="62"/>
      <c r="R40" s="63" t="str">
        <f>IFERROR(IF(OR($N40="",$O40="",$F40=""),"",ROUND(('⚙️ Setelan'!$B$3*'⚙️ Setelan'!$B$4/100)/(ABS($N40-$O40)*VLOOKUP($F40,'⚙️ Setelan'!$A$14:$F$20,4,FALSE)),2)),"")</f>
        <v/>
      </c>
      <c r="S40" s="64"/>
      <c r="T40" s="65" t="str">
        <f>IFERROR(IF(OR($N40="",$O40="",$S40=""),"",ABS($N40-$O40)*$S40*VLOOKUP($F40,'⚙️ Setelan'!$A$14:$F$20,4,FALSE)),"")</f>
        <v/>
      </c>
      <c r="U40" s="63" t="str">
        <f t="shared" si="2"/>
        <v/>
      </c>
      <c r="V40" s="65" t="str">
        <f>IFERROR(IF(OR($Q40="",$N40="",$S40=""),"",($Q40-$N40)*IF($G40="Buy",1,-1)*$S40*VLOOKUP($F40,'⚙️ Setelan'!$A$14:$F$20,4,FALSE)),"")</f>
        <v/>
      </c>
      <c r="W40" s="65" t="str">
        <f>IFERROR(IF(OR($S40="",$F40=""),"",$S40*VLOOKUP($F40,'⚙️ Setelan'!$A$14:$F$20,5,FALSE)),"")</f>
        <v/>
      </c>
      <c r="X40" s="65" t="str">
        <f t="shared" si="3"/>
        <v/>
      </c>
      <c r="Y40" s="63" t="str">
        <f t="shared" si="4"/>
        <v/>
      </c>
      <c r="Z40" s="58" t="str">
        <f t="shared" si="5"/>
        <v/>
      </c>
      <c r="AA40" s="66" t="str">
        <f t="shared" si="6"/>
        <v/>
      </c>
      <c r="AB40" s="62"/>
      <c r="AC40" s="62"/>
      <c r="AD40" s="63" t="str">
        <f>IFERROR(IF(OR($AB40="",$T40="",$T40=0),"",ROUND(ABS($N40-$AB40)*$S40*VLOOKUP($F40,'⚙️ Setelan'!$A$14:$F$20,4,FALSE)/$T40,2)),"")</f>
        <v/>
      </c>
      <c r="AE40" s="63" t="str">
        <f>IFERROR(IF(OR($AC40="",$T40="",$T40=0),"",ROUND(ABS($AC40-$N40)*$S40*VLOOKUP($F40,'⚙️ Setelan'!$A$14:$F$20,4,FALSE)/$T40,2)),"")</f>
        <v/>
      </c>
      <c r="AF40" s="61"/>
      <c r="AG40" s="61"/>
      <c r="AH40" s="61"/>
      <c r="AI40" s="61"/>
      <c r="AJ40" s="61"/>
      <c r="AK40" s="67"/>
      <c r="AL40" s="58" t="str">
        <f>IF(OR($C40="",$B40=""),"",IF(AND($Z39="Loss",$B40=$B39,MOD($C40-$D39,1)*1440&lt;'⚙️ Setelan'!$B$9),"⚠️ Revenge",""))</f>
        <v/>
      </c>
      <c r="AM40" s="68"/>
      <c r="AN40" s="58" t="str">
        <f>IF($AM40="","",IFERROR(_xlfn.IMAGE(IF(REGEXMATCH($AM40,"\.(png|jpg|jpeg|gif)$"),$AM40,"https://s3.tradingview.com/snapshots/"&amp;LOWER(MID(REGEXEXTRACT($AM40,"/x/([A-Za-z0-9]+)"),1,1))&amp;"/"&amp;REGEXEXTRACT($AM40,"/x/([A-Za-z0-9]+)")&amp;".png"),1),"⚠️ link tidak dikenali"))</f>
        <v/>
      </c>
      <c r="AO40" s="68"/>
      <c r="AP40" s="58" t="str">
        <f>IF($AO40="","",IFERROR(_xlfn.IMAGE(IF(REGEXMATCH($AO40,"\.(png|jpg|jpeg|gif)$"),$AO40,"https://s3.tradingview.com/snapshots/"&amp;LOWER(MID(REGEXEXTRACT($AO40,"/x/([A-Za-z0-9]+)"),1,1))&amp;"/"&amp;REGEXEXTRACT($AO40,"/x/([A-Za-z0-9]+)")&amp;".png"),1),"⚠️ link tidak dikenali"))</f>
        <v/>
      </c>
      <c r="AQ40" s="66">
        <f>IF($Z40="",0,IF(AND(OR('📊 Dashboard'!$B$4="(Semua)",$F40='📊 Dashboard'!$B$4),OR('📊 Dashboard'!$B$5="(Semua)",$H40='📊 Dashboard'!$B$5),OR('📊 Dashboard'!$B$6="(Semua)",$E40='📊 Dashboard'!$B$6),OR('📊 Dashboard'!$B$7="(Semua)",$AF40='📊 Dashboard'!$B$7),OR('📊 Dashboard'!$B$8="(Semua)",$AG40='📊 Dashboard'!$B$8),OR('📊 Dashboard'!$B$9="(Semua)",$K40='📊 Dashboard'!$B$9)),1,0))</f>
        <v>0</v>
      </c>
      <c r="AR40" s="69"/>
    </row>
    <row r="41" ht="58" customHeight="1" spans="1:44">
      <c r="A41" s="58" t="str">
        <f t="shared" si="0"/>
        <v/>
      </c>
      <c r="B41" s="59"/>
      <c r="C41" s="60"/>
      <c r="D41" s="60"/>
      <c r="E41" s="58" t="str">
        <f t="shared" si="1"/>
        <v/>
      </c>
      <c r="F41" s="61"/>
      <c r="G41" s="61"/>
      <c r="H41" s="61"/>
      <c r="I41" s="61"/>
      <c r="J41" s="61"/>
      <c r="K41" s="61"/>
      <c r="L41" s="61"/>
      <c r="M41" s="61"/>
      <c r="N41" s="62"/>
      <c r="O41" s="62"/>
      <c r="P41" s="62"/>
      <c r="Q41" s="62"/>
      <c r="R41" s="63" t="str">
        <f>IFERROR(IF(OR($N41="",$O41="",$F41=""),"",ROUND(('⚙️ Setelan'!$B$3*'⚙️ Setelan'!$B$4/100)/(ABS($N41-$O41)*VLOOKUP($F41,'⚙️ Setelan'!$A$14:$F$20,4,FALSE)),2)),"")</f>
        <v/>
      </c>
      <c r="S41" s="64"/>
      <c r="T41" s="65" t="str">
        <f>IFERROR(IF(OR($N41="",$O41="",$S41=""),"",ABS($N41-$O41)*$S41*VLOOKUP($F41,'⚙️ Setelan'!$A$14:$F$20,4,FALSE)),"")</f>
        <v/>
      </c>
      <c r="U41" s="63" t="str">
        <f t="shared" si="2"/>
        <v/>
      </c>
      <c r="V41" s="65" t="str">
        <f>IFERROR(IF(OR($Q41="",$N41="",$S41=""),"",($Q41-$N41)*IF($G41="Buy",1,-1)*$S41*VLOOKUP($F41,'⚙️ Setelan'!$A$14:$F$20,4,FALSE)),"")</f>
        <v/>
      </c>
      <c r="W41" s="65" t="str">
        <f>IFERROR(IF(OR($S41="",$F41=""),"",$S41*VLOOKUP($F41,'⚙️ Setelan'!$A$14:$F$20,5,FALSE)),"")</f>
        <v/>
      </c>
      <c r="X41" s="65" t="str">
        <f t="shared" si="3"/>
        <v/>
      </c>
      <c r="Y41" s="63" t="str">
        <f t="shared" si="4"/>
        <v/>
      </c>
      <c r="Z41" s="58" t="str">
        <f t="shared" si="5"/>
        <v/>
      </c>
      <c r="AA41" s="66" t="str">
        <f t="shared" si="6"/>
        <v/>
      </c>
      <c r="AB41" s="62"/>
      <c r="AC41" s="62"/>
      <c r="AD41" s="63" t="str">
        <f>IFERROR(IF(OR($AB41="",$T41="",$T41=0),"",ROUND(ABS($N41-$AB41)*$S41*VLOOKUP($F41,'⚙️ Setelan'!$A$14:$F$20,4,FALSE)/$T41,2)),"")</f>
        <v/>
      </c>
      <c r="AE41" s="63" t="str">
        <f>IFERROR(IF(OR($AC41="",$T41="",$T41=0),"",ROUND(ABS($AC41-$N41)*$S41*VLOOKUP($F41,'⚙️ Setelan'!$A$14:$F$20,4,FALSE)/$T41,2)),"")</f>
        <v/>
      </c>
      <c r="AF41" s="61"/>
      <c r="AG41" s="61"/>
      <c r="AH41" s="61"/>
      <c r="AI41" s="61"/>
      <c r="AJ41" s="61"/>
      <c r="AK41" s="67"/>
      <c r="AL41" s="58" t="str">
        <f>IF(OR($C41="",$B41=""),"",IF(AND($Z40="Loss",$B41=$B40,MOD($C41-$D40,1)*1440&lt;'⚙️ Setelan'!$B$9),"⚠️ Revenge",""))</f>
        <v/>
      </c>
      <c r="AM41" s="68"/>
      <c r="AN41" s="58" t="str">
        <f>IF($AM41="","",IFERROR(_xlfn.IMAGE(IF(REGEXMATCH($AM41,"\.(png|jpg|jpeg|gif)$"),$AM41,"https://s3.tradingview.com/snapshots/"&amp;LOWER(MID(REGEXEXTRACT($AM41,"/x/([A-Za-z0-9]+)"),1,1))&amp;"/"&amp;REGEXEXTRACT($AM41,"/x/([A-Za-z0-9]+)")&amp;".png"),1),"⚠️ link tidak dikenali"))</f>
        <v/>
      </c>
      <c r="AO41" s="68"/>
      <c r="AP41" s="58" t="str">
        <f>IF($AO41="","",IFERROR(_xlfn.IMAGE(IF(REGEXMATCH($AO41,"\.(png|jpg|jpeg|gif)$"),$AO41,"https://s3.tradingview.com/snapshots/"&amp;LOWER(MID(REGEXEXTRACT($AO41,"/x/([A-Za-z0-9]+)"),1,1))&amp;"/"&amp;REGEXEXTRACT($AO41,"/x/([A-Za-z0-9]+)")&amp;".png"),1),"⚠️ link tidak dikenali"))</f>
        <v/>
      </c>
      <c r="AQ41" s="66">
        <f>IF($Z41="",0,IF(AND(OR('📊 Dashboard'!$B$4="(Semua)",$F41='📊 Dashboard'!$B$4),OR('📊 Dashboard'!$B$5="(Semua)",$H41='📊 Dashboard'!$B$5),OR('📊 Dashboard'!$B$6="(Semua)",$E41='📊 Dashboard'!$B$6),OR('📊 Dashboard'!$B$7="(Semua)",$AF41='📊 Dashboard'!$B$7),OR('📊 Dashboard'!$B$8="(Semua)",$AG41='📊 Dashboard'!$B$8),OR('📊 Dashboard'!$B$9="(Semua)",$K41='📊 Dashboard'!$B$9)),1,0))</f>
        <v>0</v>
      </c>
      <c r="AR41" s="69"/>
    </row>
    <row r="42" ht="58" customHeight="1" spans="1:44">
      <c r="A42" s="58" t="str">
        <f t="shared" si="0"/>
        <v/>
      </c>
      <c r="B42" s="59"/>
      <c r="C42" s="60"/>
      <c r="D42" s="60"/>
      <c r="E42" s="58" t="str">
        <f t="shared" si="1"/>
        <v/>
      </c>
      <c r="F42" s="61"/>
      <c r="G42" s="61"/>
      <c r="H42" s="61"/>
      <c r="I42" s="61"/>
      <c r="J42" s="61"/>
      <c r="K42" s="61"/>
      <c r="L42" s="61"/>
      <c r="M42" s="61"/>
      <c r="N42" s="62"/>
      <c r="O42" s="62"/>
      <c r="P42" s="62"/>
      <c r="Q42" s="62"/>
      <c r="R42" s="63" t="str">
        <f>IFERROR(IF(OR($N42="",$O42="",$F42=""),"",ROUND(('⚙️ Setelan'!$B$3*'⚙️ Setelan'!$B$4/100)/(ABS($N42-$O42)*VLOOKUP($F42,'⚙️ Setelan'!$A$14:$F$20,4,FALSE)),2)),"")</f>
        <v/>
      </c>
      <c r="S42" s="64"/>
      <c r="T42" s="65" t="str">
        <f>IFERROR(IF(OR($N42="",$O42="",$S42=""),"",ABS($N42-$O42)*$S42*VLOOKUP($F42,'⚙️ Setelan'!$A$14:$F$20,4,FALSE)),"")</f>
        <v/>
      </c>
      <c r="U42" s="63" t="str">
        <f t="shared" si="2"/>
        <v/>
      </c>
      <c r="V42" s="65" t="str">
        <f>IFERROR(IF(OR($Q42="",$N42="",$S42=""),"",($Q42-$N42)*IF($G42="Buy",1,-1)*$S42*VLOOKUP($F42,'⚙️ Setelan'!$A$14:$F$20,4,FALSE)),"")</f>
        <v/>
      </c>
      <c r="W42" s="65" t="str">
        <f>IFERROR(IF(OR($S42="",$F42=""),"",$S42*VLOOKUP($F42,'⚙️ Setelan'!$A$14:$F$20,5,FALSE)),"")</f>
        <v/>
      </c>
      <c r="X42" s="65" t="str">
        <f t="shared" si="3"/>
        <v/>
      </c>
      <c r="Y42" s="63" t="str">
        <f t="shared" si="4"/>
        <v/>
      </c>
      <c r="Z42" s="58" t="str">
        <f t="shared" si="5"/>
        <v/>
      </c>
      <c r="AA42" s="66" t="str">
        <f t="shared" si="6"/>
        <v/>
      </c>
      <c r="AB42" s="62"/>
      <c r="AC42" s="62"/>
      <c r="AD42" s="63" t="str">
        <f>IFERROR(IF(OR($AB42="",$T42="",$T42=0),"",ROUND(ABS($N42-$AB42)*$S42*VLOOKUP($F42,'⚙️ Setelan'!$A$14:$F$20,4,FALSE)/$T42,2)),"")</f>
        <v/>
      </c>
      <c r="AE42" s="63" t="str">
        <f>IFERROR(IF(OR($AC42="",$T42="",$T42=0),"",ROUND(ABS($AC42-$N42)*$S42*VLOOKUP($F42,'⚙️ Setelan'!$A$14:$F$20,4,FALSE)/$T42,2)),"")</f>
        <v/>
      </c>
      <c r="AF42" s="61"/>
      <c r="AG42" s="61"/>
      <c r="AH42" s="61"/>
      <c r="AI42" s="61"/>
      <c r="AJ42" s="61"/>
      <c r="AK42" s="67"/>
      <c r="AL42" s="58" t="str">
        <f>IF(OR($C42="",$B42=""),"",IF(AND($Z41="Loss",$B42=$B41,MOD($C42-$D41,1)*1440&lt;'⚙️ Setelan'!$B$9),"⚠️ Revenge",""))</f>
        <v/>
      </c>
      <c r="AM42" s="68"/>
      <c r="AN42" s="58" t="str">
        <f>IF($AM42="","",IFERROR(_xlfn.IMAGE(IF(REGEXMATCH($AM42,"\.(png|jpg|jpeg|gif)$"),$AM42,"https://s3.tradingview.com/snapshots/"&amp;LOWER(MID(REGEXEXTRACT($AM42,"/x/([A-Za-z0-9]+)"),1,1))&amp;"/"&amp;REGEXEXTRACT($AM42,"/x/([A-Za-z0-9]+)")&amp;".png"),1),"⚠️ link tidak dikenali"))</f>
        <v/>
      </c>
      <c r="AO42" s="68"/>
      <c r="AP42" s="58" t="str">
        <f>IF($AO42="","",IFERROR(_xlfn.IMAGE(IF(REGEXMATCH($AO42,"\.(png|jpg|jpeg|gif)$"),$AO42,"https://s3.tradingview.com/snapshots/"&amp;LOWER(MID(REGEXEXTRACT($AO42,"/x/([A-Za-z0-9]+)"),1,1))&amp;"/"&amp;REGEXEXTRACT($AO42,"/x/([A-Za-z0-9]+)")&amp;".png"),1),"⚠️ link tidak dikenali"))</f>
        <v/>
      </c>
      <c r="AQ42" s="66">
        <f>IF($Z42="",0,IF(AND(OR('📊 Dashboard'!$B$4="(Semua)",$F42='📊 Dashboard'!$B$4),OR('📊 Dashboard'!$B$5="(Semua)",$H42='📊 Dashboard'!$B$5),OR('📊 Dashboard'!$B$6="(Semua)",$E42='📊 Dashboard'!$B$6),OR('📊 Dashboard'!$B$7="(Semua)",$AF42='📊 Dashboard'!$B$7),OR('📊 Dashboard'!$B$8="(Semua)",$AG42='📊 Dashboard'!$B$8),OR('📊 Dashboard'!$B$9="(Semua)",$K42='📊 Dashboard'!$B$9)),1,0))</f>
        <v>0</v>
      </c>
      <c r="AR42" s="69"/>
    </row>
    <row r="43" ht="58" customHeight="1" spans="1:44">
      <c r="A43" s="58" t="str">
        <f t="shared" si="0"/>
        <v/>
      </c>
      <c r="B43" s="59"/>
      <c r="C43" s="60"/>
      <c r="D43" s="60"/>
      <c r="E43" s="58" t="str">
        <f t="shared" si="1"/>
        <v/>
      </c>
      <c r="F43" s="61"/>
      <c r="G43" s="61"/>
      <c r="H43" s="61"/>
      <c r="I43" s="61"/>
      <c r="J43" s="61"/>
      <c r="K43" s="61"/>
      <c r="L43" s="61"/>
      <c r="M43" s="61"/>
      <c r="N43" s="62"/>
      <c r="O43" s="62"/>
      <c r="P43" s="62"/>
      <c r="Q43" s="62"/>
      <c r="R43" s="63" t="str">
        <f>IFERROR(IF(OR($N43="",$O43="",$F43=""),"",ROUND(('⚙️ Setelan'!$B$3*'⚙️ Setelan'!$B$4/100)/(ABS($N43-$O43)*VLOOKUP($F43,'⚙️ Setelan'!$A$14:$F$20,4,FALSE)),2)),"")</f>
        <v/>
      </c>
      <c r="S43" s="64"/>
      <c r="T43" s="65" t="str">
        <f>IFERROR(IF(OR($N43="",$O43="",$S43=""),"",ABS($N43-$O43)*$S43*VLOOKUP($F43,'⚙️ Setelan'!$A$14:$F$20,4,FALSE)),"")</f>
        <v/>
      </c>
      <c r="U43" s="63" t="str">
        <f t="shared" si="2"/>
        <v/>
      </c>
      <c r="V43" s="65" t="str">
        <f>IFERROR(IF(OR($Q43="",$N43="",$S43=""),"",($Q43-$N43)*IF($G43="Buy",1,-1)*$S43*VLOOKUP($F43,'⚙️ Setelan'!$A$14:$F$20,4,FALSE)),"")</f>
        <v/>
      </c>
      <c r="W43" s="65" t="str">
        <f>IFERROR(IF(OR($S43="",$F43=""),"",$S43*VLOOKUP($F43,'⚙️ Setelan'!$A$14:$F$20,5,FALSE)),"")</f>
        <v/>
      </c>
      <c r="X43" s="65" t="str">
        <f t="shared" si="3"/>
        <v/>
      </c>
      <c r="Y43" s="63" t="str">
        <f t="shared" si="4"/>
        <v/>
      </c>
      <c r="Z43" s="58" t="str">
        <f t="shared" si="5"/>
        <v/>
      </c>
      <c r="AA43" s="66" t="str">
        <f t="shared" si="6"/>
        <v/>
      </c>
      <c r="AB43" s="62"/>
      <c r="AC43" s="62"/>
      <c r="AD43" s="63" t="str">
        <f>IFERROR(IF(OR($AB43="",$T43="",$T43=0),"",ROUND(ABS($N43-$AB43)*$S43*VLOOKUP($F43,'⚙️ Setelan'!$A$14:$F$20,4,FALSE)/$T43,2)),"")</f>
        <v/>
      </c>
      <c r="AE43" s="63" t="str">
        <f>IFERROR(IF(OR($AC43="",$T43="",$T43=0),"",ROUND(ABS($AC43-$N43)*$S43*VLOOKUP($F43,'⚙️ Setelan'!$A$14:$F$20,4,FALSE)/$T43,2)),"")</f>
        <v/>
      </c>
      <c r="AF43" s="61"/>
      <c r="AG43" s="61"/>
      <c r="AH43" s="61"/>
      <c r="AI43" s="61"/>
      <c r="AJ43" s="61"/>
      <c r="AK43" s="67"/>
      <c r="AL43" s="58" t="str">
        <f>IF(OR($C43="",$B43=""),"",IF(AND($Z42="Loss",$B43=$B42,MOD($C43-$D42,1)*1440&lt;'⚙️ Setelan'!$B$9),"⚠️ Revenge",""))</f>
        <v/>
      </c>
      <c r="AM43" s="68"/>
      <c r="AN43" s="58" t="str">
        <f>IF($AM43="","",IFERROR(_xlfn.IMAGE(IF(REGEXMATCH($AM43,"\.(png|jpg|jpeg|gif)$"),$AM43,"https://s3.tradingview.com/snapshots/"&amp;LOWER(MID(REGEXEXTRACT($AM43,"/x/([A-Za-z0-9]+)"),1,1))&amp;"/"&amp;REGEXEXTRACT($AM43,"/x/([A-Za-z0-9]+)")&amp;".png"),1),"⚠️ link tidak dikenali"))</f>
        <v/>
      </c>
      <c r="AO43" s="68"/>
      <c r="AP43" s="58" t="str">
        <f>IF($AO43="","",IFERROR(_xlfn.IMAGE(IF(REGEXMATCH($AO43,"\.(png|jpg|jpeg|gif)$"),$AO43,"https://s3.tradingview.com/snapshots/"&amp;LOWER(MID(REGEXEXTRACT($AO43,"/x/([A-Za-z0-9]+)"),1,1))&amp;"/"&amp;REGEXEXTRACT($AO43,"/x/([A-Za-z0-9]+)")&amp;".png"),1),"⚠️ link tidak dikenali"))</f>
        <v/>
      </c>
      <c r="AQ43" s="66">
        <f>IF($Z43="",0,IF(AND(OR('📊 Dashboard'!$B$4="(Semua)",$F43='📊 Dashboard'!$B$4),OR('📊 Dashboard'!$B$5="(Semua)",$H43='📊 Dashboard'!$B$5),OR('📊 Dashboard'!$B$6="(Semua)",$E43='📊 Dashboard'!$B$6),OR('📊 Dashboard'!$B$7="(Semua)",$AF43='📊 Dashboard'!$B$7),OR('📊 Dashboard'!$B$8="(Semua)",$AG43='📊 Dashboard'!$B$8),OR('📊 Dashboard'!$B$9="(Semua)",$K43='📊 Dashboard'!$B$9)),1,0))</f>
        <v>0</v>
      </c>
      <c r="AR43" s="69"/>
    </row>
    <row r="44" ht="58" customHeight="1" spans="1:44">
      <c r="A44" s="58" t="str">
        <f t="shared" si="0"/>
        <v/>
      </c>
      <c r="B44" s="59"/>
      <c r="C44" s="60"/>
      <c r="D44" s="60"/>
      <c r="E44" s="58" t="str">
        <f t="shared" si="1"/>
        <v/>
      </c>
      <c r="F44" s="61"/>
      <c r="G44" s="61"/>
      <c r="H44" s="61"/>
      <c r="I44" s="61"/>
      <c r="J44" s="61"/>
      <c r="K44" s="61"/>
      <c r="L44" s="61"/>
      <c r="M44" s="61"/>
      <c r="N44" s="62"/>
      <c r="O44" s="62"/>
      <c r="P44" s="62"/>
      <c r="Q44" s="62"/>
      <c r="R44" s="63" t="str">
        <f>IFERROR(IF(OR($N44="",$O44="",$F44=""),"",ROUND(('⚙️ Setelan'!$B$3*'⚙️ Setelan'!$B$4/100)/(ABS($N44-$O44)*VLOOKUP($F44,'⚙️ Setelan'!$A$14:$F$20,4,FALSE)),2)),"")</f>
        <v/>
      </c>
      <c r="S44" s="64"/>
      <c r="T44" s="65" t="str">
        <f>IFERROR(IF(OR($N44="",$O44="",$S44=""),"",ABS($N44-$O44)*$S44*VLOOKUP($F44,'⚙️ Setelan'!$A$14:$F$20,4,FALSE)),"")</f>
        <v/>
      </c>
      <c r="U44" s="63" t="str">
        <f t="shared" si="2"/>
        <v/>
      </c>
      <c r="V44" s="65" t="str">
        <f>IFERROR(IF(OR($Q44="",$N44="",$S44=""),"",($Q44-$N44)*IF($G44="Buy",1,-1)*$S44*VLOOKUP($F44,'⚙️ Setelan'!$A$14:$F$20,4,FALSE)),"")</f>
        <v/>
      </c>
      <c r="W44" s="65" t="str">
        <f>IFERROR(IF(OR($S44="",$F44=""),"",$S44*VLOOKUP($F44,'⚙️ Setelan'!$A$14:$F$20,5,FALSE)),"")</f>
        <v/>
      </c>
      <c r="X44" s="65" t="str">
        <f t="shared" si="3"/>
        <v/>
      </c>
      <c r="Y44" s="63" t="str">
        <f t="shared" si="4"/>
        <v/>
      </c>
      <c r="Z44" s="58" t="str">
        <f t="shared" si="5"/>
        <v/>
      </c>
      <c r="AA44" s="66" t="str">
        <f t="shared" si="6"/>
        <v/>
      </c>
      <c r="AB44" s="62"/>
      <c r="AC44" s="62"/>
      <c r="AD44" s="63" t="str">
        <f>IFERROR(IF(OR($AB44="",$T44="",$T44=0),"",ROUND(ABS($N44-$AB44)*$S44*VLOOKUP($F44,'⚙️ Setelan'!$A$14:$F$20,4,FALSE)/$T44,2)),"")</f>
        <v/>
      </c>
      <c r="AE44" s="63" t="str">
        <f>IFERROR(IF(OR($AC44="",$T44="",$T44=0),"",ROUND(ABS($AC44-$N44)*$S44*VLOOKUP($F44,'⚙️ Setelan'!$A$14:$F$20,4,FALSE)/$T44,2)),"")</f>
        <v/>
      </c>
      <c r="AF44" s="61"/>
      <c r="AG44" s="61"/>
      <c r="AH44" s="61"/>
      <c r="AI44" s="61"/>
      <c r="AJ44" s="61"/>
      <c r="AK44" s="67"/>
      <c r="AL44" s="58" t="str">
        <f>IF(OR($C44="",$B44=""),"",IF(AND($Z43="Loss",$B44=$B43,MOD($C44-$D43,1)*1440&lt;'⚙️ Setelan'!$B$9),"⚠️ Revenge",""))</f>
        <v/>
      </c>
      <c r="AM44" s="68"/>
      <c r="AN44" s="58" t="str">
        <f>IF($AM44="","",IFERROR(_xlfn.IMAGE(IF(REGEXMATCH($AM44,"\.(png|jpg|jpeg|gif)$"),$AM44,"https://s3.tradingview.com/snapshots/"&amp;LOWER(MID(REGEXEXTRACT($AM44,"/x/([A-Za-z0-9]+)"),1,1))&amp;"/"&amp;REGEXEXTRACT($AM44,"/x/([A-Za-z0-9]+)")&amp;".png"),1),"⚠️ link tidak dikenali"))</f>
        <v/>
      </c>
      <c r="AO44" s="68"/>
      <c r="AP44" s="58" t="str">
        <f>IF($AO44="","",IFERROR(_xlfn.IMAGE(IF(REGEXMATCH($AO44,"\.(png|jpg|jpeg|gif)$"),$AO44,"https://s3.tradingview.com/snapshots/"&amp;LOWER(MID(REGEXEXTRACT($AO44,"/x/([A-Za-z0-9]+)"),1,1))&amp;"/"&amp;REGEXEXTRACT($AO44,"/x/([A-Za-z0-9]+)")&amp;".png"),1),"⚠️ link tidak dikenali"))</f>
        <v/>
      </c>
      <c r="AQ44" s="66">
        <f>IF($Z44="",0,IF(AND(OR('📊 Dashboard'!$B$4="(Semua)",$F44='📊 Dashboard'!$B$4),OR('📊 Dashboard'!$B$5="(Semua)",$H44='📊 Dashboard'!$B$5),OR('📊 Dashboard'!$B$6="(Semua)",$E44='📊 Dashboard'!$B$6),OR('📊 Dashboard'!$B$7="(Semua)",$AF44='📊 Dashboard'!$B$7),OR('📊 Dashboard'!$B$8="(Semua)",$AG44='📊 Dashboard'!$B$8),OR('📊 Dashboard'!$B$9="(Semua)",$K44='📊 Dashboard'!$B$9)),1,0))</f>
        <v>0</v>
      </c>
      <c r="AR44" s="69"/>
    </row>
    <row r="45" ht="58" customHeight="1" spans="1:44">
      <c r="A45" s="58" t="str">
        <f t="shared" si="0"/>
        <v/>
      </c>
      <c r="B45" s="59"/>
      <c r="C45" s="60"/>
      <c r="D45" s="60"/>
      <c r="E45" s="58" t="str">
        <f t="shared" si="1"/>
        <v/>
      </c>
      <c r="F45" s="61"/>
      <c r="G45" s="61"/>
      <c r="H45" s="61"/>
      <c r="I45" s="61"/>
      <c r="J45" s="61"/>
      <c r="K45" s="61"/>
      <c r="L45" s="61"/>
      <c r="M45" s="61"/>
      <c r="N45" s="62"/>
      <c r="O45" s="62"/>
      <c r="P45" s="62"/>
      <c r="Q45" s="62"/>
      <c r="R45" s="63" t="str">
        <f>IFERROR(IF(OR($N45="",$O45="",$F45=""),"",ROUND(('⚙️ Setelan'!$B$3*'⚙️ Setelan'!$B$4/100)/(ABS($N45-$O45)*VLOOKUP($F45,'⚙️ Setelan'!$A$14:$F$20,4,FALSE)),2)),"")</f>
        <v/>
      </c>
      <c r="S45" s="64"/>
      <c r="T45" s="65" t="str">
        <f>IFERROR(IF(OR($N45="",$O45="",$S45=""),"",ABS($N45-$O45)*$S45*VLOOKUP($F45,'⚙️ Setelan'!$A$14:$F$20,4,FALSE)),"")</f>
        <v/>
      </c>
      <c r="U45" s="63" t="str">
        <f t="shared" si="2"/>
        <v/>
      </c>
      <c r="V45" s="65" t="str">
        <f>IFERROR(IF(OR($Q45="",$N45="",$S45=""),"",($Q45-$N45)*IF($G45="Buy",1,-1)*$S45*VLOOKUP($F45,'⚙️ Setelan'!$A$14:$F$20,4,FALSE)),"")</f>
        <v/>
      </c>
      <c r="W45" s="65" t="str">
        <f>IFERROR(IF(OR($S45="",$F45=""),"",$S45*VLOOKUP($F45,'⚙️ Setelan'!$A$14:$F$20,5,FALSE)),"")</f>
        <v/>
      </c>
      <c r="X45" s="65" t="str">
        <f t="shared" si="3"/>
        <v/>
      </c>
      <c r="Y45" s="63" t="str">
        <f t="shared" si="4"/>
        <v/>
      </c>
      <c r="Z45" s="58" t="str">
        <f t="shared" si="5"/>
        <v/>
      </c>
      <c r="AA45" s="66" t="str">
        <f t="shared" si="6"/>
        <v/>
      </c>
      <c r="AB45" s="62"/>
      <c r="AC45" s="62"/>
      <c r="AD45" s="63" t="str">
        <f>IFERROR(IF(OR($AB45="",$T45="",$T45=0),"",ROUND(ABS($N45-$AB45)*$S45*VLOOKUP($F45,'⚙️ Setelan'!$A$14:$F$20,4,FALSE)/$T45,2)),"")</f>
        <v/>
      </c>
      <c r="AE45" s="63" t="str">
        <f>IFERROR(IF(OR($AC45="",$T45="",$T45=0),"",ROUND(ABS($AC45-$N45)*$S45*VLOOKUP($F45,'⚙️ Setelan'!$A$14:$F$20,4,FALSE)/$T45,2)),"")</f>
        <v/>
      </c>
      <c r="AF45" s="61"/>
      <c r="AG45" s="61"/>
      <c r="AH45" s="61"/>
      <c r="AI45" s="61"/>
      <c r="AJ45" s="61"/>
      <c r="AK45" s="67"/>
      <c r="AL45" s="58" t="str">
        <f>IF(OR($C45="",$B45=""),"",IF(AND($Z44="Loss",$B45=$B44,MOD($C45-$D44,1)*1440&lt;'⚙️ Setelan'!$B$9),"⚠️ Revenge",""))</f>
        <v/>
      </c>
      <c r="AM45" s="68"/>
      <c r="AN45" s="58" t="str">
        <f>IF($AM45="","",IFERROR(_xlfn.IMAGE(IF(REGEXMATCH($AM45,"\.(png|jpg|jpeg|gif)$"),$AM45,"https://s3.tradingview.com/snapshots/"&amp;LOWER(MID(REGEXEXTRACT($AM45,"/x/([A-Za-z0-9]+)"),1,1))&amp;"/"&amp;REGEXEXTRACT($AM45,"/x/([A-Za-z0-9]+)")&amp;".png"),1),"⚠️ link tidak dikenali"))</f>
        <v/>
      </c>
      <c r="AO45" s="68"/>
      <c r="AP45" s="58" t="str">
        <f>IF($AO45="","",IFERROR(_xlfn.IMAGE(IF(REGEXMATCH($AO45,"\.(png|jpg|jpeg|gif)$"),$AO45,"https://s3.tradingview.com/snapshots/"&amp;LOWER(MID(REGEXEXTRACT($AO45,"/x/([A-Za-z0-9]+)"),1,1))&amp;"/"&amp;REGEXEXTRACT($AO45,"/x/([A-Za-z0-9]+)")&amp;".png"),1),"⚠️ link tidak dikenali"))</f>
        <v/>
      </c>
      <c r="AQ45" s="66">
        <f>IF($Z45="",0,IF(AND(OR('📊 Dashboard'!$B$4="(Semua)",$F45='📊 Dashboard'!$B$4),OR('📊 Dashboard'!$B$5="(Semua)",$H45='📊 Dashboard'!$B$5),OR('📊 Dashboard'!$B$6="(Semua)",$E45='📊 Dashboard'!$B$6),OR('📊 Dashboard'!$B$7="(Semua)",$AF45='📊 Dashboard'!$B$7),OR('📊 Dashboard'!$B$8="(Semua)",$AG45='📊 Dashboard'!$B$8),OR('📊 Dashboard'!$B$9="(Semua)",$K45='📊 Dashboard'!$B$9)),1,0))</f>
        <v>0</v>
      </c>
      <c r="AR45" s="69"/>
    </row>
    <row r="46" ht="58" customHeight="1" spans="1:44">
      <c r="A46" s="58" t="str">
        <f t="shared" si="0"/>
        <v/>
      </c>
      <c r="B46" s="59"/>
      <c r="C46" s="60"/>
      <c r="D46" s="60"/>
      <c r="E46" s="58" t="str">
        <f t="shared" si="1"/>
        <v/>
      </c>
      <c r="F46" s="61"/>
      <c r="G46" s="61"/>
      <c r="H46" s="61"/>
      <c r="I46" s="61"/>
      <c r="J46" s="61"/>
      <c r="K46" s="61"/>
      <c r="L46" s="61"/>
      <c r="M46" s="61"/>
      <c r="N46" s="62"/>
      <c r="O46" s="62"/>
      <c r="P46" s="62"/>
      <c r="Q46" s="62"/>
      <c r="R46" s="63" t="str">
        <f>IFERROR(IF(OR($N46="",$O46="",$F46=""),"",ROUND(('⚙️ Setelan'!$B$3*'⚙️ Setelan'!$B$4/100)/(ABS($N46-$O46)*VLOOKUP($F46,'⚙️ Setelan'!$A$14:$F$20,4,FALSE)),2)),"")</f>
        <v/>
      </c>
      <c r="S46" s="64"/>
      <c r="T46" s="65" t="str">
        <f>IFERROR(IF(OR($N46="",$O46="",$S46=""),"",ABS($N46-$O46)*$S46*VLOOKUP($F46,'⚙️ Setelan'!$A$14:$F$20,4,FALSE)),"")</f>
        <v/>
      </c>
      <c r="U46" s="63" t="str">
        <f t="shared" si="2"/>
        <v/>
      </c>
      <c r="V46" s="65" t="str">
        <f>IFERROR(IF(OR($Q46="",$N46="",$S46=""),"",($Q46-$N46)*IF($G46="Buy",1,-1)*$S46*VLOOKUP($F46,'⚙️ Setelan'!$A$14:$F$20,4,FALSE)),"")</f>
        <v/>
      </c>
      <c r="W46" s="65" t="str">
        <f>IFERROR(IF(OR($S46="",$F46=""),"",$S46*VLOOKUP($F46,'⚙️ Setelan'!$A$14:$F$20,5,FALSE)),"")</f>
        <v/>
      </c>
      <c r="X46" s="65" t="str">
        <f t="shared" si="3"/>
        <v/>
      </c>
      <c r="Y46" s="63" t="str">
        <f t="shared" si="4"/>
        <v/>
      </c>
      <c r="Z46" s="58" t="str">
        <f t="shared" si="5"/>
        <v/>
      </c>
      <c r="AA46" s="66" t="str">
        <f t="shared" si="6"/>
        <v/>
      </c>
      <c r="AB46" s="62"/>
      <c r="AC46" s="62"/>
      <c r="AD46" s="63" t="str">
        <f>IFERROR(IF(OR($AB46="",$T46="",$T46=0),"",ROUND(ABS($N46-$AB46)*$S46*VLOOKUP($F46,'⚙️ Setelan'!$A$14:$F$20,4,FALSE)/$T46,2)),"")</f>
        <v/>
      </c>
      <c r="AE46" s="63" t="str">
        <f>IFERROR(IF(OR($AC46="",$T46="",$T46=0),"",ROUND(ABS($AC46-$N46)*$S46*VLOOKUP($F46,'⚙️ Setelan'!$A$14:$F$20,4,FALSE)/$T46,2)),"")</f>
        <v/>
      </c>
      <c r="AF46" s="61"/>
      <c r="AG46" s="61"/>
      <c r="AH46" s="61"/>
      <c r="AI46" s="61"/>
      <c r="AJ46" s="61"/>
      <c r="AK46" s="67"/>
      <c r="AL46" s="58" t="str">
        <f>IF(OR($C46="",$B46=""),"",IF(AND($Z45="Loss",$B46=$B45,MOD($C46-$D45,1)*1440&lt;'⚙️ Setelan'!$B$9),"⚠️ Revenge",""))</f>
        <v/>
      </c>
      <c r="AM46" s="68"/>
      <c r="AN46" s="58" t="str">
        <f>IF($AM46="","",IFERROR(_xlfn.IMAGE(IF(REGEXMATCH($AM46,"\.(png|jpg|jpeg|gif)$"),$AM46,"https://s3.tradingview.com/snapshots/"&amp;LOWER(MID(REGEXEXTRACT($AM46,"/x/([A-Za-z0-9]+)"),1,1))&amp;"/"&amp;REGEXEXTRACT($AM46,"/x/([A-Za-z0-9]+)")&amp;".png"),1),"⚠️ link tidak dikenali"))</f>
        <v/>
      </c>
      <c r="AO46" s="68"/>
      <c r="AP46" s="58" t="str">
        <f>IF($AO46="","",IFERROR(_xlfn.IMAGE(IF(REGEXMATCH($AO46,"\.(png|jpg|jpeg|gif)$"),$AO46,"https://s3.tradingview.com/snapshots/"&amp;LOWER(MID(REGEXEXTRACT($AO46,"/x/([A-Za-z0-9]+)"),1,1))&amp;"/"&amp;REGEXEXTRACT($AO46,"/x/([A-Za-z0-9]+)")&amp;".png"),1),"⚠️ link tidak dikenali"))</f>
        <v/>
      </c>
      <c r="AQ46" s="66">
        <f>IF($Z46="",0,IF(AND(OR('📊 Dashboard'!$B$4="(Semua)",$F46='📊 Dashboard'!$B$4),OR('📊 Dashboard'!$B$5="(Semua)",$H46='📊 Dashboard'!$B$5),OR('📊 Dashboard'!$B$6="(Semua)",$E46='📊 Dashboard'!$B$6),OR('📊 Dashboard'!$B$7="(Semua)",$AF46='📊 Dashboard'!$B$7),OR('📊 Dashboard'!$B$8="(Semua)",$AG46='📊 Dashboard'!$B$8),OR('📊 Dashboard'!$B$9="(Semua)",$K46='📊 Dashboard'!$B$9)),1,0))</f>
        <v>0</v>
      </c>
      <c r="AR46" s="69"/>
    </row>
    <row r="47" ht="58" customHeight="1" spans="1:44">
      <c r="A47" s="58" t="str">
        <f t="shared" si="0"/>
        <v/>
      </c>
      <c r="B47" s="59"/>
      <c r="C47" s="60"/>
      <c r="D47" s="60"/>
      <c r="E47" s="58" t="str">
        <f t="shared" si="1"/>
        <v/>
      </c>
      <c r="F47" s="61"/>
      <c r="G47" s="61"/>
      <c r="H47" s="61"/>
      <c r="I47" s="61"/>
      <c r="J47" s="61"/>
      <c r="K47" s="61"/>
      <c r="L47" s="61"/>
      <c r="M47" s="61"/>
      <c r="N47" s="62"/>
      <c r="O47" s="62"/>
      <c r="P47" s="62"/>
      <c r="Q47" s="62"/>
      <c r="R47" s="63" t="str">
        <f>IFERROR(IF(OR($N47="",$O47="",$F47=""),"",ROUND(('⚙️ Setelan'!$B$3*'⚙️ Setelan'!$B$4/100)/(ABS($N47-$O47)*VLOOKUP($F47,'⚙️ Setelan'!$A$14:$F$20,4,FALSE)),2)),"")</f>
        <v/>
      </c>
      <c r="S47" s="64"/>
      <c r="T47" s="65" t="str">
        <f>IFERROR(IF(OR($N47="",$O47="",$S47=""),"",ABS($N47-$O47)*$S47*VLOOKUP($F47,'⚙️ Setelan'!$A$14:$F$20,4,FALSE)),"")</f>
        <v/>
      </c>
      <c r="U47" s="63" t="str">
        <f t="shared" si="2"/>
        <v/>
      </c>
      <c r="V47" s="65" t="str">
        <f>IFERROR(IF(OR($Q47="",$N47="",$S47=""),"",($Q47-$N47)*IF($G47="Buy",1,-1)*$S47*VLOOKUP($F47,'⚙️ Setelan'!$A$14:$F$20,4,FALSE)),"")</f>
        <v/>
      </c>
      <c r="W47" s="65" t="str">
        <f>IFERROR(IF(OR($S47="",$F47=""),"",$S47*VLOOKUP($F47,'⚙️ Setelan'!$A$14:$F$20,5,FALSE)),"")</f>
        <v/>
      </c>
      <c r="X47" s="65" t="str">
        <f t="shared" si="3"/>
        <v/>
      </c>
      <c r="Y47" s="63" t="str">
        <f t="shared" si="4"/>
        <v/>
      </c>
      <c r="Z47" s="58" t="str">
        <f t="shared" si="5"/>
        <v/>
      </c>
      <c r="AA47" s="66" t="str">
        <f t="shared" si="6"/>
        <v/>
      </c>
      <c r="AB47" s="62"/>
      <c r="AC47" s="62"/>
      <c r="AD47" s="63" t="str">
        <f>IFERROR(IF(OR($AB47="",$T47="",$T47=0),"",ROUND(ABS($N47-$AB47)*$S47*VLOOKUP($F47,'⚙️ Setelan'!$A$14:$F$20,4,FALSE)/$T47,2)),"")</f>
        <v/>
      </c>
      <c r="AE47" s="63" t="str">
        <f>IFERROR(IF(OR($AC47="",$T47="",$T47=0),"",ROUND(ABS($AC47-$N47)*$S47*VLOOKUP($F47,'⚙️ Setelan'!$A$14:$F$20,4,FALSE)/$T47,2)),"")</f>
        <v/>
      </c>
      <c r="AF47" s="61"/>
      <c r="AG47" s="61"/>
      <c r="AH47" s="61"/>
      <c r="AI47" s="61"/>
      <c r="AJ47" s="61"/>
      <c r="AK47" s="67"/>
      <c r="AL47" s="58" t="str">
        <f>IF(OR($C47="",$B47=""),"",IF(AND($Z46="Loss",$B47=$B46,MOD($C47-$D46,1)*1440&lt;'⚙️ Setelan'!$B$9),"⚠️ Revenge",""))</f>
        <v/>
      </c>
      <c r="AM47" s="68"/>
      <c r="AN47" s="58" t="str">
        <f>IF($AM47="","",IFERROR(_xlfn.IMAGE(IF(REGEXMATCH($AM47,"\.(png|jpg|jpeg|gif)$"),$AM47,"https://s3.tradingview.com/snapshots/"&amp;LOWER(MID(REGEXEXTRACT($AM47,"/x/([A-Za-z0-9]+)"),1,1))&amp;"/"&amp;REGEXEXTRACT($AM47,"/x/([A-Za-z0-9]+)")&amp;".png"),1),"⚠️ link tidak dikenali"))</f>
        <v/>
      </c>
      <c r="AO47" s="68"/>
      <c r="AP47" s="58" t="str">
        <f>IF($AO47="","",IFERROR(_xlfn.IMAGE(IF(REGEXMATCH($AO47,"\.(png|jpg|jpeg|gif)$"),$AO47,"https://s3.tradingview.com/snapshots/"&amp;LOWER(MID(REGEXEXTRACT($AO47,"/x/([A-Za-z0-9]+)"),1,1))&amp;"/"&amp;REGEXEXTRACT($AO47,"/x/([A-Za-z0-9]+)")&amp;".png"),1),"⚠️ link tidak dikenali"))</f>
        <v/>
      </c>
      <c r="AQ47" s="66">
        <f>IF($Z47="",0,IF(AND(OR('📊 Dashboard'!$B$4="(Semua)",$F47='📊 Dashboard'!$B$4),OR('📊 Dashboard'!$B$5="(Semua)",$H47='📊 Dashboard'!$B$5),OR('📊 Dashboard'!$B$6="(Semua)",$E47='📊 Dashboard'!$B$6),OR('📊 Dashboard'!$B$7="(Semua)",$AF47='📊 Dashboard'!$B$7),OR('📊 Dashboard'!$B$8="(Semua)",$AG47='📊 Dashboard'!$B$8),OR('📊 Dashboard'!$B$9="(Semua)",$K47='📊 Dashboard'!$B$9)),1,0))</f>
        <v>0</v>
      </c>
      <c r="AR47" s="69"/>
    </row>
    <row r="48" ht="58" customHeight="1" spans="1:44">
      <c r="A48" s="58" t="str">
        <f t="shared" si="0"/>
        <v/>
      </c>
      <c r="B48" s="59"/>
      <c r="C48" s="60"/>
      <c r="D48" s="60"/>
      <c r="E48" s="58" t="str">
        <f t="shared" si="1"/>
        <v/>
      </c>
      <c r="F48" s="61"/>
      <c r="G48" s="61"/>
      <c r="H48" s="61"/>
      <c r="I48" s="61"/>
      <c r="J48" s="61"/>
      <c r="K48" s="61"/>
      <c r="L48" s="61"/>
      <c r="M48" s="61"/>
      <c r="N48" s="62"/>
      <c r="O48" s="62"/>
      <c r="P48" s="62"/>
      <c r="Q48" s="62"/>
      <c r="R48" s="63" t="str">
        <f>IFERROR(IF(OR($N48="",$O48="",$F48=""),"",ROUND(('⚙️ Setelan'!$B$3*'⚙️ Setelan'!$B$4/100)/(ABS($N48-$O48)*VLOOKUP($F48,'⚙️ Setelan'!$A$14:$F$20,4,FALSE)),2)),"")</f>
        <v/>
      </c>
      <c r="S48" s="64"/>
      <c r="T48" s="65" t="str">
        <f>IFERROR(IF(OR($N48="",$O48="",$S48=""),"",ABS($N48-$O48)*$S48*VLOOKUP($F48,'⚙️ Setelan'!$A$14:$F$20,4,FALSE)),"")</f>
        <v/>
      </c>
      <c r="U48" s="63" t="str">
        <f t="shared" si="2"/>
        <v/>
      </c>
      <c r="V48" s="65" t="str">
        <f>IFERROR(IF(OR($Q48="",$N48="",$S48=""),"",($Q48-$N48)*IF($G48="Buy",1,-1)*$S48*VLOOKUP($F48,'⚙️ Setelan'!$A$14:$F$20,4,FALSE)),"")</f>
        <v/>
      </c>
      <c r="W48" s="65" t="str">
        <f>IFERROR(IF(OR($S48="",$F48=""),"",$S48*VLOOKUP($F48,'⚙️ Setelan'!$A$14:$F$20,5,FALSE)),"")</f>
        <v/>
      </c>
      <c r="X48" s="65" t="str">
        <f t="shared" si="3"/>
        <v/>
      </c>
      <c r="Y48" s="63" t="str">
        <f t="shared" si="4"/>
        <v/>
      </c>
      <c r="Z48" s="58" t="str">
        <f t="shared" si="5"/>
        <v/>
      </c>
      <c r="AA48" s="66" t="str">
        <f t="shared" si="6"/>
        <v/>
      </c>
      <c r="AB48" s="62"/>
      <c r="AC48" s="62"/>
      <c r="AD48" s="63" t="str">
        <f>IFERROR(IF(OR($AB48="",$T48="",$T48=0),"",ROUND(ABS($N48-$AB48)*$S48*VLOOKUP($F48,'⚙️ Setelan'!$A$14:$F$20,4,FALSE)/$T48,2)),"")</f>
        <v/>
      </c>
      <c r="AE48" s="63" t="str">
        <f>IFERROR(IF(OR($AC48="",$T48="",$T48=0),"",ROUND(ABS($AC48-$N48)*$S48*VLOOKUP($F48,'⚙️ Setelan'!$A$14:$F$20,4,FALSE)/$T48,2)),"")</f>
        <v/>
      </c>
      <c r="AF48" s="61"/>
      <c r="AG48" s="61"/>
      <c r="AH48" s="61"/>
      <c r="AI48" s="61"/>
      <c r="AJ48" s="61"/>
      <c r="AK48" s="67"/>
      <c r="AL48" s="58" t="str">
        <f>IF(OR($C48="",$B48=""),"",IF(AND($Z47="Loss",$B48=$B47,MOD($C48-$D47,1)*1440&lt;'⚙️ Setelan'!$B$9),"⚠️ Revenge",""))</f>
        <v/>
      </c>
      <c r="AM48" s="68"/>
      <c r="AN48" s="58" t="str">
        <f>IF($AM48="","",IFERROR(_xlfn.IMAGE(IF(REGEXMATCH($AM48,"\.(png|jpg|jpeg|gif)$"),$AM48,"https://s3.tradingview.com/snapshots/"&amp;LOWER(MID(REGEXEXTRACT($AM48,"/x/([A-Za-z0-9]+)"),1,1))&amp;"/"&amp;REGEXEXTRACT($AM48,"/x/([A-Za-z0-9]+)")&amp;".png"),1),"⚠️ link tidak dikenali"))</f>
        <v/>
      </c>
      <c r="AO48" s="68"/>
      <c r="AP48" s="58" t="str">
        <f>IF($AO48="","",IFERROR(_xlfn.IMAGE(IF(REGEXMATCH($AO48,"\.(png|jpg|jpeg|gif)$"),$AO48,"https://s3.tradingview.com/snapshots/"&amp;LOWER(MID(REGEXEXTRACT($AO48,"/x/([A-Za-z0-9]+)"),1,1))&amp;"/"&amp;REGEXEXTRACT($AO48,"/x/([A-Za-z0-9]+)")&amp;".png"),1),"⚠️ link tidak dikenali"))</f>
        <v/>
      </c>
      <c r="AQ48" s="66">
        <f>IF($Z48="",0,IF(AND(OR('📊 Dashboard'!$B$4="(Semua)",$F48='📊 Dashboard'!$B$4),OR('📊 Dashboard'!$B$5="(Semua)",$H48='📊 Dashboard'!$B$5),OR('📊 Dashboard'!$B$6="(Semua)",$E48='📊 Dashboard'!$B$6),OR('📊 Dashboard'!$B$7="(Semua)",$AF48='📊 Dashboard'!$B$7),OR('📊 Dashboard'!$B$8="(Semua)",$AG48='📊 Dashboard'!$B$8),OR('📊 Dashboard'!$B$9="(Semua)",$K48='📊 Dashboard'!$B$9)),1,0))</f>
        <v>0</v>
      </c>
      <c r="AR48" s="69"/>
    </row>
    <row r="49" ht="58" customHeight="1" spans="1:44">
      <c r="A49" s="58" t="str">
        <f t="shared" si="0"/>
        <v/>
      </c>
      <c r="B49" s="59"/>
      <c r="C49" s="60"/>
      <c r="D49" s="60"/>
      <c r="E49" s="58" t="str">
        <f t="shared" si="1"/>
        <v/>
      </c>
      <c r="F49" s="61"/>
      <c r="G49" s="61"/>
      <c r="H49" s="61"/>
      <c r="I49" s="61"/>
      <c r="J49" s="61"/>
      <c r="K49" s="61"/>
      <c r="L49" s="61"/>
      <c r="M49" s="61"/>
      <c r="N49" s="62"/>
      <c r="O49" s="62"/>
      <c r="P49" s="62"/>
      <c r="Q49" s="62"/>
      <c r="R49" s="63" t="str">
        <f>IFERROR(IF(OR($N49="",$O49="",$F49=""),"",ROUND(('⚙️ Setelan'!$B$3*'⚙️ Setelan'!$B$4/100)/(ABS($N49-$O49)*VLOOKUP($F49,'⚙️ Setelan'!$A$14:$F$20,4,FALSE)),2)),"")</f>
        <v/>
      </c>
      <c r="S49" s="64"/>
      <c r="T49" s="65" t="str">
        <f>IFERROR(IF(OR($N49="",$O49="",$S49=""),"",ABS($N49-$O49)*$S49*VLOOKUP($F49,'⚙️ Setelan'!$A$14:$F$20,4,FALSE)),"")</f>
        <v/>
      </c>
      <c r="U49" s="63" t="str">
        <f t="shared" si="2"/>
        <v/>
      </c>
      <c r="V49" s="65" t="str">
        <f>IFERROR(IF(OR($Q49="",$N49="",$S49=""),"",($Q49-$N49)*IF($G49="Buy",1,-1)*$S49*VLOOKUP($F49,'⚙️ Setelan'!$A$14:$F$20,4,FALSE)),"")</f>
        <v/>
      </c>
      <c r="W49" s="65" t="str">
        <f>IFERROR(IF(OR($S49="",$F49=""),"",$S49*VLOOKUP($F49,'⚙️ Setelan'!$A$14:$F$20,5,FALSE)),"")</f>
        <v/>
      </c>
      <c r="X49" s="65" t="str">
        <f t="shared" si="3"/>
        <v/>
      </c>
      <c r="Y49" s="63" t="str">
        <f t="shared" si="4"/>
        <v/>
      </c>
      <c r="Z49" s="58" t="str">
        <f t="shared" si="5"/>
        <v/>
      </c>
      <c r="AA49" s="66" t="str">
        <f t="shared" si="6"/>
        <v/>
      </c>
      <c r="AB49" s="62"/>
      <c r="AC49" s="62"/>
      <c r="AD49" s="63" t="str">
        <f>IFERROR(IF(OR($AB49="",$T49="",$T49=0),"",ROUND(ABS($N49-$AB49)*$S49*VLOOKUP($F49,'⚙️ Setelan'!$A$14:$F$20,4,FALSE)/$T49,2)),"")</f>
        <v/>
      </c>
      <c r="AE49" s="63" t="str">
        <f>IFERROR(IF(OR($AC49="",$T49="",$T49=0),"",ROUND(ABS($AC49-$N49)*$S49*VLOOKUP($F49,'⚙️ Setelan'!$A$14:$F$20,4,FALSE)/$T49,2)),"")</f>
        <v/>
      </c>
      <c r="AF49" s="61"/>
      <c r="AG49" s="61"/>
      <c r="AH49" s="61"/>
      <c r="AI49" s="61"/>
      <c r="AJ49" s="61"/>
      <c r="AK49" s="67"/>
      <c r="AL49" s="58" t="str">
        <f>IF(OR($C49="",$B49=""),"",IF(AND($Z48="Loss",$B49=$B48,MOD($C49-$D48,1)*1440&lt;'⚙️ Setelan'!$B$9),"⚠️ Revenge",""))</f>
        <v/>
      </c>
      <c r="AM49" s="68"/>
      <c r="AN49" s="58" t="str">
        <f>IF($AM49="","",IFERROR(_xlfn.IMAGE(IF(REGEXMATCH($AM49,"\.(png|jpg|jpeg|gif)$"),$AM49,"https://s3.tradingview.com/snapshots/"&amp;LOWER(MID(REGEXEXTRACT($AM49,"/x/([A-Za-z0-9]+)"),1,1))&amp;"/"&amp;REGEXEXTRACT($AM49,"/x/([A-Za-z0-9]+)")&amp;".png"),1),"⚠️ link tidak dikenali"))</f>
        <v/>
      </c>
      <c r="AO49" s="68"/>
      <c r="AP49" s="58" t="str">
        <f>IF($AO49="","",IFERROR(_xlfn.IMAGE(IF(REGEXMATCH($AO49,"\.(png|jpg|jpeg|gif)$"),$AO49,"https://s3.tradingview.com/snapshots/"&amp;LOWER(MID(REGEXEXTRACT($AO49,"/x/([A-Za-z0-9]+)"),1,1))&amp;"/"&amp;REGEXEXTRACT($AO49,"/x/([A-Za-z0-9]+)")&amp;".png"),1),"⚠️ link tidak dikenali"))</f>
        <v/>
      </c>
      <c r="AQ49" s="66">
        <f>IF($Z49="",0,IF(AND(OR('📊 Dashboard'!$B$4="(Semua)",$F49='📊 Dashboard'!$B$4),OR('📊 Dashboard'!$B$5="(Semua)",$H49='📊 Dashboard'!$B$5),OR('📊 Dashboard'!$B$6="(Semua)",$E49='📊 Dashboard'!$B$6),OR('📊 Dashboard'!$B$7="(Semua)",$AF49='📊 Dashboard'!$B$7),OR('📊 Dashboard'!$B$8="(Semua)",$AG49='📊 Dashboard'!$B$8),OR('📊 Dashboard'!$B$9="(Semua)",$K49='📊 Dashboard'!$B$9)),1,0))</f>
        <v>0</v>
      </c>
      <c r="AR49" s="69"/>
    </row>
    <row r="50" ht="58" customHeight="1" spans="1:44">
      <c r="A50" s="58" t="str">
        <f t="shared" si="0"/>
        <v/>
      </c>
      <c r="B50" s="59"/>
      <c r="C50" s="60"/>
      <c r="D50" s="60"/>
      <c r="E50" s="58" t="str">
        <f t="shared" si="1"/>
        <v/>
      </c>
      <c r="F50" s="61"/>
      <c r="G50" s="61"/>
      <c r="H50" s="61"/>
      <c r="I50" s="61"/>
      <c r="J50" s="61"/>
      <c r="K50" s="61"/>
      <c r="L50" s="61"/>
      <c r="M50" s="61"/>
      <c r="N50" s="62"/>
      <c r="O50" s="62"/>
      <c r="P50" s="62"/>
      <c r="Q50" s="62"/>
      <c r="R50" s="63" t="str">
        <f>IFERROR(IF(OR($N50="",$O50="",$F50=""),"",ROUND(('⚙️ Setelan'!$B$3*'⚙️ Setelan'!$B$4/100)/(ABS($N50-$O50)*VLOOKUP($F50,'⚙️ Setelan'!$A$14:$F$20,4,FALSE)),2)),"")</f>
        <v/>
      </c>
      <c r="S50" s="64"/>
      <c r="T50" s="65" t="str">
        <f>IFERROR(IF(OR($N50="",$O50="",$S50=""),"",ABS($N50-$O50)*$S50*VLOOKUP($F50,'⚙️ Setelan'!$A$14:$F$20,4,FALSE)),"")</f>
        <v/>
      </c>
      <c r="U50" s="63" t="str">
        <f t="shared" si="2"/>
        <v/>
      </c>
      <c r="V50" s="65" t="str">
        <f>IFERROR(IF(OR($Q50="",$N50="",$S50=""),"",($Q50-$N50)*IF($G50="Buy",1,-1)*$S50*VLOOKUP($F50,'⚙️ Setelan'!$A$14:$F$20,4,FALSE)),"")</f>
        <v/>
      </c>
      <c r="W50" s="65" t="str">
        <f>IFERROR(IF(OR($S50="",$F50=""),"",$S50*VLOOKUP($F50,'⚙️ Setelan'!$A$14:$F$20,5,FALSE)),"")</f>
        <v/>
      </c>
      <c r="X50" s="65" t="str">
        <f t="shared" si="3"/>
        <v/>
      </c>
      <c r="Y50" s="63" t="str">
        <f t="shared" si="4"/>
        <v/>
      </c>
      <c r="Z50" s="58" t="str">
        <f t="shared" si="5"/>
        <v/>
      </c>
      <c r="AA50" s="66" t="str">
        <f t="shared" si="6"/>
        <v/>
      </c>
      <c r="AB50" s="62"/>
      <c r="AC50" s="62"/>
      <c r="AD50" s="63" t="str">
        <f>IFERROR(IF(OR($AB50="",$T50="",$T50=0),"",ROUND(ABS($N50-$AB50)*$S50*VLOOKUP($F50,'⚙️ Setelan'!$A$14:$F$20,4,FALSE)/$T50,2)),"")</f>
        <v/>
      </c>
      <c r="AE50" s="63" t="str">
        <f>IFERROR(IF(OR($AC50="",$T50="",$T50=0),"",ROUND(ABS($AC50-$N50)*$S50*VLOOKUP($F50,'⚙️ Setelan'!$A$14:$F$20,4,FALSE)/$T50,2)),"")</f>
        <v/>
      </c>
      <c r="AF50" s="61"/>
      <c r="AG50" s="61"/>
      <c r="AH50" s="61"/>
      <c r="AI50" s="61"/>
      <c r="AJ50" s="61"/>
      <c r="AK50" s="67"/>
      <c r="AL50" s="58" t="str">
        <f>IF(OR($C50="",$B50=""),"",IF(AND($Z49="Loss",$B50=$B49,MOD($C50-$D49,1)*1440&lt;'⚙️ Setelan'!$B$9),"⚠️ Revenge",""))</f>
        <v/>
      </c>
      <c r="AM50" s="68"/>
      <c r="AN50" s="58" t="str">
        <f>IF($AM50="","",IFERROR(_xlfn.IMAGE(IF(REGEXMATCH($AM50,"\.(png|jpg|jpeg|gif)$"),$AM50,"https://s3.tradingview.com/snapshots/"&amp;LOWER(MID(REGEXEXTRACT($AM50,"/x/([A-Za-z0-9]+)"),1,1))&amp;"/"&amp;REGEXEXTRACT($AM50,"/x/([A-Za-z0-9]+)")&amp;".png"),1),"⚠️ link tidak dikenali"))</f>
        <v/>
      </c>
      <c r="AO50" s="68"/>
      <c r="AP50" s="58" t="str">
        <f>IF($AO50="","",IFERROR(_xlfn.IMAGE(IF(REGEXMATCH($AO50,"\.(png|jpg|jpeg|gif)$"),$AO50,"https://s3.tradingview.com/snapshots/"&amp;LOWER(MID(REGEXEXTRACT($AO50,"/x/([A-Za-z0-9]+)"),1,1))&amp;"/"&amp;REGEXEXTRACT($AO50,"/x/([A-Za-z0-9]+)")&amp;".png"),1),"⚠️ link tidak dikenali"))</f>
        <v/>
      </c>
      <c r="AQ50" s="66">
        <f>IF($Z50="",0,IF(AND(OR('📊 Dashboard'!$B$4="(Semua)",$F50='📊 Dashboard'!$B$4),OR('📊 Dashboard'!$B$5="(Semua)",$H50='📊 Dashboard'!$B$5),OR('📊 Dashboard'!$B$6="(Semua)",$E50='📊 Dashboard'!$B$6),OR('📊 Dashboard'!$B$7="(Semua)",$AF50='📊 Dashboard'!$B$7),OR('📊 Dashboard'!$B$8="(Semua)",$AG50='📊 Dashboard'!$B$8),OR('📊 Dashboard'!$B$9="(Semua)",$K50='📊 Dashboard'!$B$9)),1,0))</f>
        <v>0</v>
      </c>
      <c r="AR50" s="69"/>
    </row>
    <row r="51" ht="58" customHeight="1" spans="1:44">
      <c r="A51" s="58" t="str">
        <f t="shared" si="0"/>
        <v/>
      </c>
      <c r="B51" s="59"/>
      <c r="C51" s="60"/>
      <c r="D51" s="60"/>
      <c r="E51" s="58" t="str">
        <f t="shared" si="1"/>
        <v/>
      </c>
      <c r="F51" s="61"/>
      <c r="G51" s="61"/>
      <c r="H51" s="61"/>
      <c r="I51" s="61"/>
      <c r="J51" s="61"/>
      <c r="K51" s="61"/>
      <c r="L51" s="61"/>
      <c r="M51" s="61"/>
      <c r="N51" s="62"/>
      <c r="O51" s="62"/>
      <c r="P51" s="62"/>
      <c r="Q51" s="62"/>
      <c r="R51" s="63" t="str">
        <f>IFERROR(IF(OR($N51="",$O51="",$F51=""),"",ROUND(('⚙️ Setelan'!$B$3*'⚙️ Setelan'!$B$4/100)/(ABS($N51-$O51)*VLOOKUP($F51,'⚙️ Setelan'!$A$14:$F$20,4,FALSE)),2)),"")</f>
        <v/>
      </c>
      <c r="S51" s="64"/>
      <c r="T51" s="65" t="str">
        <f>IFERROR(IF(OR($N51="",$O51="",$S51=""),"",ABS($N51-$O51)*$S51*VLOOKUP($F51,'⚙️ Setelan'!$A$14:$F$20,4,FALSE)),"")</f>
        <v/>
      </c>
      <c r="U51" s="63" t="str">
        <f t="shared" si="2"/>
        <v/>
      </c>
      <c r="V51" s="65" t="str">
        <f>IFERROR(IF(OR($Q51="",$N51="",$S51=""),"",($Q51-$N51)*IF($G51="Buy",1,-1)*$S51*VLOOKUP($F51,'⚙️ Setelan'!$A$14:$F$20,4,FALSE)),"")</f>
        <v/>
      </c>
      <c r="W51" s="65" t="str">
        <f>IFERROR(IF(OR($S51="",$F51=""),"",$S51*VLOOKUP($F51,'⚙️ Setelan'!$A$14:$F$20,5,FALSE)),"")</f>
        <v/>
      </c>
      <c r="X51" s="65" t="str">
        <f t="shared" si="3"/>
        <v/>
      </c>
      <c r="Y51" s="63" t="str">
        <f t="shared" si="4"/>
        <v/>
      </c>
      <c r="Z51" s="58" t="str">
        <f t="shared" si="5"/>
        <v/>
      </c>
      <c r="AA51" s="66" t="str">
        <f t="shared" si="6"/>
        <v/>
      </c>
      <c r="AB51" s="62"/>
      <c r="AC51" s="62"/>
      <c r="AD51" s="63" t="str">
        <f>IFERROR(IF(OR($AB51="",$T51="",$T51=0),"",ROUND(ABS($N51-$AB51)*$S51*VLOOKUP($F51,'⚙️ Setelan'!$A$14:$F$20,4,FALSE)/$T51,2)),"")</f>
        <v/>
      </c>
      <c r="AE51" s="63" t="str">
        <f>IFERROR(IF(OR($AC51="",$T51="",$T51=0),"",ROUND(ABS($AC51-$N51)*$S51*VLOOKUP($F51,'⚙️ Setelan'!$A$14:$F$20,4,FALSE)/$T51,2)),"")</f>
        <v/>
      </c>
      <c r="AF51" s="61"/>
      <c r="AG51" s="61"/>
      <c r="AH51" s="61"/>
      <c r="AI51" s="61"/>
      <c r="AJ51" s="61"/>
      <c r="AK51" s="67"/>
      <c r="AL51" s="58" t="str">
        <f>IF(OR($C51="",$B51=""),"",IF(AND($Z50="Loss",$B51=$B50,MOD($C51-$D50,1)*1440&lt;'⚙️ Setelan'!$B$9),"⚠️ Revenge",""))</f>
        <v/>
      </c>
      <c r="AM51" s="68"/>
      <c r="AN51" s="58" t="str">
        <f>IF($AM51="","",IFERROR(_xlfn.IMAGE(IF(REGEXMATCH($AM51,"\.(png|jpg|jpeg|gif)$"),$AM51,"https://s3.tradingview.com/snapshots/"&amp;LOWER(MID(REGEXEXTRACT($AM51,"/x/([A-Za-z0-9]+)"),1,1))&amp;"/"&amp;REGEXEXTRACT($AM51,"/x/([A-Za-z0-9]+)")&amp;".png"),1),"⚠️ link tidak dikenali"))</f>
        <v/>
      </c>
      <c r="AO51" s="68"/>
      <c r="AP51" s="58" t="str">
        <f>IF($AO51="","",IFERROR(_xlfn.IMAGE(IF(REGEXMATCH($AO51,"\.(png|jpg|jpeg|gif)$"),$AO51,"https://s3.tradingview.com/snapshots/"&amp;LOWER(MID(REGEXEXTRACT($AO51,"/x/([A-Za-z0-9]+)"),1,1))&amp;"/"&amp;REGEXEXTRACT($AO51,"/x/([A-Za-z0-9]+)")&amp;".png"),1),"⚠️ link tidak dikenali"))</f>
        <v/>
      </c>
      <c r="AQ51" s="66">
        <f>IF($Z51="",0,IF(AND(OR('📊 Dashboard'!$B$4="(Semua)",$F51='📊 Dashboard'!$B$4),OR('📊 Dashboard'!$B$5="(Semua)",$H51='📊 Dashboard'!$B$5),OR('📊 Dashboard'!$B$6="(Semua)",$E51='📊 Dashboard'!$B$6),OR('📊 Dashboard'!$B$7="(Semua)",$AF51='📊 Dashboard'!$B$7),OR('📊 Dashboard'!$B$8="(Semua)",$AG51='📊 Dashboard'!$B$8),OR('📊 Dashboard'!$B$9="(Semua)",$K51='📊 Dashboard'!$B$9)),1,0))</f>
        <v>0</v>
      </c>
      <c r="AR51" s="69"/>
    </row>
    <row r="52" ht="58" customHeight="1" spans="1:44">
      <c r="A52" s="58" t="str">
        <f t="shared" si="0"/>
        <v/>
      </c>
      <c r="B52" s="59"/>
      <c r="C52" s="60"/>
      <c r="D52" s="60"/>
      <c r="E52" s="58" t="str">
        <f t="shared" si="1"/>
        <v/>
      </c>
      <c r="F52" s="61"/>
      <c r="G52" s="61"/>
      <c r="H52" s="61"/>
      <c r="I52" s="61"/>
      <c r="J52" s="61"/>
      <c r="K52" s="61"/>
      <c r="L52" s="61"/>
      <c r="M52" s="61"/>
      <c r="N52" s="62"/>
      <c r="O52" s="62"/>
      <c r="P52" s="62"/>
      <c r="Q52" s="62"/>
      <c r="R52" s="63" t="str">
        <f>IFERROR(IF(OR($N52="",$O52="",$F52=""),"",ROUND(('⚙️ Setelan'!$B$3*'⚙️ Setelan'!$B$4/100)/(ABS($N52-$O52)*VLOOKUP($F52,'⚙️ Setelan'!$A$14:$F$20,4,FALSE)),2)),"")</f>
        <v/>
      </c>
      <c r="S52" s="64"/>
      <c r="T52" s="65" t="str">
        <f>IFERROR(IF(OR($N52="",$O52="",$S52=""),"",ABS($N52-$O52)*$S52*VLOOKUP($F52,'⚙️ Setelan'!$A$14:$F$20,4,FALSE)),"")</f>
        <v/>
      </c>
      <c r="U52" s="63" t="str">
        <f t="shared" si="2"/>
        <v/>
      </c>
      <c r="V52" s="65" t="str">
        <f>IFERROR(IF(OR($Q52="",$N52="",$S52=""),"",($Q52-$N52)*IF($G52="Buy",1,-1)*$S52*VLOOKUP($F52,'⚙️ Setelan'!$A$14:$F$20,4,FALSE)),"")</f>
        <v/>
      </c>
      <c r="W52" s="65" t="str">
        <f>IFERROR(IF(OR($S52="",$F52=""),"",$S52*VLOOKUP($F52,'⚙️ Setelan'!$A$14:$F$20,5,FALSE)),"")</f>
        <v/>
      </c>
      <c r="X52" s="65" t="str">
        <f t="shared" si="3"/>
        <v/>
      </c>
      <c r="Y52" s="63" t="str">
        <f t="shared" si="4"/>
        <v/>
      </c>
      <c r="Z52" s="58" t="str">
        <f t="shared" si="5"/>
        <v/>
      </c>
      <c r="AA52" s="66" t="str">
        <f t="shared" si="6"/>
        <v/>
      </c>
      <c r="AB52" s="62"/>
      <c r="AC52" s="62"/>
      <c r="AD52" s="63" t="str">
        <f>IFERROR(IF(OR($AB52="",$T52="",$T52=0),"",ROUND(ABS($N52-$AB52)*$S52*VLOOKUP($F52,'⚙️ Setelan'!$A$14:$F$20,4,FALSE)/$T52,2)),"")</f>
        <v/>
      </c>
      <c r="AE52" s="63" t="str">
        <f>IFERROR(IF(OR($AC52="",$T52="",$T52=0),"",ROUND(ABS($AC52-$N52)*$S52*VLOOKUP($F52,'⚙️ Setelan'!$A$14:$F$20,4,FALSE)/$T52,2)),"")</f>
        <v/>
      </c>
      <c r="AF52" s="61"/>
      <c r="AG52" s="61"/>
      <c r="AH52" s="61"/>
      <c r="AI52" s="61"/>
      <c r="AJ52" s="61"/>
      <c r="AK52" s="67"/>
      <c r="AL52" s="58" t="str">
        <f>IF(OR($C52="",$B52=""),"",IF(AND($Z51="Loss",$B52=$B51,MOD($C52-$D51,1)*1440&lt;'⚙️ Setelan'!$B$9),"⚠️ Revenge",""))</f>
        <v/>
      </c>
      <c r="AM52" s="68"/>
      <c r="AN52" s="58" t="str">
        <f>IF($AM52="","",IFERROR(_xlfn.IMAGE(IF(REGEXMATCH($AM52,"\.(png|jpg|jpeg|gif)$"),$AM52,"https://s3.tradingview.com/snapshots/"&amp;LOWER(MID(REGEXEXTRACT($AM52,"/x/([A-Za-z0-9]+)"),1,1))&amp;"/"&amp;REGEXEXTRACT($AM52,"/x/([A-Za-z0-9]+)")&amp;".png"),1),"⚠️ link tidak dikenali"))</f>
        <v/>
      </c>
      <c r="AO52" s="68"/>
      <c r="AP52" s="58" t="str">
        <f>IF($AO52="","",IFERROR(_xlfn.IMAGE(IF(REGEXMATCH($AO52,"\.(png|jpg|jpeg|gif)$"),$AO52,"https://s3.tradingview.com/snapshots/"&amp;LOWER(MID(REGEXEXTRACT($AO52,"/x/([A-Za-z0-9]+)"),1,1))&amp;"/"&amp;REGEXEXTRACT($AO52,"/x/([A-Za-z0-9]+)")&amp;".png"),1),"⚠️ link tidak dikenali"))</f>
        <v/>
      </c>
      <c r="AQ52" s="66">
        <f>IF($Z52="",0,IF(AND(OR('📊 Dashboard'!$B$4="(Semua)",$F52='📊 Dashboard'!$B$4),OR('📊 Dashboard'!$B$5="(Semua)",$H52='📊 Dashboard'!$B$5),OR('📊 Dashboard'!$B$6="(Semua)",$E52='📊 Dashboard'!$B$6),OR('📊 Dashboard'!$B$7="(Semua)",$AF52='📊 Dashboard'!$B$7),OR('📊 Dashboard'!$B$8="(Semua)",$AG52='📊 Dashboard'!$B$8),OR('📊 Dashboard'!$B$9="(Semua)",$K52='📊 Dashboard'!$B$9)),1,0))</f>
        <v>0</v>
      </c>
      <c r="AR52" s="69"/>
    </row>
    <row r="53" ht="58" customHeight="1" spans="1:44">
      <c r="A53" s="58" t="str">
        <f t="shared" si="0"/>
        <v/>
      </c>
      <c r="B53" s="59"/>
      <c r="C53" s="60"/>
      <c r="D53" s="60"/>
      <c r="E53" s="58" t="str">
        <f t="shared" si="1"/>
        <v/>
      </c>
      <c r="F53" s="61"/>
      <c r="G53" s="61"/>
      <c r="H53" s="61"/>
      <c r="I53" s="61"/>
      <c r="J53" s="61"/>
      <c r="K53" s="61"/>
      <c r="L53" s="61"/>
      <c r="M53" s="61"/>
      <c r="N53" s="62"/>
      <c r="O53" s="62"/>
      <c r="P53" s="62"/>
      <c r="Q53" s="62"/>
      <c r="R53" s="63" t="str">
        <f>IFERROR(IF(OR($N53="",$O53="",$F53=""),"",ROUND(('⚙️ Setelan'!$B$3*'⚙️ Setelan'!$B$4/100)/(ABS($N53-$O53)*VLOOKUP($F53,'⚙️ Setelan'!$A$14:$F$20,4,FALSE)),2)),"")</f>
        <v/>
      </c>
      <c r="S53" s="64"/>
      <c r="T53" s="65" t="str">
        <f>IFERROR(IF(OR($N53="",$O53="",$S53=""),"",ABS($N53-$O53)*$S53*VLOOKUP($F53,'⚙️ Setelan'!$A$14:$F$20,4,FALSE)),"")</f>
        <v/>
      </c>
      <c r="U53" s="63" t="str">
        <f t="shared" si="2"/>
        <v/>
      </c>
      <c r="V53" s="65" t="str">
        <f>IFERROR(IF(OR($Q53="",$N53="",$S53=""),"",($Q53-$N53)*IF($G53="Buy",1,-1)*$S53*VLOOKUP($F53,'⚙️ Setelan'!$A$14:$F$20,4,FALSE)),"")</f>
        <v/>
      </c>
      <c r="W53" s="65" t="str">
        <f>IFERROR(IF(OR($S53="",$F53=""),"",$S53*VLOOKUP($F53,'⚙️ Setelan'!$A$14:$F$20,5,FALSE)),"")</f>
        <v/>
      </c>
      <c r="X53" s="65" t="str">
        <f t="shared" si="3"/>
        <v/>
      </c>
      <c r="Y53" s="63" t="str">
        <f t="shared" si="4"/>
        <v/>
      </c>
      <c r="Z53" s="58" t="str">
        <f t="shared" si="5"/>
        <v/>
      </c>
      <c r="AA53" s="66" t="str">
        <f t="shared" si="6"/>
        <v/>
      </c>
      <c r="AB53" s="62"/>
      <c r="AC53" s="62"/>
      <c r="AD53" s="63" t="str">
        <f>IFERROR(IF(OR($AB53="",$T53="",$T53=0),"",ROUND(ABS($N53-$AB53)*$S53*VLOOKUP($F53,'⚙️ Setelan'!$A$14:$F$20,4,FALSE)/$T53,2)),"")</f>
        <v/>
      </c>
      <c r="AE53" s="63" t="str">
        <f>IFERROR(IF(OR($AC53="",$T53="",$T53=0),"",ROUND(ABS($AC53-$N53)*$S53*VLOOKUP($F53,'⚙️ Setelan'!$A$14:$F$20,4,FALSE)/$T53,2)),"")</f>
        <v/>
      </c>
      <c r="AF53" s="61"/>
      <c r="AG53" s="61"/>
      <c r="AH53" s="61"/>
      <c r="AI53" s="61"/>
      <c r="AJ53" s="61"/>
      <c r="AK53" s="67"/>
      <c r="AL53" s="58" t="str">
        <f>IF(OR($C53="",$B53=""),"",IF(AND($Z52="Loss",$B53=$B52,MOD($C53-$D52,1)*1440&lt;'⚙️ Setelan'!$B$9),"⚠️ Revenge",""))</f>
        <v/>
      </c>
      <c r="AM53" s="68"/>
      <c r="AN53" s="58" t="str">
        <f>IF($AM53="","",IFERROR(_xlfn.IMAGE(IF(REGEXMATCH($AM53,"\.(png|jpg|jpeg|gif)$"),$AM53,"https://s3.tradingview.com/snapshots/"&amp;LOWER(MID(REGEXEXTRACT($AM53,"/x/([A-Za-z0-9]+)"),1,1))&amp;"/"&amp;REGEXEXTRACT($AM53,"/x/([A-Za-z0-9]+)")&amp;".png"),1),"⚠️ link tidak dikenali"))</f>
        <v/>
      </c>
      <c r="AO53" s="68"/>
      <c r="AP53" s="58" t="str">
        <f>IF($AO53="","",IFERROR(_xlfn.IMAGE(IF(REGEXMATCH($AO53,"\.(png|jpg|jpeg|gif)$"),$AO53,"https://s3.tradingview.com/snapshots/"&amp;LOWER(MID(REGEXEXTRACT($AO53,"/x/([A-Za-z0-9]+)"),1,1))&amp;"/"&amp;REGEXEXTRACT($AO53,"/x/([A-Za-z0-9]+)")&amp;".png"),1),"⚠️ link tidak dikenali"))</f>
        <v/>
      </c>
      <c r="AQ53" s="66">
        <f>IF($Z53="",0,IF(AND(OR('📊 Dashboard'!$B$4="(Semua)",$F53='📊 Dashboard'!$B$4),OR('📊 Dashboard'!$B$5="(Semua)",$H53='📊 Dashboard'!$B$5),OR('📊 Dashboard'!$B$6="(Semua)",$E53='📊 Dashboard'!$B$6),OR('📊 Dashboard'!$B$7="(Semua)",$AF53='📊 Dashboard'!$B$7),OR('📊 Dashboard'!$B$8="(Semua)",$AG53='📊 Dashboard'!$B$8),OR('📊 Dashboard'!$B$9="(Semua)",$K53='📊 Dashboard'!$B$9)),1,0))</f>
        <v>0</v>
      </c>
      <c r="AR53" s="69"/>
    </row>
    <row r="54" ht="58" customHeight="1" spans="1:44">
      <c r="A54" s="58" t="str">
        <f t="shared" si="0"/>
        <v/>
      </c>
      <c r="B54" s="59"/>
      <c r="C54" s="60"/>
      <c r="D54" s="60"/>
      <c r="E54" s="58" t="str">
        <f t="shared" si="1"/>
        <v/>
      </c>
      <c r="F54" s="61"/>
      <c r="G54" s="61"/>
      <c r="H54" s="61"/>
      <c r="I54" s="61"/>
      <c r="J54" s="61"/>
      <c r="K54" s="61"/>
      <c r="L54" s="61"/>
      <c r="M54" s="61"/>
      <c r="N54" s="62"/>
      <c r="O54" s="62"/>
      <c r="P54" s="62"/>
      <c r="Q54" s="62"/>
      <c r="R54" s="63" t="str">
        <f>IFERROR(IF(OR($N54="",$O54="",$F54=""),"",ROUND(('⚙️ Setelan'!$B$3*'⚙️ Setelan'!$B$4/100)/(ABS($N54-$O54)*VLOOKUP($F54,'⚙️ Setelan'!$A$14:$F$20,4,FALSE)),2)),"")</f>
        <v/>
      </c>
      <c r="S54" s="64"/>
      <c r="T54" s="65" t="str">
        <f>IFERROR(IF(OR($N54="",$O54="",$S54=""),"",ABS($N54-$O54)*$S54*VLOOKUP($F54,'⚙️ Setelan'!$A$14:$F$20,4,FALSE)),"")</f>
        <v/>
      </c>
      <c r="U54" s="63" t="str">
        <f t="shared" si="2"/>
        <v/>
      </c>
      <c r="V54" s="65" t="str">
        <f>IFERROR(IF(OR($Q54="",$N54="",$S54=""),"",($Q54-$N54)*IF($G54="Buy",1,-1)*$S54*VLOOKUP($F54,'⚙️ Setelan'!$A$14:$F$20,4,FALSE)),"")</f>
        <v/>
      </c>
      <c r="W54" s="65" t="str">
        <f>IFERROR(IF(OR($S54="",$F54=""),"",$S54*VLOOKUP($F54,'⚙️ Setelan'!$A$14:$F$20,5,FALSE)),"")</f>
        <v/>
      </c>
      <c r="X54" s="65" t="str">
        <f t="shared" si="3"/>
        <v/>
      </c>
      <c r="Y54" s="63" t="str">
        <f t="shared" si="4"/>
        <v/>
      </c>
      <c r="Z54" s="58" t="str">
        <f t="shared" si="5"/>
        <v/>
      </c>
      <c r="AA54" s="66" t="str">
        <f t="shared" si="6"/>
        <v/>
      </c>
      <c r="AB54" s="62"/>
      <c r="AC54" s="62"/>
      <c r="AD54" s="63" t="str">
        <f>IFERROR(IF(OR($AB54="",$T54="",$T54=0),"",ROUND(ABS($N54-$AB54)*$S54*VLOOKUP($F54,'⚙️ Setelan'!$A$14:$F$20,4,FALSE)/$T54,2)),"")</f>
        <v/>
      </c>
      <c r="AE54" s="63" t="str">
        <f>IFERROR(IF(OR($AC54="",$T54="",$T54=0),"",ROUND(ABS($AC54-$N54)*$S54*VLOOKUP($F54,'⚙️ Setelan'!$A$14:$F$20,4,FALSE)/$T54,2)),"")</f>
        <v/>
      </c>
      <c r="AF54" s="61"/>
      <c r="AG54" s="61"/>
      <c r="AH54" s="61"/>
      <c r="AI54" s="61"/>
      <c r="AJ54" s="61"/>
      <c r="AK54" s="67"/>
      <c r="AL54" s="58" t="str">
        <f>IF(OR($C54="",$B54=""),"",IF(AND($Z53="Loss",$B54=$B53,MOD($C54-$D53,1)*1440&lt;'⚙️ Setelan'!$B$9),"⚠️ Revenge",""))</f>
        <v/>
      </c>
      <c r="AM54" s="68"/>
      <c r="AN54" s="58" t="str">
        <f>IF($AM54="","",IFERROR(_xlfn.IMAGE(IF(REGEXMATCH($AM54,"\.(png|jpg|jpeg|gif)$"),$AM54,"https://s3.tradingview.com/snapshots/"&amp;LOWER(MID(REGEXEXTRACT($AM54,"/x/([A-Za-z0-9]+)"),1,1))&amp;"/"&amp;REGEXEXTRACT($AM54,"/x/([A-Za-z0-9]+)")&amp;".png"),1),"⚠️ link tidak dikenali"))</f>
        <v/>
      </c>
      <c r="AO54" s="68"/>
      <c r="AP54" s="58" t="str">
        <f>IF($AO54="","",IFERROR(_xlfn.IMAGE(IF(REGEXMATCH($AO54,"\.(png|jpg|jpeg|gif)$"),$AO54,"https://s3.tradingview.com/snapshots/"&amp;LOWER(MID(REGEXEXTRACT($AO54,"/x/([A-Za-z0-9]+)"),1,1))&amp;"/"&amp;REGEXEXTRACT($AO54,"/x/([A-Za-z0-9]+)")&amp;".png"),1),"⚠️ link tidak dikenali"))</f>
        <v/>
      </c>
      <c r="AQ54" s="66">
        <f>IF($Z54="",0,IF(AND(OR('📊 Dashboard'!$B$4="(Semua)",$F54='📊 Dashboard'!$B$4),OR('📊 Dashboard'!$B$5="(Semua)",$H54='📊 Dashboard'!$B$5),OR('📊 Dashboard'!$B$6="(Semua)",$E54='📊 Dashboard'!$B$6),OR('📊 Dashboard'!$B$7="(Semua)",$AF54='📊 Dashboard'!$B$7),OR('📊 Dashboard'!$B$8="(Semua)",$AG54='📊 Dashboard'!$B$8),OR('📊 Dashboard'!$B$9="(Semua)",$K54='📊 Dashboard'!$B$9)),1,0))</f>
        <v>0</v>
      </c>
      <c r="AR54" s="69"/>
    </row>
    <row r="55" ht="58" customHeight="1" spans="1:44">
      <c r="A55" s="58" t="str">
        <f t="shared" si="0"/>
        <v/>
      </c>
      <c r="B55" s="59"/>
      <c r="C55" s="60"/>
      <c r="D55" s="60"/>
      <c r="E55" s="58" t="str">
        <f t="shared" si="1"/>
        <v/>
      </c>
      <c r="F55" s="61"/>
      <c r="G55" s="61"/>
      <c r="H55" s="61"/>
      <c r="I55" s="61"/>
      <c r="J55" s="61"/>
      <c r="K55" s="61"/>
      <c r="L55" s="61"/>
      <c r="M55" s="61"/>
      <c r="N55" s="62"/>
      <c r="O55" s="62"/>
      <c r="P55" s="62"/>
      <c r="Q55" s="62"/>
      <c r="R55" s="63" t="str">
        <f>IFERROR(IF(OR($N55="",$O55="",$F55=""),"",ROUND(('⚙️ Setelan'!$B$3*'⚙️ Setelan'!$B$4/100)/(ABS($N55-$O55)*VLOOKUP($F55,'⚙️ Setelan'!$A$14:$F$20,4,FALSE)),2)),"")</f>
        <v/>
      </c>
      <c r="S55" s="64"/>
      <c r="T55" s="65" t="str">
        <f>IFERROR(IF(OR($N55="",$O55="",$S55=""),"",ABS($N55-$O55)*$S55*VLOOKUP($F55,'⚙️ Setelan'!$A$14:$F$20,4,FALSE)),"")</f>
        <v/>
      </c>
      <c r="U55" s="63" t="str">
        <f t="shared" si="2"/>
        <v/>
      </c>
      <c r="V55" s="65" t="str">
        <f>IFERROR(IF(OR($Q55="",$N55="",$S55=""),"",($Q55-$N55)*IF($G55="Buy",1,-1)*$S55*VLOOKUP($F55,'⚙️ Setelan'!$A$14:$F$20,4,FALSE)),"")</f>
        <v/>
      </c>
      <c r="W55" s="65" t="str">
        <f>IFERROR(IF(OR($S55="",$F55=""),"",$S55*VLOOKUP($F55,'⚙️ Setelan'!$A$14:$F$20,5,FALSE)),"")</f>
        <v/>
      </c>
      <c r="X55" s="65" t="str">
        <f t="shared" si="3"/>
        <v/>
      </c>
      <c r="Y55" s="63" t="str">
        <f t="shared" si="4"/>
        <v/>
      </c>
      <c r="Z55" s="58" t="str">
        <f t="shared" si="5"/>
        <v/>
      </c>
      <c r="AA55" s="66" t="str">
        <f t="shared" si="6"/>
        <v/>
      </c>
      <c r="AB55" s="62"/>
      <c r="AC55" s="62"/>
      <c r="AD55" s="63" t="str">
        <f>IFERROR(IF(OR($AB55="",$T55="",$T55=0),"",ROUND(ABS($N55-$AB55)*$S55*VLOOKUP($F55,'⚙️ Setelan'!$A$14:$F$20,4,FALSE)/$T55,2)),"")</f>
        <v/>
      </c>
      <c r="AE55" s="63" t="str">
        <f>IFERROR(IF(OR($AC55="",$T55="",$T55=0),"",ROUND(ABS($AC55-$N55)*$S55*VLOOKUP($F55,'⚙️ Setelan'!$A$14:$F$20,4,FALSE)/$T55,2)),"")</f>
        <v/>
      </c>
      <c r="AF55" s="61"/>
      <c r="AG55" s="61"/>
      <c r="AH55" s="61"/>
      <c r="AI55" s="61"/>
      <c r="AJ55" s="61"/>
      <c r="AK55" s="67"/>
      <c r="AL55" s="58" t="str">
        <f>IF(OR($C55="",$B55=""),"",IF(AND($Z54="Loss",$B55=$B54,MOD($C55-$D54,1)*1440&lt;'⚙️ Setelan'!$B$9),"⚠️ Revenge",""))</f>
        <v/>
      </c>
      <c r="AM55" s="68"/>
      <c r="AN55" s="58" t="str">
        <f>IF($AM55="","",IFERROR(_xlfn.IMAGE(IF(REGEXMATCH($AM55,"\.(png|jpg|jpeg|gif)$"),$AM55,"https://s3.tradingview.com/snapshots/"&amp;LOWER(MID(REGEXEXTRACT($AM55,"/x/([A-Za-z0-9]+)"),1,1))&amp;"/"&amp;REGEXEXTRACT($AM55,"/x/([A-Za-z0-9]+)")&amp;".png"),1),"⚠️ link tidak dikenali"))</f>
        <v/>
      </c>
      <c r="AO55" s="68"/>
      <c r="AP55" s="58" t="str">
        <f>IF($AO55="","",IFERROR(_xlfn.IMAGE(IF(REGEXMATCH($AO55,"\.(png|jpg|jpeg|gif)$"),$AO55,"https://s3.tradingview.com/snapshots/"&amp;LOWER(MID(REGEXEXTRACT($AO55,"/x/([A-Za-z0-9]+)"),1,1))&amp;"/"&amp;REGEXEXTRACT($AO55,"/x/([A-Za-z0-9]+)")&amp;".png"),1),"⚠️ link tidak dikenali"))</f>
        <v/>
      </c>
      <c r="AQ55" s="66">
        <f>IF($Z55="",0,IF(AND(OR('📊 Dashboard'!$B$4="(Semua)",$F55='📊 Dashboard'!$B$4),OR('📊 Dashboard'!$B$5="(Semua)",$H55='📊 Dashboard'!$B$5),OR('📊 Dashboard'!$B$6="(Semua)",$E55='📊 Dashboard'!$B$6),OR('📊 Dashboard'!$B$7="(Semua)",$AF55='📊 Dashboard'!$B$7),OR('📊 Dashboard'!$B$8="(Semua)",$AG55='📊 Dashboard'!$B$8),OR('📊 Dashboard'!$B$9="(Semua)",$K55='📊 Dashboard'!$B$9)),1,0))</f>
        <v>0</v>
      </c>
      <c r="AR55" s="69"/>
    </row>
    <row r="56" ht="58" customHeight="1" spans="1:44">
      <c r="A56" s="58" t="str">
        <f t="shared" si="0"/>
        <v/>
      </c>
      <c r="B56" s="59"/>
      <c r="C56" s="60"/>
      <c r="D56" s="60"/>
      <c r="E56" s="58" t="str">
        <f t="shared" si="1"/>
        <v/>
      </c>
      <c r="F56" s="61"/>
      <c r="G56" s="61"/>
      <c r="H56" s="61"/>
      <c r="I56" s="61"/>
      <c r="J56" s="61"/>
      <c r="K56" s="61"/>
      <c r="L56" s="61"/>
      <c r="M56" s="61"/>
      <c r="N56" s="62"/>
      <c r="O56" s="62"/>
      <c r="P56" s="62"/>
      <c r="Q56" s="62"/>
      <c r="R56" s="63" t="str">
        <f>IFERROR(IF(OR($N56="",$O56="",$F56=""),"",ROUND(('⚙️ Setelan'!$B$3*'⚙️ Setelan'!$B$4/100)/(ABS($N56-$O56)*VLOOKUP($F56,'⚙️ Setelan'!$A$14:$F$20,4,FALSE)),2)),"")</f>
        <v/>
      </c>
      <c r="S56" s="64"/>
      <c r="T56" s="65" t="str">
        <f>IFERROR(IF(OR($N56="",$O56="",$S56=""),"",ABS($N56-$O56)*$S56*VLOOKUP($F56,'⚙️ Setelan'!$A$14:$F$20,4,FALSE)),"")</f>
        <v/>
      </c>
      <c r="U56" s="63" t="str">
        <f t="shared" si="2"/>
        <v/>
      </c>
      <c r="V56" s="65" t="str">
        <f>IFERROR(IF(OR($Q56="",$N56="",$S56=""),"",($Q56-$N56)*IF($G56="Buy",1,-1)*$S56*VLOOKUP($F56,'⚙️ Setelan'!$A$14:$F$20,4,FALSE)),"")</f>
        <v/>
      </c>
      <c r="W56" s="65" t="str">
        <f>IFERROR(IF(OR($S56="",$F56=""),"",$S56*VLOOKUP($F56,'⚙️ Setelan'!$A$14:$F$20,5,FALSE)),"")</f>
        <v/>
      </c>
      <c r="X56" s="65" t="str">
        <f t="shared" si="3"/>
        <v/>
      </c>
      <c r="Y56" s="63" t="str">
        <f t="shared" si="4"/>
        <v/>
      </c>
      <c r="Z56" s="58" t="str">
        <f t="shared" si="5"/>
        <v/>
      </c>
      <c r="AA56" s="66" t="str">
        <f t="shared" si="6"/>
        <v/>
      </c>
      <c r="AB56" s="62"/>
      <c r="AC56" s="62"/>
      <c r="AD56" s="63" t="str">
        <f>IFERROR(IF(OR($AB56="",$T56="",$T56=0),"",ROUND(ABS($N56-$AB56)*$S56*VLOOKUP($F56,'⚙️ Setelan'!$A$14:$F$20,4,FALSE)/$T56,2)),"")</f>
        <v/>
      </c>
      <c r="AE56" s="63" t="str">
        <f>IFERROR(IF(OR($AC56="",$T56="",$T56=0),"",ROUND(ABS($AC56-$N56)*$S56*VLOOKUP($F56,'⚙️ Setelan'!$A$14:$F$20,4,FALSE)/$T56,2)),"")</f>
        <v/>
      </c>
      <c r="AF56" s="61"/>
      <c r="AG56" s="61"/>
      <c r="AH56" s="61"/>
      <c r="AI56" s="61"/>
      <c r="AJ56" s="61"/>
      <c r="AK56" s="67"/>
      <c r="AL56" s="58" t="str">
        <f>IF(OR($C56="",$B56=""),"",IF(AND($Z55="Loss",$B56=$B55,MOD($C56-$D55,1)*1440&lt;'⚙️ Setelan'!$B$9),"⚠️ Revenge",""))</f>
        <v/>
      </c>
      <c r="AM56" s="68"/>
      <c r="AN56" s="58" t="str">
        <f>IF($AM56="","",IFERROR(_xlfn.IMAGE(IF(REGEXMATCH($AM56,"\.(png|jpg|jpeg|gif)$"),$AM56,"https://s3.tradingview.com/snapshots/"&amp;LOWER(MID(REGEXEXTRACT($AM56,"/x/([A-Za-z0-9]+)"),1,1))&amp;"/"&amp;REGEXEXTRACT($AM56,"/x/([A-Za-z0-9]+)")&amp;".png"),1),"⚠️ link tidak dikenali"))</f>
        <v/>
      </c>
      <c r="AO56" s="68"/>
      <c r="AP56" s="58" t="str">
        <f>IF($AO56="","",IFERROR(_xlfn.IMAGE(IF(REGEXMATCH($AO56,"\.(png|jpg|jpeg|gif)$"),$AO56,"https://s3.tradingview.com/snapshots/"&amp;LOWER(MID(REGEXEXTRACT($AO56,"/x/([A-Za-z0-9]+)"),1,1))&amp;"/"&amp;REGEXEXTRACT($AO56,"/x/([A-Za-z0-9]+)")&amp;".png"),1),"⚠️ link tidak dikenali"))</f>
        <v/>
      </c>
      <c r="AQ56" s="66">
        <f>IF($Z56="",0,IF(AND(OR('📊 Dashboard'!$B$4="(Semua)",$F56='📊 Dashboard'!$B$4),OR('📊 Dashboard'!$B$5="(Semua)",$H56='📊 Dashboard'!$B$5),OR('📊 Dashboard'!$B$6="(Semua)",$E56='📊 Dashboard'!$B$6),OR('📊 Dashboard'!$B$7="(Semua)",$AF56='📊 Dashboard'!$B$7),OR('📊 Dashboard'!$B$8="(Semua)",$AG56='📊 Dashboard'!$B$8),OR('📊 Dashboard'!$B$9="(Semua)",$K56='📊 Dashboard'!$B$9)),1,0))</f>
        <v>0</v>
      </c>
      <c r="AR56" s="69"/>
    </row>
    <row r="57" ht="58" customHeight="1" spans="1:44">
      <c r="A57" s="58" t="str">
        <f t="shared" si="0"/>
        <v/>
      </c>
      <c r="B57" s="59"/>
      <c r="C57" s="60"/>
      <c r="D57" s="60"/>
      <c r="E57" s="58" t="str">
        <f t="shared" si="1"/>
        <v/>
      </c>
      <c r="F57" s="61"/>
      <c r="G57" s="61"/>
      <c r="H57" s="61"/>
      <c r="I57" s="61"/>
      <c r="J57" s="61"/>
      <c r="K57" s="61"/>
      <c r="L57" s="61"/>
      <c r="M57" s="61"/>
      <c r="N57" s="62"/>
      <c r="O57" s="62"/>
      <c r="P57" s="62"/>
      <c r="Q57" s="62"/>
      <c r="R57" s="63" t="str">
        <f>IFERROR(IF(OR($N57="",$O57="",$F57=""),"",ROUND(('⚙️ Setelan'!$B$3*'⚙️ Setelan'!$B$4/100)/(ABS($N57-$O57)*VLOOKUP($F57,'⚙️ Setelan'!$A$14:$F$20,4,FALSE)),2)),"")</f>
        <v/>
      </c>
      <c r="S57" s="64"/>
      <c r="T57" s="65" t="str">
        <f>IFERROR(IF(OR($N57="",$O57="",$S57=""),"",ABS($N57-$O57)*$S57*VLOOKUP($F57,'⚙️ Setelan'!$A$14:$F$20,4,FALSE)),"")</f>
        <v/>
      </c>
      <c r="U57" s="63" t="str">
        <f t="shared" si="2"/>
        <v/>
      </c>
      <c r="V57" s="65" t="str">
        <f>IFERROR(IF(OR($Q57="",$N57="",$S57=""),"",($Q57-$N57)*IF($G57="Buy",1,-1)*$S57*VLOOKUP($F57,'⚙️ Setelan'!$A$14:$F$20,4,FALSE)),"")</f>
        <v/>
      </c>
      <c r="W57" s="65" t="str">
        <f>IFERROR(IF(OR($S57="",$F57=""),"",$S57*VLOOKUP($F57,'⚙️ Setelan'!$A$14:$F$20,5,FALSE)),"")</f>
        <v/>
      </c>
      <c r="X57" s="65" t="str">
        <f t="shared" si="3"/>
        <v/>
      </c>
      <c r="Y57" s="63" t="str">
        <f t="shared" si="4"/>
        <v/>
      </c>
      <c r="Z57" s="58" t="str">
        <f t="shared" si="5"/>
        <v/>
      </c>
      <c r="AA57" s="66" t="str">
        <f t="shared" si="6"/>
        <v/>
      </c>
      <c r="AB57" s="62"/>
      <c r="AC57" s="62"/>
      <c r="AD57" s="63" t="str">
        <f>IFERROR(IF(OR($AB57="",$T57="",$T57=0),"",ROUND(ABS($N57-$AB57)*$S57*VLOOKUP($F57,'⚙️ Setelan'!$A$14:$F$20,4,FALSE)/$T57,2)),"")</f>
        <v/>
      </c>
      <c r="AE57" s="63" t="str">
        <f>IFERROR(IF(OR($AC57="",$T57="",$T57=0),"",ROUND(ABS($AC57-$N57)*$S57*VLOOKUP($F57,'⚙️ Setelan'!$A$14:$F$20,4,FALSE)/$T57,2)),"")</f>
        <v/>
      </c>
      <c r="AF57" s="61"/>
      <c r="AG57" s="61"/>
      <c r="AH57" s="61"/>
      <c r="AI57" s="61"/>
      <c r="AJ57" s="61"/>
      <c r="AK57" s="67"/>
      <c r="AL57" s="58" t="str">
        <f>IF(OR($C57="",$B57=""),"",IF(AND($Z56="Loss",$B57=$B56,MOD($C57-$D56,1)*1440&lt;'⚙️ Setelan'!$B$9),"⚠️ Revenge",""))</f>
        <v/>
      </c>
      <c r="AM57" s="68"/>
      <c r="AN57" s="58" t="str">
        <f>IF($AM57="","",IFERROR(_xlfn.IMAGE(IF(REGEXMATCH($AM57,"\.(png|jpg|jpeg|gif)$"),$AM57,"https://s3.tradingview.com/snapshots/"&amp;LOWER(MID(REGEXEXTRACT($AM57,"/x/([A-Za-z0-9]+)"),1,1))&amp;"/"&amp;REGEXEXTRACT($AM57,"/x/([A-Za-z0-9]+)")&amp;".png"),1),"⚠️ link tidak dikenali"))</f>
        <v/>
      </c>
      <c r="AO57" s="68"/>
      <c r="AP57" s="58" t="str">
        <f>IF($AO57="","",IFERROR(_xlfn.IMAGE(IF(REGEXMATCH($AO57,"\.(png|jpg|jpeg|gif)$"),$AO57,"https://s3.tradingview.com/snapshots/"&amp;LOWER(MID(REGEXEXTRACT($AO57,"/x/([A-Za-z0-9]+)"),1,1))&amp;"/"&amp;REGEXEXTRACT($AO57,"/x/([A-Za-z0-9]+)")&amp;".png"),1),"⚠️ link tidak dikenali"))</f>
        <v/>
      </c>
      <c r="AQ57" s="66">
        <f>IF($Z57="",0,IF(AND(OR('📊 Dashboard'!$B$4="(Semua)",$F57='📊 Dashboard'!$B$4),OR('📊 Dashboard'!$B$5="(Semua)",$H57='📊 Dashboard'!$B$5),OR('📊 Dashboard'!$B$6="(Semua)",$E57='📊 Dashboard'!$B$6),OR('📊 Dashboard'!$B$7="(Semua)",$AF57='📊 Dashboard'!$B$7),OR('📊 Dashboard'!$B$8="(Semua)",$AG57='📊 Dashboard'!$B$8),OR('📊 Dashboard'!$B$9="(Semua)",$K57='📊 Dashboard'!$B$9)),1,0))</f>
        <v>0</v>
      </c>
      <c r="AR57" s="69"/>
    </row>
    <row r="58" ht="58" customHeight="1" spans="1:44">
      <c r="A58" s="58" t="str">
        <f t="shared" si="0"/>
        <v/>
      </c>
      <c r="B58" s="59"/>
      <c r="C58" s="60"/>
      <c r="D58" s="60"/>
      <c r="E58" s="58" t="str">
        <f t="shared" si="1"/>
        <v/>
      </c>
      <c r="F58" s="61"/>
      <c r="G58" s="61"/>
      <c r="H58" s="61"/>
      <c r="I58" s="61"/>
      <c r="J58" s="61"/>
      <c r="K58" s="61"/>
      <c r="L58" s="61"/>
      <c r="M58" s="61"/>
      <c r="N58" s="62"/>
      <c r="O58" s="62"/>
      <c r="P58" s="62"/>
      <c r="Q58" s="62"/>
      <c r="R58" s="63" t="str">
        <f>IFERROR(IF(OR($N58="",$O58="",$F58=""),"",ROUND(('⚙️ Setelan'!$B$3*'⚙️ Setelan'!$B$4/100)/(ABS($N58-$O58)*VLOOKUP($F58,'⚙️ Setelan'!$A$14:$F$20,4,FALSE)),2)),"")</f>
        <v/>
      </c>
      <c r="S58" s="64"/>
      <c r="T58" s="65" t="str">
        <f>IFERROR(IF(OR($N58="",$O58="",$S58=""),"",ABS($N58-$O58)*$S58*VLOOKUP($F58,'⚙️ Setelan'!$A$14:$F$20,4,FALSE)),"")</f>
        <v/>
      </c>
      <c r="U58" s="63" t="str">
        <f t="shared" si="2"/>
        <v/>
      </c>
      <c r="V58" s="65" t="str">
        <f>IFERROR(IF(OR($Q58="",$N58="",$S58=""),"",($Q58-$N58)*IF($G58="Buy",1,-1)*$S58*VLOOKUP($F58,'⚙️ Setelan'!$A$14:$F$20,4,FALSE)),"")</f>
        <v/>
      </c>
      <c r="W58" s="65" t="str">
        <f>IFERROR(IF(OR($S58="",$F58=""),"",$S58*VLOOKUP($F58,'⚙️ Setelan'!$A$14:$F$20,5,FALSE)),"")</f>
        <v/>
      </c>
      <c r="X58" s="65" t="str">
        <f t="shared" si="3"/>
        <v/>
      </c>
      <c r="Y58" s="63" t="str">
        <f t="shared" si="4"/>
        <v/>
      </c>
      <c r="Z58" s="58" t="str">
        <f t="shared" si="5"/>
        <v/>
      </c>
      <c r="AA58" s="66" t="str">
        <f t="shared" si="6"/>
        <v/>
      </c>
      <c r="AB58" s="62"/>
      <c r="AC58" s="62"/>
      <c r="AD58" s="63" t="str">
        <f>IFERROR(IF(OR($AB58="",$T58="",$T58=0),"",ROUND(ABS($N58-$AB58)*$S58*VLOOKUP($F58,'⚙️ Setelan'!$A$14:$F$20,4,FALSE)/$T58,2)),"")</f>
        <v/>
      </c>
      <c r="AE58" s="63" t="str">
        <f>IFERROR(IF(OR($AC58="",$T58="",$T58=0),"",ROUND(ABS($AC58-$N58)*$S58*VLOOKUP($F58,'⚙️ Setelan'!$A$14:$F$20,4,FALSE)/$T58,2)),"")</f>
        <v/>
      </c>
      <c r="AF58" s="61"/>
      <c r="AG58" s="61"/>
      <c r="AH58" s="61"/>
      <c r="AI58" s="61"/>
      <c r="AJ58" s="61"/>
      <c r="AK58" s="67"/>
      <c r="AL58" s="58" t="str">
        <f>IF(OR($C58="",$B58=""),"",IF(AND($Z57="Loss",$B58=$B57,MOD($C58-$D57,1)*1440&lt;'⚙️ Setelan'!$B$9),"⚠️ Revenge",""))</f>
        <v/>
      </c>
      <c r="AM58" s="68"/>
      <c r="AN58" s="58" t="str">
        <f>IF($AM58="","",IFERROR(_xlfn.IMAGE(IF(REGEXMATCH($AM58,"\.(png|jpg|jpeg|gif)$"),$AM58,"https://s3.tradingview.com/snapshots/"&amp;LOWER(MID(REGEXEXTRACT($AM58,"/x/([A-Za-z0-9]+)"),1,1))&amp;"/"&amp;REGEXEXTRACT($AM58,"/x/([A-Za-z0-9]+)")&amp;".png"),1),"⚠️ link tidak dikenali"))</f>
        <v/>
      </c>
      <c r="AO58" s="68"/>
      <c r="AP58" s="58" t="str">
        <f>IF($AO58="","",IFERROR(_xlfn.IMAGE(IF(REGEXMATCH($AO58,"\.(png|jpg|jpeg|gif)$"),$AO58,"https://s3.tradingview.com/snapshots/"&amp;LOWER(MID(REGEXEXTRACT($AO58,"/x/([A-Za-z0-9]+)"),1,1))&amp;"/"&amp;REGEXEXTRACT($AO58,"/x/([A-Za-z0-9]+)")&amp;".png"),1),"⚠️ link tidak dikenali"))</f>
        <v/>
      </c>
      <c r="AQ58" s="66">
        <f>IF($Z58="",0,IF(AND(OR('📊 Dashboard'!$B$4="(Semua)",$F58='📊 Dashboard'!$B$4),OR('📊 Dashboard'!$B$5="(Semua)",$H58='📊 Dashboard'!$B$5),OR('📊 Dashboard'!$B$6="(Semua)",$E58='📊 Dashboard'!$B$6),OR('📊 Dashboard'!$B$7="(Semua)",$AF58='📊 Dashboard'!$B$7),OR('📊 Dashboard'!$B$8="(Semua)",$AG58='📊 Dashboard'!$B$8),OR('📊 Dashboard'!$B$9="(Semua)",$K58='📊 Dashboard'!$B$9)),1,0))</f>
        <v>0</v>
      </c>
      <c r="AR58" s="69"/>
    </row>
    <row r="59" ht="58" customHeight="1" spans="1:44">
      <c r="A59" s="58" t="str">
        <f t="shared" si="0"/>
        <v/>
      </c>
      <c r="B59" s="59"/>
      <c r="C59" s="60"/>
      <c r="D59" s="60"/>
      <c r="E59" s="58" t="str">
        <f t="shared" si="1"/>
        <v/>
      </c>
      <c r="F59" s="61"/>
      <c r="G59" s="61"/>
      <c r="H59" s="61"/>
      <c r="I59" s="61"/>
      <c r="J59" s="61"/>
      <c r="K59" s="61"/>
      <c r="L59" s="61"/>
      <c r="M59" s="61"/>
      <c r="N59" s="62"/>
      <c r="O59" s="62"/>
      <c r="P59" s="62"/>
      <c r="Q59" s="62"/>
      <c r="R59" s="63" t="str">
        <f>IFERROR(IF(OR($N59="",$O59="",$F59=""),"",ROUND(('⚙️ Setelan'!$B$3*'⚙️ Setelan'!$B$4/100)/(ABS($N59-$O59)*VLOOKUP($F59,'⚙️ Setelan'!$A$14:$F$20,4,FALSE)),2)),"")</f>
        <v/>
      </c>
      <c r="S59" s="64"/>
      <c r="T59" s="65" t="str">
        <f>IFERROR(IF(OR($N59="",$O59="",$S59=""),"",ABS($N59-$O59)*$S59*VLOOKUP($F59,'⚙️ Setelan'!$A$14:$F$20,4,FALSE)),"")</f>
        <v/>
      </c>
      <c r="U59" s="63" t="str">
        <f t="shared" si="2"/>
        <v/>
      </c>
      <c r="V59" s="65" t="str">
        <f>IFERROR(IF(OR($Q59="",$N59="",$S59=""),"",($Q59-$N59)*IF($G59="Buy",1,-1)*$S59*VLOOKUP($F59,'⚙️ Setelan'!$A$14:$F$20,4,FALSE)),"")</f>
        <v/>
      </c>
      <c r="W59" s="65" t="str">
        <f>IFERROR(IF(OR($S59="",$F59=""),"",$S59*VLOOKUP($F59,'⚙️ Setelan'!$A$14:$F$20,5,FALSE)),"")</f>
        <v/>
      </c>
      <c r="X59" s="65" t="str">
        <f t="shared" si="3"/>
        <v/>
      </c>
      <c r="Y59" s="63" t="str">
        <f t="shared" si="4"/>
        <v/>
      </c>
      <c r="Z59" s="58" t="str">
        <f t="shared" si="5"/>
        <v/>
      </c>
      <c r="AA59" s="66" t="str">
        <f t="shared" si="6"/>
        <v/>
      </c>
      <c r="AB59" s="62"/>
      <c r="AC59" s="62"/>
      <c r="AD59" s="63" t="str">
        <f>IFERROR(IF(OR($AB59="",$T59="",$T59=0),"",ROUND(ABS($N59-$AB59)*$S59*VLOOKUP($F59,'⚙️ Setelan'!$A$14:$F$20,4,FALSE)/$T59,2)),"")</f>
        <v/>
      </c>
      <c r="AE59" s="63" t="str">
        <f>IFERROR(IF(OR($AC59="",$T59="",$T59=0),"",ROUND(ABS($AC59-$N59)*$S59*VLOOKUP($F59,'⚙️ Setelan'!$A$14:$F$20,4,FALSE)/$T59,2)),"")</f>
        <v/>
      </c>
      <c r="AF59" s="61"/>
      <c r="AG59" s="61"/>
      <c r="AH59" s="61"/>
      <c r="AI59" s="61"/>
      <c r="AJ59" s="61"/>
      <c r="AK59" s="67"/>
      <c r="AL59" s="58" t="str">
        <f>IF(OR($C59="",$B59=""),"",IF(AND($Z58="Loss",$B59=$B58,MOD($C59-$D58,1)*1440&lt;'⚙️ Setelan'!$B$9),"⚠️ Revenge",""))</f>
        <v/>
      </c>
      <c r="AM59" s="68"/>
      <c r="AN59" s="58" t="str">
        <f>IF($AM59="","",IFERROR(_xlfn.IMAGE(IF(REGEXMATCH($AM59,"\.(png|jpg|jpeg|gif)$"),$AM59,"https://s3.tradingview.com/snapshots/"&amp;LOWER(MID(REGEXEXTRACT($AM59,"/x/([A-Za-z0-9]+)"),1,1))&amp;"/"&amp;REGEXEXTRACT($AM59,"/x/([A-Za-z0-9]+)")&amp;".png"),1),"⚠️ link tidak dikenali"))</f>
        <v/>
      </c>
      <c r="AO59" s="68"/>
      <c r="AP59" s="58" t="str">
        <f>IF($AO59="","",IFERROR(_xlfn.IMAGE(IF(REGEXMATCH($AO59,"\.(png|jpg|jpeg|gif)$"),$AO59,"https://s3.tradingview.com/snapshots/"&amp;LOWER(MID(REGEXEXTRACT($AO59,"/x/([A-Za-z0-9]+)"),1,1))&amp;"/"&amp;REGEXEXTRACT($AO59,"/x/([A-Za-z0-9]+)")&amp;".png"),1),"⚠️ link tidak dikenali"))</f>
        <v/>
      </c>
      <c r="AQ59" s="66">
        <f>IF($Z59="",0,IF(AND(OR('📊 Dashboard'!$B$4="(Semua)",$F59='📊 Dashboard'!$B$4),OR('📊 Dashboard'!$B$5="(Semua)",$H59='📊 Dashboard'!$B$5),OR('📊 Dashboard'!$B$6="(Semua)",$E59='📊 Dashboard'!$B$6),OR('📊 Dashboard'!$B$7="(Semua)",$AF59='📊 Dashboard'!$B$7),OR('📊 Dashboard'!$B$8="(Semua)",$AG59='📊 Dashboard'!$B$8),OR('📊 Dashboard'!$B$9="(Semua)",$K59='📊 Dashboard'!$B$9)),1,0))</f>
        <v>0</v>
      </c>
      <c r="AR59" s="69"/>
    </row>
    <row r="60" ht="58" customHeight="1" spans="1:44">
      <c r="A60" s="58" t="str">
        <f t="shared" si="0"/>
        <v/>
      </c>
      <c r="B60" s="59"/>
      <c r="C60" s="60"/>
      <c r="D60" s="60"/>
      <c r="E60" s="58" t="str">
        <f t="shared" si="1"/>
        <v/>
      </c>
      <c r="F60" s="61"/>
      <c r="G60" s="61"/>
      <c r="H60" s="61"/>
      <c r="I60" s="61"/>
      <c r="J60" s="61"/>
      <c r="K60" s="61"/>
      <c r="L60" s="61"/>
      <c r="M60" s="61"/>
      <c r="N60" s="62"/>
      <c r="O60" s="62"/>
      <c r="P60" s="62"/>
      <c r="Q60" s="62"/>
      <c r="R60" s="63" t="str">
        <f>IFERROR(IF(OR($N60="",$O60="",$F60=""),"",ROUND(('⚙️ Setelan'!$B$3*'⚙️ Setelan'!$B$4/100)/(ABS($N60-$O60)*VLOOKUP($F60,'⚙️ Setelan'!$A$14:$F$20,4,FALSE)),2)),"")</f>
        <v/>
      </c>
      <c r="S60" s="64"/>
      <c r="T60" s="65" t="str">
        <f>IFERROR(IF(OR($N60="",$O60="",$S60=""),"",ABS($N60-$O60)*$S60*VLOOKUP($F60,'⚙️ Setelan'!$A$14:$F$20,4,FALSE)),"")</f>
        <v/>
      </c>
      <c r="U60" s="63" t="str">
        <f t="shared" si="2"/>
        <v/>
      </c>
      <c r="V60" s="65" t="str">
        <f>IFERROR(IF(OR($Q60="",$N60="",$S60=""),"",($Q60-$N60)*IF($G60="Buy",1,-1)*$S60*VLOOKUP($F60,'⚙️ Setelan'!$A$14:$F$20,4,FALSE)),"")</f>
        <v/>
      </c>
      <c r="W60" s="65" t="str">
        <f>IFERROR(IF(OR($S60="",$F60=""),"",$S60*VLOOKUP($F60,'⚙️ Setelan'!$A$14:$F$20,5,FALSE)),"")</f>
        <v/>
      </c>
      <c r="X60" s="65" t="str">
        <f t="shared" si="3"/>
        <v/>
      </c>
      <c r="Y60" s="63" t="str">
        <f t="shared" si="4"/>
        <v/>
      </c>
      <c r="Z60" s="58" t="str">
        <f t="shared" si="5"/>
        <v/>
      </c>
      <c r="AA60" s="66" t="str">
        <f t="shared" si="6"/>
        <v/>
      </c>
      <c r="AB60" s="62"/>
      <c r="AC60" s="62"/>
      <c r="AD60" s="63" t="str">
        <f>IFERROR(IF(OR($AB60="",$T60="",$T60=0),"",ROUND(ABS($N60-$AB60)*$S60*VLOOKUP($F60,'⚙️ Setelan'!$A$14:$F$20,4,FALSE)/$T60,2)),"")</f>
        <v/>
      </c>
      <c r="AE60" s="63" t="str">
        <f>IFERROR(IF(OR($AC60="",$T60="",$T60=0),"",ROUND(ABS($AC60-$N60)*$S60*VLOOKUP($F60,'⚙️ Setelan'!$A$14:$F$20,4,FALSE)/$T60,2)),"")</f>
        <v/>
      </c>
      <c r="AF60" s="61"/>
      <c r="AG60" s="61"/>
      <c r="AH60" s="61"/>
      <c r="AI60" s="61"/>
      <c r="AJ60" s="61"/>
      <c r="AK60" s="67"/>
      <c r="AL60" s="58" t="str">
        <f>IF(OR($C60="",$B60=""),"",IF(AND($Z59="Loss",$B60=$B59,MOD($C60-$D59,1)*1440&lt;'⚙️ Setelan'!$B$9),"⚠️ Revenge",""))</f>
        <v/>
      </c>
      <c r="AM60" s="68"/>
      <c r="AN60" s="58" t="str">
        <f>IF($AM60="","",IFERROR(_xlfn.IMAGE(IF(REGEXMATCH($AM60,"\.(png|jpg|jpeg|gif)$"),$AM60,"https://s3.tradingview.com/snapshots/"&amp;LOWER(MID(REGEXEXTRACT($AM60,"/x/([A-Za-z0-9]+)"),1,1))&amp;"/"&amp;REGEXEXTRACT($AM60,"/x/([A-Za-z0-9]+)")&amp;".png"),1),"⚠️ link tidak dikenali"))</f>
        <v/>
      </c>
      <c r="AO60" s="68"/>
      <c r="AP60" s="58" t="str">
        <f>IF($AO60="","",IFERROR(_xlfn.IMAGE(IF(REGEXMATCH($AO60,"\.(png|jpg|jpeg|gif)$"),$AO60,"https://s3.tradingview.com/snapshots/"&amp;LOWER(MID(REGEXEXTRACT($AO60,"/x/([A-Za-z0-9]+)"),1,1))&amp;"/"&amp;REGEXEXTRACT($AO60,"/x/([A-Za-z0-9]+)")&amp;".png"),1),"⚠️ link tidak dikenali"))</f>
        <v/>
      </c>
      <c r="AQ60" s="66">
        <f>IF($Z60="",0,IF(AND(OR('📊 Dashboard'!$B$4="(Semua)",$F60='📊 Dashboard'!$B$4),OR('📊 Dashboard'!$B$5="(Semua)",$H60='📊 Dashboard'!$B$5),OR('📊 Dashboard'!$B$6="(Semua)",$E60='📊 Dashboard'!$B$6),OR('📊 Dashboard'!$B$7="(Semua)",$AF60='📊 Dashboard'!$B$7),OR('📊 Dashboard'!$B$8="(Semua)",$AG60='📊 Dashboard'!$B$8),OR('📊 Dashboard'!$B$9="(Semua)",$K60='📊 Dashboard'!$B$9)),1,0))</f>
        <v>0</v>
      </c>
      <c r="AR60" s="69"/>
    </row>
    <row r="61" ht="58" customHeight="1" spans="1:44">
      <c r="A61" s="58" t="str">
        <f t="shared" si="0"/>
        <v/>
      </c>
      <c r="B61" s="59"/>
      <c r="C61" s="60"/>
      <c r="D61" s="60"/>
      <c r="E61" s="58" t="str">
        <f t="shared" si="1"/>
        <v/>
      </c>
      <c r="F61" s="61"/>
      <c r="G61" s="61"/>
      <c r="H61" s="61"/>
      <c r="I61" s="61"/>
      <c r="J61" s="61"/>
      <c r="K61" s="61"/>
      <c r="L61" s="61"/>
      <c r="M61" s="61"/>
      <c r="N61" s="62"/>
      <c r="O61" s="62"/>
      <c r="P61" s="62"/>
      <c r="Q61" s="62"/>
      <c r="R61" s="63" t="str">
        <f>IFERROR(IF(OR($N61="",$O61="",$F61=""),"",ROUND(('⚙️ Setelan'!$B$3*'⚙️ Setelan'!$B$4/100)/(ABS($N61-$O61)*VLOOKUP($F61,'⚙️ Setelan'!$A$14:$F$20,4,FALSE)),2)),"")</f>
        <v/>
      </c>
      <c r="S61" s="64"/>
      <c r="T61" s="65" t="str">
        <f>IFERROR(IF(OR($N61="",$O61="",$S61=""),"",ABS($N61-$O61)*$S61*VLOOKUP($F61,'⚙️ Setelan'!$A$14:$F$20,4,FALSE)),"")</f>
        <v/>
      </c>
      <c r="U61" s="63" t="str">
        <f t="shared" si="2"/>
        <v/>
      </c>
      <c r="V61" s="65" t="str">
        <f>IFERROR(IF(OR($Q61="",$N61="",$S61=""),"",($Q61-$N61)*IF($G61="Buy",1,-1)*$S61*VLOOKUP($F61,'⚙️ Setelan'!$A$14:$F$20,4,FALSE)),"")</f>
        <v/>
      </c>
      <c r="W61" s="65" t="str">
        <f>IFERROR(IF(OR($S61="",$F61=""),"",$S61*VLOOKUP($F61,'⚙️ Setelan'!$A$14:$F$20,5,FALSE)),"")</f>
        <v/>
      </c>
      <c r="X61" s="65" t="str">
        <f t="shared" si="3"/>
        <v/>
      </c>
      <c r="Y61" s="63" t="str">
        <f t="shared" si="4"/>
        <v/>
      </c>
      <c r="Z61" s="58" t="str">
        <f t="shared" si="5"/>
        <v/>
      </c>
      <c r="AA61" s="66" t="str">
        <f t="shared" si="6"/>
        <v/>
      </c>
      <c r="AB61" s="62"/>
      <c r="AC61" s="62"/>
      <c r="AD61" s="63" t="str">
        <f>IFERROR(IF(OR($AB61="",$T61="",$T61=0),"",ROUND(ABS($N61-$AB61)*$S61*VLOOKUP($F61,'⚙️ Setelan'!$A$14:$F$20,4,FALSE)/$T61,2)),"")</f>
        <v/>
      </c>
      <c r="AE61" s="63" t="str">
        <f>IFERROR(IF(OR($AC61="",$T61="",$T61=0),"",ROUND(ABS($AC61-$N61)*$S61*VLOOKUP($F61,'⚙️ Setelan'!$A$14:$F$20,4,FALSE)/$T61,2)),"")</f>
        <v/>
      </c>
      <c r="AF61" s="61"/>
      <c r="AG61" s="61"/>
      <c r="AH61" s="61"/>
      <c r="AI61" s="61"/>
      <c r="AJ61" s="61"/>
      <c r="AK61" s="67"/>
      <c r="AL61" s="58" t="str">
        <f>IF(OR($C61="",$B61=""),"",IF(AND($Z60="Loss",$B61=$B60,MOD($C61-$D60,1)*1440&lt;'⚙️ Setelan'!$B$9),"⚠️ Revenge",""))</f>
        <v/>
      </c>
      <c r="AM61" s="68"/>
      <c r="AN61" s="58" t="str">
        <f>IF($AM61="","",IFERROR(_xlfn.IMAGE(IF(REGEXMATCH($AM61,"\.(png|jpg|jpeg|gif)$"),$AM61,"https://s3.tradingview.com/snapshots/"&amp;LOWER(MID(REGEXEXTRACT($AM61,"/x/([A-Za-z0-9]+)"),1,1))&amp;"/"&amp;REGEXEXTRACT($AM61,"/x/([A-Za-z0-9]+)")&amp;".png"),1),"⚠️ link tidak dikenali"))</f>
        <v/>
      </c>
      <c r="AO61" s="68"/>
      <c r="AP61" s="58" t="str">
        <f>IF($AO61="","",IFERROR(_xlfn.IMAGE(IF(REGEXMATCH($AO61,"\.(png|jpg|jpeg|gif)$"),$AO61,"https://s3.tradingview.com/snapshots/"&amp;LOWER(MID(REGEXEXTRACT($AO61,"/x/([A-Za-z0-9]+)"),1,1))&amp;"/"&amp;REGEXEXTRACT($AO61,"/x/([A-Za-z0-9]+)")&amp;".png"),1),"⚠️ link tidak dikenali"))</f>
        <v/>
      </c>
      <c r="AQ61" s="66">
        <f>IF($Z61="",0,IF(AND(OR('📊 Dashboard'!$B$4="(Semua)",$F61='📊 Dashboard'!$B$4),OR('📊 Dashboard'!$B$5="(Semua)",$H61='📊 Dashboard'!$B$5),OR('📊 Dashboard'!$B$6="(Semua)",$E61='📊 Dashboard'!$B$6),OR('📊 Dashboard'!$B$7="(Semua)",$AF61='📊 Dashboard'!$B$7),OR('📊 Dashboard'!$B$8="(Semua)",$AG61='📊 Dashboard'!$B$8),OR('📊 Dashboard'!$B$9="(Semua)",$K61='📊 Dashboard'!$B$9)),1,0))</f>
        <v>0</v>
      </c>
      <c r="AR61" s="69"/>
    </row>
    <row r="62" ht="58" customHeight="1" spans="1:44">
      <c r="A62" s="58" t="str">
        <f t="shared" si="0"/>
        <v/>
      </c>
      <c r="B62" s="59"/>
      <c r="C62" s="60"/>
      <c r="D62" s="60"/>
      <c r="E62" s="58" t="str">
        <f t="shared" si="1"/>
        <v/>
      </c>
      <c r="F62" s="61"/>
      <c r="G62" s="61"/>
      <c r="H62" s="61"/>
      <c r="I62" s="61"/>
      <c r="J62" s="61"/>
      <c r="K62" s="61"/>
      <c r="L62" s="61"/>
      <c r="M62" s="61"/>
      <c r="N62" s="62"/>
      <c r="O62" s="62"/>
      <c r="P62" s="62"/>
      <c r="Q62" s="62"/>
      <c r="R62" s="63" t="str">
        <f>IFERROR(IF(OR($N62="",$O62="",$F62=""),"",ROUND(('⚙️ Setelan'!$B$3*'⚙️ Setelan'!$B$4/100)/(ABS($N62-$O62)*VLOOKUP($F62,'⚙️ Setelan'!$A$14:$F$20,4,FALSE)),2)),"")</f>
        <v/>
      </c>
      <c r="S62" s="64"/>
      <c r="T62" s="65" t="str">
        <f>IFERROR(IF(OR($N62="",$O62="",$S62=""),"",ABS($N62-$O62)*$S62*VLOOKUP($F62,'⚙️ Setelan'!$A$14:$F$20,4,FALSE)),"")</f>
        <v/>
      </c>
      <c r="U62" s="63" t="str">
        <f t="shared" si="2"/>
        <v/>
      </c>
      <c r="V62" s="65" t="str">
        <f>IFERROR(IF(OR($Q62="",$N62="",$S62=""),"",($Q62-$N62)*IF($G62="Buy",1,-1)*$S62*VLOOKUP($F62,'⚙️ Setelan'!$A$14:$F$20,4,FALSE)),"")</f>
        <v/>
      </c>
      <c r="W62" s="65" t="str">
        <f>IFERROR(IF(OR($S62="",$F62=""),"",$S62*VLOOKUP($F62,'⚙️ Setelan'!$A$14:$F$20,5,FALSE)),"")</f>
        <v/>
      </c>
      <c r="X62" s="65" t="str">
        <f t="shared" si="3"/>
        <v/>
      </c>
      <c r="Y62" s="63" t="str">
        <f t="shared" si="4"/>
        <v/>
      </c>
      <c r="Z62" s="58" t="str">
        <f t="shared" si="5"/>
        <v/>
      </c>
      <c r="AA62" s="66" t="str">
        <f t="shared" si="6"/>
        <v/>
      </c>
      <c r="AB62" s="62"/>
      <c r="AC62" s="62"/>
      <c r="AD62" s="63" t="str">
        <f>IFERROR(IF(OR($AB62="",$T62="",$T62=0),"",ROUND(ABS($N62-$AB62)*$S62*VLOOKUP($F62,'⚙️ Setelan'!$A$14:$F$20,4,FALSE)/$T62,2)),"")</f>
        <v/>
      </c>
      <c r="AE62" s="63" t="str">
        <f>IFERROR(IF(OR($AC62="",$T62="",$T62=0),"",ROUND(ABS($AC62-$N62)*$S62*VLOOKUP($F62,'⚙️ Setelan'!$A$14:$F$20,4,FALSE)/$T62,2)),"")</f>
        <v/>
      </c>
      <c r="AF62" s="61"/>
      <c r="AG62" s="61"/>
      <c r="AH62" s="61"/>
      <c r="AI62" s="61"/>
      <c r="AJ62" s="61"/>
      <c r="AK62" s="67"/>
      <c r="AL62" s="58" t="str">
        <f>IF(OR($C62="",$B62=""),"",IF(AND($Z61="Loss",$B62=$B61,MOD($C62-$D61,1)*1440&lt;'⚙️ Setelan'!$B$9),"⚠️ Revenge",""))</f>
        <v/>
      </c>
      <c r="AM62" s="68"/>
      <c r="AN62" s="58" t="str">
        <f>IF($AM62="","",IFERROR(_xlfn.IMAGE(IF(REGEXMATCH($AM62,"\.(png|jpg|jpeg|gif)$"),$AM62,"https://s3.tradingview.com/snapshots/"&amp;LOWER(MID(REGEXEXTRACT($AM62,"/x/([A-Za-z0-9]+)"),1,1))&amp;"/"&amp;REGEXEXTRACT($AM62,"/x/([A-Za-z0-9]+)")&amp;".png"),1),"⚠️ link tidak dikenali"))</f>
        <v/>
      </c>
      <c r="AO62" s="68"/>
      <c r="AP62" s="58" t="str">
        <f>IF($AO62="","",IFERROR(_xlfn.IMAGE(IF(REGEXMATCH($AO62,"\.(png|jpg|jpeg|gif)$"),$AO62,"https://s3.tradingview.com/snapshots/"&amp;LOWER(MID(REGEXEXTRACT($AO62,"/x/([A-Za-z0-9]+)"),1,1))&amp;"/"&amp;REGEXEXTRACT($AO62,"/x/([A-Za-z0-9]+)")&amp;".png"),1),"⚠️ link tidak dikenali"))</f>
        <v/>
      </c>
      <c r="AQ62" s="66">
        <f>IF($Z62="",0,IF(AND(OR('📊 Dashboard'!$B$4="(Semua)",$F62='📊 Dashboard'!$B$4),OR('📊 Dashboard'!$B$5="(Semua)",$H62='📊 Dashboard'!$B$5),OR('📊 Dashboard'!$B$6="(Semua)",$E62='📊 Dashboard'!$B$6),OR('📊 Dashboard'!$B$7="(Semua)",$AF62='📊 Dashboard'!$B$7),OR('📊 Dashboard'!$B$8="(Semua)",$AG62='📊 Dashboard'!$B$8),OR('📊 Dashboard'!$B$9="(Semua)",$K62='📊 Dashboard'!$B$9)),1,0))</f>
        <v>0</v>
      </c>
      <c r="AR62" s="69"/>
    </row>
    <row r="63" ht="58" customHeight="1" spans="1:44">
      <c r="A63" s="58" t="str">
        <f t="shared" si="0"/>
        <v/>
      </c>
      <c r="B63" s="59"/>
      <c r="C63" s="60"/>
      <c r="D63" s="60"/>
      <c r="E63" s="58" t="str">
        <f t="shared" si="1"/>
        <v/>
      </c>
      <c r="F63" s="61"/>
      <c r="G63" s="61"/>
      <c r="H63" s="61"/>
      <c r="I63" s="61"/>
      <c r="J63" s="61"/>
      <c r="K63" s="61"/>
      <c r="L63" s="61"/>
      <c r="M63" s="61"/>
      <c r="N63" s="62"/>
      <c r="O63" s="62"/>
      <c r="P63" s="62"/>
      <c r="Q63" s="62"/>
      <c r="R63" s="63" t="str">
        <f>IFERROR(IF(OR($N63="",$O63="",$F63=""),"",ROUND(('⚙️ Setelan'!$B$3*'⚙️ Setelan'!$B$4/100)/(ABS($N63-$O63)*VLOOKUP($F63,'⚙️ Setelan'!$A$14:$F$20,4,FALSE)),2)),"")</f>
        <v/>
      </c>
      <c r="S63" s="64"/>
      <c r="T63" s="65" t="str">
        <f>IFERROR(IF(OR($N63="",$O63="",$S63=""),"",ABS($N63-$O63)*$S63*VLOOKUP($F63,'⚙️ Setelan'!$A$14:$F$20,4,FALSE)),"")</f>
        <v/>
      </c>
      <c r="U63" s="63" t="str">
        <f t="shared" si="2"/>
        <v/>
      </c>
      <c r="V63" s="65" t="str">
        <f>IFERROR(IF(OR($Q63="",$N63="",$S63=""),"",($Q63-$N63)*IF($G63="Buy",1,-1)*$S63*VLOOKUP($F63,'⚙️ Setelan'!$A$14:$F$20,4,FALSE)),"")</f>
        <v/>
      </c>
      <c r="W63" s="65" t="str">
        <f>IFERROR(IF(OR($S63="",$F63=""),"",$S63*VLOOKUP($F63,'⚙️ Setelan'!$A$14:$F$20,5,FALSE)),"")</f>
        <v/>
      </c>
      <c r="X63" s="65" t="str">
        <f t="shared" si="3"/>
        <v/>
      </c>
      <c r="Y63" s="63" t="str">
        <f t="shared" si="4"/>
        <v/>
      </c>
      <c r="Z63" s="58" t="str">
        <f t="shared" si="5"/>
        <v/>
      </c>
      <c r="AA63" s="66" t="str">
        <f t="shared" si="6"/>
        <v/>
      </c>
      <c r="AB63" s="62"/>
      <c r="AC63" s="62"/>
      <c r="AD63" s="63" t="str">
        <f>IFERROR(IF(OR($AB63="",$T63="",$T63=0),"",ROUND(ABS($N63-$AB63)*$S63*VLOOKUP($F63,'⚙️ Setelan'!$A$14:$F$20,4,FALSE)/$T63,2)),"")</f>
        <v/>
      </c>
      <c r="AE63" s="63" t="str">
        <f>IFERROR(IF(OR($AC63="",$T63="",$T63=0),"",ROUND(ABS($AC63-$N63)*$S63*VLOOKUP($F63,'⚙️ Setelan'!$A$14:$F$20,4,FALSE)/$T63,2)),"")</f>
        <v/>
      </c>
      <c r="AF63" s="61"/>
      <c r="AG63" s="61"/>
      <c r="AH63" s="61"/>
      <c r="AI63" s="61"/>
      <c r="AJ63" s="61"/>
      <c r="AK63" s="67"/>
      <c r="AL63" s="58" t="str">
        <f>IF(OR($C63="",$B63=""),"",IF(AND($Z62="Loss",$B63=$B62,MOD($C63-$D62,1)*1440&lt;'⚙️ Setelan'!$B$9),"⚠️ Revenge",""))</f>
        <v/>
      </c>
      <c r="AM63" s="68"/>
      <c r="AN63" s="58" t="str">
        <f>IF($AM63="","",IFERROR(_xlfn.IMAGE(IF(REGEXMATCH($AM63,"\.(png|jpg|jpeg|gif)$"),$AM63,"https://s3.tradingview.com/snapshots/"&amp;LOWER(MID(REGEXEXTRACT($AM63,"/x/([A-Za-z0-9]+)"),1,1))&amp;"/"&amp;REGEXEXTRACT($AM63,"/x/([A-Za-z0-9]+)")&amp;".png"),1),"⚠️ link tidak dikenali"))</f>
        <v/>
      </c>
      <c r="AO63" s="68"/>
      <c r="AP63" s="58" t="str">
        <f>IF($AO63="","",IFERROR(_xlfn.IMAGE(IF(REGEXMATCH($AO63,"\.(png|jpg|jpeg|gif)$"),$AO63,"https://s3.tradingview.com/snapshots/"&amp;LOWER(MID(REGEXEXTRACT($AO63,"/x/([A-Za-z0-9]+)"),1,1))&amp;"/"&amp;REGEXEXTRACT($AO63,"/x/([A-Za-z0-9]+)")&amp;".png"),1),"⚠️ link tidak dikenali"))</f>
        <v/>
      </c>
      <c r="AQ63" s="66">
        <f>IF($Z63="",0,IF(AND(OR('📊 Dashboard'!$B$4="(Semua)",$F63='📊 Dashboard'!$B$4),OR('📊 Dashboard'!$B$5="(Semua)",$H63='📊 Dashboard'!$B$5),OR('📊 Dashboard'!$B$6="(Semua)",$E63='📊 Dashboard'!$B$6),OR('📊 Dashboard'!$B$7="(Semua)",$AF63='📊 Dashboard'!$B$7),OR('📊 Dashboard'!$B$8="(Semua)",$AG63='📊 Dashboard'!$B$8),OR('📊 Dashboard'!$B$9="(Semua)",$K63='📊 Dashboard'!$B$9)),1,0))</f>
        <v>0</v>
      </c>
      <c r="AR63" s="69"/>
    </row>
    <row r="64" ht="58" customHeight="1" spans="1:44">
      <c r="A64" s="58" t="str">
        <f t="shared" si="0"/>
        <v/>
      </c>
      <c r="B64" s="59"/>
      <c r="C64" s="60"/>
      <c r="D64" s="60"/>
      <c r="E64" s="58" t="str">
        <f t="shared" si="1"/>
        <v/>
      </c>
      <c r="F64" s="61"/>
      <c r="G64" s="61"/>
      <c r="H64" s="61"/>
      <c r="I64" s="61"/>
      <c r="J64" s="61"/>
      <c r="K64" s="61"/>
      <c r="L64" s="61"/>
      <c r="M64" s="61"/>
      <c r="N64" s="62"/>
      <c r="O64" s="62"/>
      <c r="P64" s="62"/>
      <c r="Q64" s="62"/>
      <c r="R64" s="63" t="str">
        <f>IFERROR(IF(OR($N64="",$O64="",$F64=""),"",ROUND(('⚙️ Setelan'!$B$3*'⚙️ Setelan'!$B$4/100)/(ABS($N64-$O64)*VLOOKUP($F64,'⚙️ Setelan'!$A$14:$F$20,4,FALSE)),2)),"")</f>
        <v/>
      </c>
      <c r="S64" s="64"/>
      <c r="T64" s="65" t="str">
        <f>IFERROR(IF(OR($N64="",$O64="",$S64=""),"",ABS($N64-$O64)*$S64*VLOOKUP($F64,'⚙️ Setelan'!$A$14:$F$20,4,FALSE)),"")</f>
        <v/>
      </c>
      <c r="U64" s="63" t="str">
        <f t="shared" si="2"/>
        <v/>
      </c>
      <c r="V64" s="65" t="str">
        <f>IFERROR(IF(OR($Q64="",$N64="",$S64=""),"",($Q64-$N64)*IF($G64="Buy",1,-1)*$S64*VLOOKUP($F64,'⚙️ Setelan'!$A$14:$F$20,4,FALSE)),"")</f>
        <v/>
      </c>
      <c r="W64" s="65" t="str">
        <f>IFERROR(IF(OR($S64="",$F64=""),"",$S64*VLOOKUP($F64,'⚙️ Setelan'!$A$14:$F$20,5,FALSE)),"")</f>
        <v/>
      </c>
      <c r="X64" s="65" t="str">
        <f t="shared" si="3"/>
        <v/>
      </c>
      <c r="Y64" s="63" t="str">
        <f t="shared" si="4"/>
        <v/>
      </c>
      <c r="Z64" s="58" t="str">
        <f t="shared" si="5"/>
        <v/>
      </c>
      <c r="AA64" s="66" t="str">
        <f t="shared" si="6"/>
        <v/>
      </c>
      <c r="AB64" s="62"/>
      <c r="AC64" s="62"/>
      <c r="AD64" s="63" t="str">
        <f>IFERROR(IF(OR($AB64="",$T64="",$T64=0),"",ROUND(ABS($N64-$AB64)*$S64*VLOOKUP($F64,'⚙️ Setelan'!$A$14:$F$20,4,FALSE)/$T64,2)),"")</f>
        <v/>
      </c>
      <c r="AE64" s="63" t="str">
        <f>IFERROR(IF(OR($AC64="",$T64="",$T64=0),"",ROUND(ABS($AC64-$N64)*$S64*VLOOKUP($F64,'⚙️ Setelan'!$A$14:$F$20,4,FALSE)/$T64,2)),"")</f>
        <v/>
      </c>
      <c r="AF64" s="61"/>
      <c r="AG64" s="61"/>
      <c r="AH64" s="61"/>
      <c r="AI64" s="61"/>
      <c r="AJ64" s="61"/>
      <c r="AK64" s="67"/>
      <c r="AL64" s="58" t="str">
        <f>IF(OR($C64="",$B64=""),"",IF(AND($Z63="Loss",$B64=$B63,MOD($C64-$D63,1)*1440&lt;'⚙️ Setelan'!$B$9),"⚠️ Revenge",""))</f>
        <v/>
      </c>
      <c r="AM64" s="68"/>
      <c r="AN64" s="58" t="str">
        <f>IF($AM64="","",IFERROR(_xlfn.IMAGE(IF(REGEXMATCH($AM64,"\.(png|jpg|jpeg|gif)$"),$AM64,"https://s3.tradingview.com/snapshots/"&amp;LOWER(MID(REGEXEXTRACT($AM64,"/x/([A-Za-z0-9]+)"),1,1))&amp;"/"&amp;REGEXEXTRACT($AM64,"/x/([A-Za-z0-9]+)")&amp;".png"),1),"⚠️ link tidak dikenali"))</f>
        <v/>
      </c>
      <c r="AO64" s="68"/>
      <c r="AP64" s="58" t="str">
        <f>IF($AO64="","",IFERROR(_xlfn.IMAGE(IF(REGEXMATCH($AO64,"\.(png|jpg|jpeg|gif)$"),$AO64,"https://s3.tradingview.com/snapshots/"&amp;LOWER(MID(REGEXEXTRACT($AO64,"/x/([A-Za-z0-9]+)"),1,1))&amp;"/"&amp;REGEXEXTRACT($AO64,"/x/([A-Za-z0-9]+)")&amp;".png"),1),"⚠️ link tidak dikenali"))</f>
        <v/>
      </c>
      <c r="AQ64" s="66">
        <f>IF($Z64="",0,IF(AND(OR('📊 Dashboard'!$B$4="(Semua)",$F64='📊 Dashboard'!$B$4),OR('📊 Dashboard'!$B$5="(Semua)",$H64='📊 Dashboard'!$B$5),OR('📊 Dashboard'!$B$6="(Semua)",$E64='📊 Dashboard'!$B$6),OR('📊 Dashboard'!$B$7="(Semua)",$AF64='📊 Dashboard'!$B$7),OR('📊 Dashboard'!$B$8="(Semua)",$AG64='📊 Dashboard'!$B$8),OR('📊 Dashboard'!$B$9="(Semua)",$K64='📊 Dashboard'!$B$9)),1,0))</f>
        <v>0</v>
      </c>
      <c r="AR64" s="69"/>
    </row>
    <row r="65" ht="58" customHeight="1" spans="1:44">
      <c r="A65" s="58" t="str">
        <f t="shared" si="0"/>
        <v/>
      </c>
      <c r="B65" s="59"/>
      <c r="C65" s="60"/>
      <c r="D65" s="60"/>
      <c r="E65" s="58" t="str">
        <f t="shared" si="1"/>
        <v/>
      </c>
      <c r="F65" s="61"/>
      <c r="G65" s="61"/>
      <c r="H65" s="61"/>
      <c r="I65" s="61"/>
      <c r="J65" s="61"/>
      <c r="K65" s="61"/>
      <c r="L65" s="61"/>
      <c r="M65" s="61"/>
      <c r="N65" s="62"/>
      <c r="O65" s="62"/>
      <c r="P65" s="62"/>
      <c r="Q65" s="62"/>
      <c r="R65" s="63" t="str">
        <f>IFERROR(IF(OR($N65="",$O65="",$F65=""),"",ROUND(('⚙️ Setelan'!$B$3*'⚙️ Setelan'!$B$4/100)/(ABS($N65-$O65)*VLOOKUP($F65,'⚙️ Setelan'!$A$14:$F$20,4,FALSE)),2)),"")</f>
        <v/>
      </c>
      <c r="S65" s="64"/>
      <c r="T65" s="65" t="str">
        <f>IFERROR(IF(OR($N65="",$O65="",$S65=""),"",ABS($N65-$O65)*$S65*VLOOKUP($F65,'⚙️ Setelan'!$A$14:$F$20,4,FALSE)),"")</f>
        <v/>
      </c>
      <c r="U65" s="63" t="str">
        <f t="shared" si="2"/>
        <v/>
      </c>
      <c r="V65" s="65" t="str">
        <f>IFERROR(IF(OR($Q65="",$N65="",$S65=""),"",($Q65-$N65)*IF($G65="Buy",1,-1)*$S65*VLOOKUP($F65,'⚙️ Setelan'!$A$14:$F$20,4,FALSE)),"")</f>
        <v/>
      </c>
      <c r="W65" s="65" t="str">
        <f>IFERROR(IF(OR($S65="",$F65=""),"",$S65*VLOOKUP($F65,'⚙️ Setelan'!$A$14:$F$20,5,FALSE)),"")</f>
        <v/>
      </c>
      <c r="X65" s="65" t="str">
        <f t="shared" si="3"/>
        <v/>
      </c>
      <c r="Y65" s="63" t="str">
        <f t="shared" si="4"/>
        <v/>
      </c>
      <c r="Z65" s="58" t="str">
        <f t="shared" si="5"/>
        <v/>
      </c>
      <c r="AA65" s="66" t="str">
        <f t="shared" si="6"/>
        <v/>
      </c>
      <c r="AB65" s="62"/>
      <c r="AC65" s="62"/>
      <c r="AD65" s="63" t="str">
        <f>IFERROR(IF(OR($AB65="",$T65="",$T65=0),"",ROUND(ABS($N65-$AB65)*$S65*VLOOKUP($F65,'⚙️ Setelan'!$A$14:$F$20,4,FALSE)/$T65,2)),"")</f>
        <v/>
      </c>
      <c r="AE65" s="63" t="str">
        <f>IFERROR(IF(OR($AC65="",$T65="",$T65=0),"",ROUND(ABS($AC65-$N65)*$S65*VLOOKUP($F65,'⚙️ Setelan'!$A$14:$F$20,4,FALSE)/$T65,2)),"")</f>
        <v/>
      </c>
      <c r="AF65" s="61"/>
      <c r="AG65" s="61"/>
      <c r="AH65" s="61"/>
      <c r="AI65" s="61"/>
      <c r="AJ65" s="61"/>
      <c r="AK65" s="67"/>
      <c r="AL65" s="58" t="str">
        <f>IF(OR($C65="",$B65=""),"",IF(AND($Z64="Loss",$B65=$B64,MOD($C65-$D64,1)*1440&lt;'⚙️ Setelan'!$B$9),"⚠️ Revenge",""))</f>
        <v/>
      </c>
      <c r="AM65" s="68"/>
      <c r="AN65" s="58" t="str">
        <f>IF($AM65="","",IFERROR(_xlfn.IMAGE(IF(REGEXMATCH($AM65,"\.(png|jpg|jpeg|gif)$"),$AM65,"https://s3.tradingview.com/snapshots/"&amp;LOWER(MID(REGEXEXTRACT($AM65,"/x/([A-Za-z0-9]+)"),1,1))&amp;"/"&amp;REGEXEXTRACT($AM65,"/x/([A-Za-z0-9]+)")&amp;".png"),1),"⚠️ link tidak dikenali"))</f>
        <v/>
      </c>
      <c r="AO65" s="68"/>
      <c r="AP65" s="58" t="str">
        <f>IF($AO65="","",IFERROR(_xlfn.IMAGE(IF(REGEXMATCH($AO65,"\.(png|jpg|jpeg|gif)$"),$AO65,"https://s3.tradingview.com/snapshots/"&amp;LOWER(MID(REGEXEXTRACT($AO65,"/x/([A-Za-z0-9]+)"),1,1))&amp;"/"&amp;REGEXEXTRACT($AO65,"/x/([A-Za-z0-9]+)")&amp;".png"),1),"⚠️ link tidak dikenali"))</f>
        <v/>
      </c>
      <c r="AQ65" s="66">
        <f>IF($Z65="",0,IF(AND(OR('📊 Dashboard'!$B$4="(Semua)",$F65='📊 Dashboard'!$B$4),OR('📊 Dashboard'!$B$5="(Semua)",$H65='📊 Dashboard'!$B$5),OR('📊 Dashboard'!$B$6="(Semua)",$E65='📊 Dashboard'!$B$6),OR('📊 Dashboard'!$B$7="(Semua)",$AF65='📊 Dashboard'!$B$7),OR('📊 Dashboard'!$B$8="(Semua)",$AG65='📊 Dashboard'!$B$8),OR('📊 Dashboard'!$B$9="(Semua)",$K65='📊 Dashboard'!$B$9)),1,0))</f>
        <v>0</v>
      </c>
      <c r="AR65" s="69"/>
    </row>
    <row r="66" ht="58" customHeight="1" spans="1:44">
      <c r="A66" s="58" t="str">
        <f t="shared" si="0"/>
        <v/>
      </c>
      <c r="B66" s="59"/>
      <c r="C66" s="60"/>
      <c r="D66" s="60"/>
      <c r="E66" s="58" t="str">
        <f t="shared" si="1"/>
        <v/>
      </c>
      <c r="F66" s="61"/>
      <c r="G66" s="61"/>
      <c r="H66" s="61"/>
      <c r="I66" s="61"/>
      <c r="J66" s="61"/>
      <c r="K66" s="61"/>
      <c r="L66" s="61"/>
      <c r="M66" s="61"/>
      <c r="N66" s="62"/>
      <c r="O66" s="62"/>
      <c r="P66" s="62"/>
      <c r="Q66" s="62"/>
      <c r="R66" s="63" t="str">
        <f>IFERROR(IF(OR($N66="",$O66="",$F66=""),"",ROUND(('⚙️ Setelan'!$B$3*'⚙️ Setelan'!$B$4/100)/(ABS($N66-$O66)*VLOOKUP($F66,'⚙️ Setelan'!$A$14:$F$20,4,FALSE)),2)),"")</f>
        <v/>
      </c>
      <c r="S66" s="64"/>
      <c r="T66" s="65" t="str">
        <f>IFERROR(IF(OR($N66="",$O66="",$S66=""),"",ABS($N66-$O66)*$S66*VLOOKUP($F66,'⚙️ Setelan'!$A$14:$F$20,4,FALSE)),"")</f>
        <v/>
      </c>
      <c r="U66" s="63" t="str">
        <f t="shared" si="2"/>
        <v/>
      </c>
      <c r="V66" s="65" t="str">
        <f>IFERROR(IF(OR($Q66="",$N66="",$S66=""),"",($Q66-$N66)*IF($G66="Buy",1,-1)*$S66*VLOOKUP($F66,'⚙️ Setelan'!$A$14:$F$20,4,FALSE)),"")</f>
        <v/>
      </c>
      <c r="W66" s="65" t="str">
        <f>IFERROR(IF(OR($S66="",$F66=""),"",$S66*VLOOKUP($F66,'⚙️ Setelan'!$A$14:$F$20,5,FALSE)),"")</f>
        <v/>
      </c>
      <c r="X66" s="65" t="str">
        <f t="shared" si="3"/>
        <v/>
      </c>
      <c r="Y66" s="63" t="str">
        <f t="shared" si="4"/>
        <v/>
      </c>
      <c r="Z66" s="58" t="str">
        <f t="shared" si="5"/>
        <v/>
      </c>
      <c r="AA66" s="66" t="str">
        <f t="shared" si="6"/>
        <v/>
      </c>
      <c r="AB66" s="62"/>
      <c r="AC66" s="62"/>
      <c r="AD66" s="63" t="str">
        <f>IFERROR(IF(OR($AB66="",$T66="",$T66=0),"",ROUND(ABS($N66-$AB66)*$S66*VLOOKUP($F66,'⚙️ Setelan'!$A$14:$F$20,4,FALSE)/$T66,2)),"")</f>
        <v/>
      </c>
      <c r="AE66" s="63" t="str">
        <f>IFERROR(IF(OR($AC66="",$T66="",$T66=0),"",ROUND(ABS($AC66-$N66)*$S66*VLOOKUP($F66,'⚙️ Setelan'!$A$14:$F$20,4,FALSE)/$T66,2)),"")</f>
        <v/>
      </c>
      <c r="AF66" s="61"/>
      <c r="AG66" s="61"/>
      <c r="AH66" s="61"/>
      <c r="AI66" s="61"/>
      <c r="AJ66" s="61"/>
      <c r="AK66" s="67"/>
      <c r="AL66" s="58" t="str">
        <f>IF(OR($C66="",$B66=""),"",IF(AND($Z65="Loss",$B66=$B65,MOD($C66-$D65,1)*1440&lt;'⚙️ Setelan'!$B$9),"⚠️ Revenge",""))</f>
        <v/>
      </c>
      <c r="AM66" s="68"/>
      <c r="AN66" s="58" t="str">
        <f>IF($AM66="","",IFERROR(_xlfn.IMAGE(IF(REGEXMATCH($AM66,"\.(png|jpg|jpeg|gif)$"),$AM66,"https://s3.tradingview.com/snapshots/"&amp;LOWER(MID(REGEXEXTRACT($AM66,"/x/([A-Za-z0-9]+)"),1,1))&amp;"/"&amp;REGEXEXTRACT($AM66,"/x/([A-Za-z0-9]+)")&amp;".png"),1),"⚠️ link tidak dikenali"))</f>
        <v/>
      </c>
      <c r="AO66" s="68"/>
      <c r="AP66" s="58" t="str">
        <f>IF($AO66="","",IFERROR(_xlfn.IMAGE(IF(REGEXMATCH($AO66,"\.(png|jpg|jpeg|gif)$"),$AO66,"https://s3.tradingview.com/snapshots/"&amp;LOWER(MID(REGEXEXTRACT($AO66,"/x/([A-Za-z0-9]+)"),1,1))&amp;"/"&amp;REGEXEXTRACT($AO66,"/x/([A-Za-z0-9]+)")&amp;".png"),1),"⚠️ link tidak dikenali"))</f>
        <v/>
      </c>
      <c r="AQ66" s="66">
        <f>IF($Z66="",0,IF(AND(OR('📊 Dashboard'!$B$4="(Semua)",$F66='📊 Dashboard'!$B$4),OR('📊 Dashboard'!$B$5="(Semua)",$H66='📊 Dashboard'!$B$5),OR('📊 Dashboard'!$B$6="(Semua)",$E66='📊 Dashboard'!$B$6),OR('📊 Dashboard'!$B$7="(Semua)",$AF66='📊 Dashboard'!$B$7),OR('📊 Dashboard'!$B$8="(Semua)",$AG66='📊 Dashboard'!$B$8),OR('📊 Dashboard'!$B$9="(Semua)",$K66='📊 Dashboard'!$B$9)),1,0))</f>
        <v>0</v>
      </c>
      <c r="AR66" s="69"/>
    </row>
    <row r="67" ht="58" customHeight="1" spans="1:44">
      <c r="A67" s="58" t="str">
        <f t="shared" ref="A67:A130" si="7">IF($B67="","",ROW()-2)</f>
        <v/>
      </c>
      <c r="B67" s="59"/>
      <c r="C67" s="60"/>
      <c r="D67" s="60"/>
      <c r="E67" s="58" t="str">
        <f t="shared" ref="E67:E130" si="8">IF($C67="","",IF(AND($C67&gt;=TIME(14,0,0),$C67&lt;TIME(19,30,0)),"London",IF(AND($C67&gt;=TIME(19,30,0),$C67&lt;TIME(23,0,0)),"Overlap LDN+NY",IF(OR($C67&gt;=TIME(23,0,0),$C67&lt;TIME(4,0,0)),"New York","Asia"))))</f>
        <v/>
      </c>
      <c r="F67" s="61"/>
      <c r="G67" s="61"/>
      <c r="H67" s="61"/>
      <c r="I67" s="61"/>
      <c r="J67" s="61"/>
      <c r="K67" s="61"/>
      <c r="L67" s="61"/>
      <c r="M67" s="61"/>
      <c r="N67" s="62"/>
      <c r="O67" s="62"/>
      <c r="P67" s="62"/>
      <c r="Q67" s="62"/>
      <c r="R67" s="63" t="str">
        <f>IFERROR(IF(OR($N67="",$O67="",$F67=""),"",ROUND(('⚙️ Setelan'!$B$3*'⚙️ Setelan'!$B$4/100)/(ABS($N67-$O67)*VLOOKUP($F67,'⚙️ Setelan'!$A$14:$F$20,4,FALSE)),2)),"")</f>
        <v/>
      </c>
      <c r="S67" s="64"/>
      <c r="T67" s="65" t="str">
        <f>IFERROR(IF(OR($N67="",$O67="",$S67=""),"",ABS($N67-$O67)*$S67*VLOOKUP($F67,'⚙️ Setelan'!$A$14:$F$20,4,FALSE)),"")</f>
        <v/>
      </c>
      <c r="U67" s="63" t="str">
        <f t="shared" ref="U67:U130" si="9">IFERROR(IF(OR($N67="",$O67="",$P67=""),"",ROUND(ABS($P67-$N67)/ABS($N67-$O67),2)),"")</f>
        <v/>
      </c>
      <c r="V67" s="65" t="str">
        <f>IFERROR(IF(OR($Q67="",$N67="",$S67=""),"",($Q67-$N67)*IF($G67="Buy",1,-1)*$S67*VLOOKUP($F67,'⚙️ Setelan'!$A$14:$F$20,4,FALSE)),"")</f>
        <v/>
      </c>
      <c r="W67" s="65" t="str">
        <f>IFERROR(IF(OR($S67="",$F67=""),"",$S67*VLOOKUP($F67,'⚙️ Setelan'!$A$14:$F$20,5,FALSE)),"")</f>
        <v/>
      </c>
      <c r="X67" s="65" t="str">
        <f t="shared" ref="X67:X130" si="10">IF($V67="","",$V67-IF($W67="",0,$W67))</f>
        <v/>
      </c>
      <c r="Y67" s="63" t="str">
        <f t="shared" ref="Y67:Y130" si="11">IF(OR($X67="",$T67="",$T67=0),"",ROUND($X67/$T67,2))</f>
        <v/>
      </c>
      <c r="Z67" s="58" t="str">
        <f t="shared" ref="Z67:Z130" si="12">IF($X67="","",IF($X67&gt;0,"Win",IF($X67&lt;0,"Loss","BE")))</f>
        <v/>
      </c>
      <c r="AA67" s="66" t="str">
        <f t="shared" ref="AA67:AA130" si="13">IF(OR($C67="",$D67=""),"",ROUND(MOD($D67-$C67,1)*1440,0))</f>
        <v/>
      </c>
      <c r="AB67" s="62"/>
      <c r="AC67" s="62"/>
      <c r="AD67" s="63" t="str">
        <f>IFERROR(IF(OR($AB67="",$T67="",$T67=0),"",ROUND(ABS($N67-$AB67)*$S67*VLOOKUP($F67,'⚙️ Setelan'!$A$14:$F$20,4,FALSE)/$T67,2)),"")</f>
        <v/>
      </c>
      <c r="AE67" s="63" t="str">
        <f>IFERROR(IF(OR($AC67="",$T67="",$T67=0),"",ROUND(ABS($AC67-$N67)*$S67*VLOOKUP($F67,'⚙️ Setelan'!$A$14:$F$20,4,FALSE)/$T67,2)),"")</f>
        <v/>
      </c>
      <c r="AF67" s="61"/>
      <c r="AG67" s="61"/>
      <c r="AH67" s="61"/>
      <c r="AI67" s="61"/>
      <c r="AJ67" s="61"/>
      <c r="AK67" s="67"/>
      <c r="AL67" s="58" t="str">
        <f>IF(OR($C67="",$B67=""),"",IF(AND($Z66="Loss",$B67=$B66,MOD($C67-$D66,1)*1440&lt;'⚙️ Setelan'!$B$9),"⚠️ Revenge",""))</f>
        <v/>
      </c>
      <c r="AM67" s="68"/>
      <c r="AN67" s="58" t="str">
        <f>IF($AM67="","",IFERROR(_xlfn.IMAGE(IF(REGEXMATCH($AM67,"\.(png|jpg|jpeg|gif)$"),$AM67,"https://s3.tradingview.com/snapshots/"&amp;LOWER(MID(REGEXEXTRACT($AM67,"/x/([A-Za-z0-9]+)"),1,1))&amp;"/"&amp;REGEXEXTRACT($AM67,"/x/([A-Za-z0-9]+)")&amp;".png"),1),"⚠️ link tidak dikenali"))</f>
        <v/>
      </c>
      <c r="AO67" s="68"/>
      <c r="AP67" s="58" t="str">
        <f>IF($AO67="","",IFERROR(_xlfn.IMAGE(IF(REGEXMATCH($AO67,"\.(png|jpg|jpeg|gif)$"),$AO67,"https://s3.tradingview.com/snapshots/"&amp;LOWER(MID(REGEXEXTRACT($AO67,"/x/([A-Za-z0-9]+)"),1,1))&amp;"/"&amp;REGEXEXTRACT($AO67,"/x/([A-Za-z0-9]+)")&amp;".png"),1),"⚠️ link tidak dikenali"))</f>
        <v/>
      </c>
      <c r="AQ67" s="66">
        <f>IF($Z67="",0,IF(AND(OR('📊 Dashboard'!$B$4="(Semua)",$F67='📊 Dashboard'!$B$4),OR('📊 Dashboard'!$B$5="(Semua)",$H67='📊 Dashboard'!$B$5),OR('📊 Dashboard'!$B$6="(Semua)",$E67='📊 Dashboard'!$B$6),OR('📊 Dashboard'!$B$7="(Semua)",$AF67='📊 Dashboard'!$B$7),OR('📊 Dashboard'!$B$8="(Semua)",$AG67='📊 Dashboard'!$B$8),OR('📊 Dashboard'!$B$9="(Semua)",$K67='📊 Dashboard'!$B$9)),1,0))</f>
        <v>0</v>
      </c>
      <c r="AR67" s="69"/>
    </row>
    <row r="68" ht="58" customHeight="1" spans="1:44">
      <c r="A68" s="58" t="str">
        <f t="shared" si="7"/>
        <v/>
      </c>
      <c r="B68" s="59"/>
      <c r="C68" s="60"/>
      <c r="D68" s="60"/>
      <c r="E68" s="58" t="str">
        <f t="shared" si="8"/>
        <v/>
      </c>
      <c r="F68" s="61"/>
      <c r="G68" s="61"/>
      <c r="H68" s="61"/>
      <c r="I68" s="61"/>
      <c r="J68" s="61"/>
      <c r="K68" s="61"/>
      <c r="L68" s="61"/>
      <c r="M68" s="61"/>
      <c r="N68" s="62"/>
      <c r="O68" s="62"/>
      <c r="P68" s="62"/>
      <c r="Q68" s="62"/>
      <c r="R68" s="63" t="str">
        <f>IFERROR(IF(OR($N68="",$O68="",$F68=""),"",ROUND(('⚙️ Setelan'!$B$3*'⚙️ Setelan'!$B$4/100)/(ABS($N68-$O68)*VLOOKUP($F68,'⚙️ Setelan'!$A$14:$F$20,4,FALSE)),2)),"")</f>
        <v/>
      </c>
      <c r="S68" s="64"/>
      <c r="T68" s="65" t="str">
        <f>IFERROR(IF(OR($N68="",$O68="",$S68=""),"",ABS($N68-$O68)*$S68*VLOOKUP($F68,'⚙️ Setelan'!$A$14:$F$20,4,FALSE)),"")</f>
        <v/>
      </c>
      <c r="U68" s="63" t="str">
        <f t="shared" si="9"/>
        <v/>
      </c>
      <c r="V68" s="65" t="str">
        <f>IFERROR(IF(OR($Q68="",$N68="",$S68=""),"",($Q68-$N68)*IF($G68="Buy",1,-1)*$S68*VLOOKUP($F68,'⚙️ Setelan'!$A$14:$F$20,4,FALSE)),"")</f>
        <v/>
      </c>
      <c r="W68" s="65" t="str">
        <f>IFERROR(IF(OR($S68="",$F68=""),"",$S68*VLOOKUP($F68,'⚙️ Setelan'!$A$14:$F$20,5,FALSE)),"")</f>
        <v/>
      </c>
      <c r="X68" s="65" t="str">
        <f t="shared" si="10"/>
        <v/>
      </c>
      <c r="Y68" s="63" t="str">
        <f t="shared" si="11"/>
        <v/>
      </c>
      <c r="Z68" s="58" t="str">
        <f t="shared" si="12"/>
        <v/>
      </c>
      <c r="AA68" s="66" t="str">
        <f t="shared" si="13"/>
        <v/>
      </c>
      <c r="AB68" s="62"/>
      <c r="AC68" s="62"/>
      <c r="AD68" s="63" t="str">
        <f>IFERROR(IF(OR($AB68="",$T68="",$T68=0),"",ROUND(ABS($N68-$AB68)*$S68*VLOOKUP($F68,'⚙️ Setelan'!$A$14:$F$20,4,FALSE)/$T68,2)),"")</f>
        <v/>
      </c>
      <c r="AE68" s="63" t="str">
        <f>IFERROR(IF(OR($AC68="",$T68="",$T68=0),"",ROUND(ABS($AC68-$N68)*$S68*VLOOKUP($F68,'⚙️ Setelan'!$A$14:$F$20,4,FALSE)/$T68,2)),"")</f>
        <v/>
      </c>
      <c r="AF68" s="61"/>
      <c r="AG68" s="61"/>
      <c r="AH68" s="61"/>
      <c r="AI68" s="61"/>
      <c r="AJ68" s="61"/>
      <c r="AK68" s="67"/>
      <c r="AL68" s="58" t="str">
        <f>IF(OR($C68="",$B68=""),"",IF(AND($Z67="Loss",$B68=$B67,MOD($C68-$D67,1)*1440&lt;'⚙️ Setelan'!$B$9),"⚠️ Revenge",""))</f>
        <v/>
      </c>
      <c r="AM68" s="68"/>
      <c r="AN68" s="58" t="str">
        <f>IF($AM68="","",IFERROR(_xlfn.IMAGE(IF(REGEXMATCH($AM68,"\.(png|jpg|jpeg|gif)$"),$AM68,"https://s3.tradingview.com/snapshots/"&amp;LOWER(MID(REGEXEXTRACT($AM68,"/x/([A-Za-z0-9]+)"),1,1))&amp;"/"&amp;REGEXEXTRACT($AM68,"/x/([A-Za-z0-9]+)")&amp;".png"),1),"⚠️ link tidak dikenali"))</f>
        <v/>
      </c>
      <c r="AO68" s="68"/>
      <c r="AP68" s="58" t="str">
        <f>IF($AO68="","",IFERROR(_xlfn.IMAGE(IF(REGEXMATCH($AO68,"\.(png|jpg|jpeg|gif)$"),$AO68,"https://s3.tradingview.com/snapshots/"&amp;LOWER(MID(REGEXEXTRACT($AO68,"/x/([A-Za-z0-9]+)"),1,1))&amp;"/"&amp;REGEXEXTRACT($AO68,"/x/([A-Za-z0-9]+)")&amp;".png"),1),"⚠️ link tidak dikenali"))</f>
        <v/>
      </c>
      <c r="AQ68" s="66">
        <f>IF($Z68="",0,IF(AND(OR('📊 Dashboard'!$B$4="(Semua)",$F68='📊 Dashboard'!$B$4),OR('📊 Dashboard'!$B$5="(Semua)",$H68='📊 Dashboard'!$B$5),OR('📊 Dashboard'!$B$6="(Semua)",$E68='📊 Dashboard'!$B$6),OR('📊 Dashboard'!$B$7="(Semua)",$AF68='📊 Dashboard'!$B$7),OR('📊 Dashboard'!$B$8="(Semua)",$AG68='📊 Dashboard'!$B$8),OR('📊 Dashboard'!$B$9="(Semua)",$K68='📊 Dashboard'!$B$9)),1,0))</f>
        <v>0</v>
      </c>
      <c r="AR68" s="69"/>
    </row>
    <row r="69" ht="58" customHeight="1" spans="1:44">
      <c r="A69" s="58" t="str">
        <f t="shared" si="7"/>
        <v/>
      </c>
      <c r="B69" s="59"/>
      <c r="C69" s="60"/>
      <c r="D69" s="60"/>
      <c r="E69" s="58" t="str">
        <f t="shared" si="8"/>
        <v/>
      </c>
      <c r="F69" s="61"/>
      <c r="G69" s="61"/>
      <c r="H69" s="61"/>
      <c r="I69" s="61"/>
      <c r="J69" s="61"/>
      <c r="K69" s="61"/>
      <c r="L69" s="61"/>
      <c r="M69" s="61"/>
      <c r="N69" s="62"/>
      <c r="O69" s="62"/>
      <c r="P69" s="62"/>
      <c r="Q69" s="62"/>
      <c r="R69" s="63" t="str">
        <f>IFERROR(IF(OR($N69="",$O69="",$F69=""),"",ROUND(('⚙️ Setelan'!$B$3*'⚙️ Setelan'!$B$4/100)/(ABS($N69-$O69)*VLOOKUP($F69,'⚙️ Setelan'!$A$14:$F$20,4,FALSE)),2)),"")</f>
        <v/>
      </c>
      <c r="S69" s="64"/>
      <c r="T69" s="65" t="str">
        <f>IFERROR(IF(OR($N69="",$O69="",$S69=""),"",ABS($N69-$O69)*$S69*VLOOKUP($F69,'⚙️ Setelan'!$A$14:$F$20,4,FALSE)),"")</f>
        <v/>
      </c>
      <c r="U69" s="63" t="str">
        <f t="shared" si="9"/>
        <v/>
      </c>
      <c r="V69" s="65" t="str">
        <f>IFERROR(IF(OR($Q69="",$N69="",$S69=""),"",($Q69-$N69)*IF($G69="Buy",1,-1)*$S69*VLOOKUP($F69,'⚙️ Setelan'!$A$14:$F$20,4,FALSE)),"")</f>
        <v/>
      </c>
      <c r="W69" s="65" t="str">
        <f>IFERROR(IF(OR($S69="",$F69=""),"",$S69*VLOOKUP($F69,'⚙️ Setelan'!$A$14:$F$20,5,FALSE)),"")</f>
        <v/>
      </c>
      <c r="X69" s="65" t="str">
        <f t="shared" si="10"/>
        <v/>
      </c>
      <c r="Y69" s="63" t="str">
        <f t="shared" si="11"/>
        <v/>
      </c>
      <c r="Z69" s="58" t="str">
        <f t="shared" si="12"/>
        <v/>
      </c>
      <c r="AA69" s="66" t="str">
        <f t="shared" si="13"/>
        <v/>
      </c>
      <c r="AB69" s="62"/>
      <c r="AC69" s="62"/>
      <c r="AD69" s="63" t="str">
        <f>IFERROR(IF(OR($AB69="",$T69="",$T69=0),"",ROUND(ABS($N69-$AB69)*$S69*VLOOKUP($F69,'⚙️ Setelan'!$A$14:$F$20,4,FALSE)/$T69,2)),"")</f>
        <v/>
      </c>
      <c r="AE69" s="63" t="str">
        <f>IFERROR(IF(OR($AC69="",$T69="",$T69=0),"",ROUND(ABS($AC69-$N69)*$S69*VLOOKUP($F69,'⚙️ Setelan'!$A$14:$F$20,4,FALSE)/$T69,2)),"")</f>
        <v/>
      </c>
      <c r="AF69" s="61"/>
      <c r="AG69" s="61"/>
      <c r="AH69" s="61"/>
      <c r="AI69" s="61"/>
      <c r="AJ69" s="61"/>
      <c r="AK69" s="67"/>
      <c r="AL69" s="58" t="str">
        <f>IF(OR($C69="",$B69=""),"",IF(AND($Z68="Loss",$B69=$B68,MOD($C69-$D68,1)*1440&lt;'⚙️ Setelan'!$B$9),"⚠️ Revenge",""))</f>
        <v/>
      </c>
      <c r="AM69" s="68"/>
      <c r="AN69" s="58" t="str">
        <f>IF($AM69="","",IFERROR(_xlfn.IMAGE(IF(REGEXMATCH($AM69,"\.(png|jpg|jpeg|gif)$"),$AM69,"https://s3.tradingview.com/snapshots/"&amp;LOWER(MID(REGEXEXTRACT($AM69,"/x/([A-Za-z0-9]+)"),1,1))&amp;"/"&amp;REGEXEXTRACT($AM69,"/x/([A-Za-z0-9]+)")&amp;".png"),1),"⚠️ link tidak dikenali"))</f>
        <v/>
      </c>
      <c r="AO69" s="68"/>
      <c r="AP69" s="58" t="str">
        <f>IF($AO69="","",IFERROR(_xlfn.IMAGE(IF(REGEXMATCH($AO69,"\.(png|jpg|jpeg|gif)$"),$AO69,"https://s3.tradingview.com/snapshots/"&amp;LOWER(MID(REGEXEXTRACT($AO69,"/x/([A-Za-z0-9]+)"),1,1))&amp;"/"&amp;REGEXEXTRACT($AO69,"/x/([A-Za-z0-9]+)")&amp;".png"),1),"⚠️ link tidak dikenali"))</f>
        <v/>
      </c>
      <c r="AQ69" s="66">
        <f>IF($Z69="",0,IF(AND(OR('📊 Dashboard'!$B$4="(Semua)",$F69='📊 Dashboard'!$B$4),OR('📊 Dashboard'!$B$5="(Semua)",$H69='📊 Dashboard'!$B$5),OR('📊 Dashboard'!$B$6="(Semua)",$E69='📊 Dashboard'!$B$6),OR('📊 Dashboard'!$B$7="(Semua)",$AF69='📊 Dashboard'!$B$7),OR('📊 Dashboard'!$B$8="(Semua)",$AG69='📊 Dashboard'!$B$8),OR('📊 Dashboard'!$B$9="(Semua)",$K69='📊 Dashboard'!$B$9)),1,0))</f>
        <v>0</v>
      </c>
      <c r="AR69" s="69"/>
    </row>
    <row r="70" ht="58" customHeight="1" spans="1:44">
      <c r="A70" s="58" t="str">
        <f t="shared" si="7"/>
        <v/>
      </c>
      <c r="B70" s="59"/>
      <c r="C70" s="60"/>
      <c r="D70" s="60"/>
      <c r="E70" s="58" t="str">
        <f t="shared" si="8"/>
        <v/>
      </c>
      <c r="F70" s="61"/>
      <c r="G70" s="61"/>
      <c r="H70" s="61"/>
      <c r="I70" s="61"/>
      <c r="J70" s="61"/>
      <c r="K70" s="61"/>
      <c r="L70" s="61"/>
      <c r="M70" s="61"/>
      <c r="N70" s="62"/>
      <c r="O70" s="62"/>
      <c r="P70" s="62"/>
      <c r="Q70" s="62"/>
      <c r="R70" s="63" t="str">
        <f>IFERROR(IF(OR($N70="",$O70="",$F70=""),"",ROUND(('⚙️ Setelan'!$B$3*'⚙️ Setelan'!$B$4/100)/(ABS($N70-$O70)*VLOOKUP($F70,'⚙️ Setelan'!$A$14:$F$20,4,FALSE)),2)),"")</f>
        <v/>
      </c>
      <c r="S70" s="64"/>
      <c r="T70" s="65" t="str">
        <f>IFERROR(IF(OR($N70="",$O70="",$S70=""),"",ABS($N70-$O70)*$S70*VLOOKUP($F70,'⚙️ Setelan'!$A$14:$F$20,4,FALSE)),"")</f>
        <v/>
      </c>
      <c r="U70" s="63" t="str">
        <f t="shared" si="9"/>
        <v/>
      </c>
      <c r="V70" s="65" t="str">
        <f>IFERROR(IF(OR($Q70="",$N70="",$S70=""),"",($Q70-$N70)*IF($G70="Buy",1,-1)*$S70*VLOOKUP($F70,'⚙️ Setelan'!$A$14:$F$20,4,FALSE)),"")</f>
        <v/>
      </c>
      <c r="W70" s="65" t="str">
        <f>IFERROR(IF(OR($S70="",$F70=""),"",$S70*VLOOKUP($F70,'⚙️ Setelan'!$A$14:$F$20,5,FALSE)),"")</f>
        <v/>
      </c>
      <c r="X70" s="65" t="str">
        <f t="shared" si="10"/>
        <v/>
      </c>
      <c r="Y70" s="63" t="str">
        <f t="shared" si="11"/>
        <v/>
      </c>
      <c r="Z70" s="58" t="str">
        <f t="shared" si="12"/>
        <v/>
      </c>
      <c r="AA70" s="66" t="str">
        <f t="shared" si="13"/>
        <v/>
      </c>
      <c r="AB70" s="62"/>
      <c r="AC70" s="62"/>
      <c r="AD70" s="63" t="str">
        <f>IFERROR(IF(OR($AB70="",$T70="",$T70=0),"",ROUND(ABS($N70-$AB70)*$S70*VLOOKUP($F70,'⚙️ Setelan'!$A$14:$F$20,4,FALSE)/$T70,2)),"")</f>
        <v/>
      </c>
      <c r="AE70" s="63" t="str">
        <f>IFERROR(IF(OR($AC70="",$T70="",$T70=0),"",ROUND(ABS($AC70-$N70)*$S70*VLOOKUP($F70,'⚙️ Setelan'!$A$14:$F$20,4,FALSE)/$T70,2)),"")</f>
        <v/>
      </c>
      <c r="AF70" s="61"/>
      <c r="AG70" s="61"/>
      <c r="AH70" s="61"/>
      <c r="AI70" s="61"/>
      <c r="AJ70" s="61"/>
      <c r="AK70" s="67"/>
      <c r="AL70" s="58" t="str">
        <f>IF(OR($C70="",$B70=""),"",IF(AND($Z69="Loss",$B70=$B69,MOD($C70-$D69,1)*1440&lt;'⚙️ Setelan'!$B$9),"⚠️ Revenge",""))</f>
        <v/>
      </c>
      <c r="AM70" s="68"/>
      <c r="AN70" s="58" t="str">
        <f>IF($AM70="","",IFERROR(_xlfn.IMAGE(IF(REGEXMATCH($AM70,"\.(png|jpg|jpeg|gif)$"),$AM70,"https://s3.tradingview.com/snapshots/"&amp;LOWER(MID(REGEXEXTRACT($AM70,"/x/([A-Za-z0-9]+)"),1,1))&amp;"/"&amp;REGEXEXTRACT($AM70,"/x/([A-Za-z0-9]+)")&amp;".png"),1),"⚠️ link tidak dikenali"))</f>
        <v/>
      </c>
      <c r="AO70" s="68"/>
      <c r="AP70" s="58" t="str">
        <f>IF($AO70="","",IFERROR(_xlfn.IMAGE(IF(REGEXMATCH($AO70,"\.(png|jpg|jpeg|gif)$"),$AO70,"https://s3.tradingview.com/snapshots/"&amp;LOWER(MID(REGEXEXTRACT($AO70,"/x/([A-Za-z0-9]+)"),1,1))&amp;"/"&amp;REGEXEXTRACT($AO70,"/x/([A-Za-z0-9]+)")&amp;".png"),1),"⚠️ link tidak dikenali"))</f>
        <v/>
      </c>
      <c r="AQ70" s="66">
        <f>IF($Z70="",0,IF(AND(OR('📊 Dashboard'!$B$4="(Semua)",$F70='📊 Dashboard'!$B$4),OR('📊 Dashboard'!$B$5="(Semua)",$H70='📊 Dashboard'!$B$5),OR('📊 Dashboard'!$B$6="(Semua)",$E70='📊 Dashboard'!$B$6),OR('📊 Dashboard'!$B$7="(Semua)",$AF70='📊 Dashboard'!$B$7),OR('📊 Dashboard'!$B$8="(Semua)",$AG70='📊 Dashboard'!$B$8),OR('📊 Dashboard'!$B$9="(Semua)",$K70='📊 Dashboard'!$B$9)),1,0))</f>
        <v>0</v>
      </c>
      <c r="AR70" s="69"/>
    </row>
    <row r="71" ht="58" customHeight="1" spans="1:44">
      <c r="A71" s="58" t="str">
        <f t="shared" si="7"/>
        <v/>
      </c>
      <c r="B71" s="59"/>
      <c r="C71" s="60"/>
      <c r="D71" s="60"/>
      <c r="E71" s="58" t="str">
        <f t="shared" si="8"/>
        <v/>
      </c>
      <c r="F71" s="61"/>
      <c r="G71" s="61"/>
      <c r="H71" s="61"/>
      <c r="I71" s="61"/>
      <c r="J71" s="61"/>
      <c r="K71" s="61"/>
      <c r="L71" s="61"/>
      <c r="M71" s="61"/>
      <c r="N71" s="62"/>
      <c r="O71" s="62"/>
      <c r="P71" s="62"/>
      <c r="Q71" s="62"/>
      <c r="R71" s="63" t="str">
        <f>IFERROR(IF(OR($N71="",$O71="",$F71=""),"",ROUND(('⚙️ Setelan'!$B$3*'⚙️ Setelan'!$B$4/100)/(ABS($N71-$O71)*VLOOKUP($F71,'⚙️ Setelan'!$A$14:$F$20,4,FALSE)),2)),"")</f>
        <v/>
      </c>
      <c r="S71" s="64"/>
      <c r="T71" s="65" t="str">
        <f>IFERROR(IF(OR($N71="",$O71="",$S71=""),"",ABS($N71-$O71)*$S71*VLOOKUP($F71,'⚙️ Setelan'!$A$14:$F$20,4,FALSE)),"")</f>
        <v/>
      </c>
      <c r="U71" s="63" t="str">
        <f t="shared" si="9"/>
        <v/>
      </c>
      <c r="V71" s="65" t="str">
        <f>IFERROR(IF(OR($Q71="",$N71="",$S71=""),"",($Q71-$N71)*IF($G71="Buy",1,-1)*$S71*VLOOKUP($F71,'⚙️ Setelan'!$A$14:$F$20,4,FALSE)),"")</f>
        <v/>
      </c>
      <c r="W71" s="65" t="str">
        <f>IFERROR(IF(OR($S71="",$F71=""),"",$S71*VLOOKUP($F71,'⚙️ Setelan'!$A$14:$F$20,5,FALSE)),"")</f>
        <v/>
      </c>
      <c r="X71" s="65" t="str">
        <f t="shared" si="10"/>
        <v/>
      </c>
      <c r="Y71" s="63" t="str">
        <f t="shared" si="11"/>
        <v/>
      </c>
      <c r="Z71" s="58" t="str">
        <f t="shared" si="12"/>
        <v/>
      </c>
      <c r="AA71" s="66" t="str">
        <f t="shared" si="13"/>
        <v/>
      </c>
      <c r="AB71" s="62"/>
      <c r="AC71" s="62"/>
      <c r="AD71" s="63" t="str">
        <f>IFERROR(IF(OR($AB71="",$T71="",$T71=0),"",ROUND(ABS($N71-$AB71)*$S71*VLOOKUP($F71,'⚙️ Setelan'!$A$14:$F$20,4,FALSE)/$T71,2)),"")</f>
        <v/>
      </c>
      <c r="AE71" s="63" t="str">
        <f>IFERROR(IF(OR($AC71="",$T71="",$T71=0),"",ROUND(ABS($AC71-$N71)*$S71*VLOOKUP($F71,'⚙️ Setelan'!$A$14:$F$20,4,FALSE)/$T71,2)),"")</f>
        <v/>
      </c>
      <c r="AF71" s="61"/>
      <c r="AG71" s="61"/>
      <c r="AH71" s="61"/>
      <c r="AI71" s="61"/>
      <c r="AJ71" s="61"/>
      <c r="AK71" s="67"/>
      <c r="AL71" s="58" t="str">
        <f>IF(OR($C71="",$B71=""),"",IF(AND($Z70="Loss",$B71=$B70,MOD($C71-$D70,1)*1440&lt;'⚙️ Setelan'!$B$9),"⚠️ Revenge",""))</f>
        <v/>
      </c>
      <c r="AM71" s="68"/>
      <c r="AN71" s="58" t="str">
        <f>IF($AM71="","",IFERROR(_xlfn.IMAGE(IF(REGEXMATCH($AM71,"\.(png|jpg|jpeg|gif)$"),$AM71,"https://s3.tradingview.com/snapshots/"&amp;LOWER(MID(REGEXEXTRACT($AM71,"/x/([A-Za-z0-9]+)"),1,1))&amp;"/"&amp;REGEXEXTRACT($AM71,"/x/([A-Za-z0-9]+)")&amp;".png"),1),"⚠️ link tidak dikenali"))</f>
        <v/>
      </c>
      <c r="AO71" s="68"/>
      <c r="AP71" s="58" t="str">
        <f>IF($AO71="","",IFERROR(_xlfn.IMAGE(IF(REGEXMATCH($AO71,"\.(png|jpg|jpeg|gif)$"),$AO71,"https://s3.tradingview.com/snapshots/"&amp;LOWER(MID(REGEXEXTRACT($AO71,"/x/([A-Za-z0-9]+)"),1,1))&amp;"/"&amp;REGEXEXTRACT($AO71,"/x/([A-Za-z0-9]+)")&amp;".png"),1),"⚠️ link tidak dikenali"))</f>
        <v/>
      </c>
      <c r="AQ71" s="66">
        <f>IF($Z71="",0,IF(AND(OR('📊 Dashboard'!$B$4="(Semua)",$F71='📊 Dashboard'!$B$4),OR('📊 Dashboard'!$B$5="(Semua)",$H71='📊 Dashboard'!$B$5),OR('📊 Dashboard'!$B$6="(Semua)",$E71='📊 Dashboard'!$B$6),OR('📊 Dashboard'!$B$7="(Semua)",$AF71='📊 Dashboard'!$B$7),OR('📊 Dashboard'!$B$8="(Semua)",$AG71='📊 Dashboard'!$B$8),OR('📊 Dashboard'!$B$9="(Semua)",$K71='📊 Dashboard'!$B$9)),1,0))</f>
        <v>0</v>
      </c>
      <c r="AR71" s="69"/>
    </row>
    <row r="72" ht="58" customHeight="1" spans="1:44">
      <c r="A72" s="58" t="str">
        <f t="shared" si="7"/>
        <v/>
      </c>
      <c r="B72" s="59"/>
      <c r="C72" s="60"/>
      <c r="D72" s="60"/>
      <c r="E72" s="58" t="str">
        <f t="shared" si="8"/>
        <v/>
      </c>
      <c r="F72" s="61"/>
      <c r="G72" s="61"/>
      <c r="H72" s="61"/>
      <c r="I72" s="61"/>
      <c r="J72" s="61"/>
      <c r="K72" s="61"/>
      <c r="L72" s="61"/>
      <c r="M72" s="61"/>
      <c r="N72" s="62"/>
      <c r="O72" s="62"/>
      <c r="P72" s="62"/>
      <c r="Q72" s="62"/>
      <c r="R72" s="63" t="str">
        <f>IFERROR(IF(OR($N72="",$O72="",$F72=""),"",ROUND(('⚙️ Setelan'!$B$3*'⚙️ Setelan'!$B$4/100)/(ABS($N72-$O72)*VLOOKUP($F72,'⚙️ Setelan'!$A$14:$F$20,4,FALSE)),2)),"")</f>
        <v/>
      </c>
      <c r="S72" s="64"/>
      <c r="T72" s="65" t="str">
        <f>IFERROR(IF(OR($N72="",$O72="",$S72=""),"",ABS($N72-$O72)*$S72*VLOOKUP($F72,'⚙️ Setelan'!$A$14:$F$20,4,FALSE)),"")</f>
        <v/>
      </c>
      <c r="U72" s="63" t="str">
        <f t="shared" si="9"/>
        <v/>
      </c>
      <c r="V72" s="65" t="str">
        <f>IFERROR(IF(OR($Q72="",$N72="",$S72=""),"",($Q72-$N72)*IF($G72="Buy",1,-1)*$S72*VLOOKUP($F72,'⚙️ Setelan'!$A$14:$F$20,4,FALSE)),"")</f>
        <v/>
      </c>
      <c r="W72" s="65" t="str">
        <f>IFERROR(IF(OR($S72="",$F72=""),"",$S72*VLOOKUP($F72,'⚙️ Setelan'!$A$14:$F$20,5,FALSE)),"")</f>
        <v/>
      </c>
      <c r="X72" s="65" t="str">
        <f t="shared" si="10"/>
        <v/>
      </c>
      <c r="Y72" s="63" t="str">
        <f t="shared" si="11"/>
        <v/>
      </c>
      <c r="Z72" s="58" t="str">
        <f t="shared" si="12"/>
        <v/>
      </c>
      <c r="AA72" s="66" t="str">
        <f t="shared" si="13"/>
        <v/>
      </c>
      <c r="AB72" s="62"/>
      <c r="AC72" s="62"/>
      <c r="AD72" s="63" t="str">
        <f>IFERROR(IF(OR($AB72="",$T72="",$T72=0),"",ROUND(ABS($N72-$AB72)*$S72*VLOOKUP($F72,'⚙️ Setelan'!$A$14:$F$20,4,FALSE)/$T72,2)),"")</f>
        <v/>
      </c>
      <c r="AE72" s="63" t="str">
        <f>IFERROR(IF(OR($AC72="",$T72="",$T72=0),"",ROUND(ABS($AC72-$N72)*$S72*VLOOKUP($F72,'⚙️ Setelan'!$A$14:$F$20,4,FALSE)/$T72,2)),"")</f>
        <v/>
      </c>
      <c r="AF72" s="61"/>
      <c r="AG72" s="61"/>
      <c r="AH72" s="61"/>
      <c r="AI72" s="61"/>
      <c r="AJ72" s="61"/>
      <c r="AK72" s="67"/>
      <c r="AL72" s="58" t="str">
        <f>IF(OR($C72="",$B72=""),"",IF(AND($Z71="Loss",$B72=$B71,MOD($C72-$D71,1)*1440&lt;'⚙️ Setelan'!$B$9),"⚠️ Revenge",""))</f>
        <v/>
      </c>
      <c r="AM72" s="68"/>
      <c r="AN72" s="58" t="str">
        <f>IF($AM72="","",IFERROR(_xlfn.IMAGE(IF(REGEXMATCH($AM72,"\.(png|jpg|jpeg|gif)$"),$AM72,"https://s3.tradingview.com/snapshots/"&amp;LOWER(MID(REGEXEXTRACT($AM72,"/x/([A-Za-z0-9]+)"),1,1))&amp;"/"&amp;REGEXEXTRACT($AM72,"/x/([A-Za-z0-9]+)")&amp;".png"),1),"⚠️ link tidak dikenali"))</f>
        <v/>
      </c>
      <c r="AO72" s="68"/>
      <c r="AP72" s="58" t="str">
        <f>IF($AO72="","",IFERROR(_xlfn.IMAGE(IF(REGEXMATCH($AO72,"\.(png|jpg|jpeg|gif)$"),$AO72,"https://s3.tradingview.com/snapshots/"&amp;LOWER(MID(REGEXEXTRACT($AO72,"/x/([A-Za-z0-9]+)"),1,1))&amp;"/"&amp;REGEXEXTRACT($AO72,"/x/([A-Za-z0-9]+)")&amp;".png"),1),"⚠️ link tidak dikenali"))</f>
        <v/>
      </c>
      <c r="AQ72" s="66">
        <f>IF($Z72="",0,IF(AND(OR('📊 Dashboard'!$B$4="(Semua)",$F72='📊 Dashboard'!$B$4),OR('📊 Dashboard'!$B$5="(Semua)",$H72='📊 Dashboard'!$B$5),OR('📊 Dashboard'!$B$6="(Semua)",$E72='📊 Dashboard'!$B$6),OR('📊 Dashboard'!$B$7="(Semua)",$AF72='📊 Dashboard'!$B$7),OR('📊 Dashboard'!$B$8="(Semua)",$AG72='📊 Dashboard'!$B$8),OR('📊 Dashboard'!$B$9="(Semua)",$K72='📊 Dashboard'!$B$9)),1,0))</f>
        <v>0</v>
      </c>
      <c r="AR72" s="69"/>
    </row>
    <row r="73" ht="58" customHeight="1" spans="1:44">
      <c r="A73" s="58" t="str">
        <f t="shared" si="7"/>
        <v/>
      </c>
      <c r="B73" s="59"/>
      <c r="C73" s="60"/>
      <c r="D73" s="60"/>
      <c r="E73" s="58" t="str">
        <f t="shared" si="8"/>
        <v/>
      </c>
      <c r="F73" s="61"/>
      <c r="G73" s="61"/>
      <c r="H73" s="61"/>
      <c r="I73" s="61"/>
      <c r="J73" s="61"/>
      <c r="K73" s="61"/>
      <c r="L73" s="61"/>
      <c r="M73" s="61"/>
      <c r="N73" s="62"/>
      <c r="O73" s="62"/>
      <c r="P73" s="62"/>
      <c r="Q73" s="62"/>
      <c r="R73" s="63" t="str">
        <f>IFERROR(IF(OR($N73="",$O73="",$F73=""),"",ROUND(('⚙️ Setelan'!$B$3*'⚙️ Setelan'!$B$4/100)/(ABS($N73-$O73)*VLOOKUP($F73,'⚙️ Setelan'!$A$14:$F$20,4,FALSE)),2)),"")</f>
        <v/>
      </c>
      <c r="S73" s="64"/>
      <c r="T73" s="65" t="str">
        <f>IFERROR(IF(OR($N73="",$O73="",$S73=""),"",ABS($N73-$O73)*$S73*VLOOKUP($F73,'⚙️ Setelan'!$A$14:$F$20,4,FALSE)),"")</f>
        <v/>
      </c>
      <c r="U73" s="63" t="str">
        <f t="shared" si="9"/>
        <v/>
      </c>
      <c r="V73" s="65" t="str">
        <f>IFERROR(IF(OR($Q73="",$N73="",$S73=""),"",($Q73-$N73)*IF($G73="Buy",1,-1)*$S73*VLOOKUP($F73,'⚙️ Setelan'!$A$14:$F$20,4,FALSE)),"")</f>
        <v/>
      </c>
      <c r="W73" s="65" t="str">
        <f>IFERROR(IF(OR($S73="",$F73=""),"",$S73*VLOOKUP($F73,'⚙️ Setelan'!$A$14:$F$20,5,FALSE)),"")</f>
        <v/>
      </c>
      <c r="X73" s="65" t="str">
        <f t="shared" si="10"/>
        <v/>
      </c>
      <c r="Y73" s="63" t="str">
        <f t="shared" si="11"/>
        <v/>
      </c>
      <c r="Z73" s="58" t="str">
        <f t="shared" si="12"/>
        <v/>
      </c>
      <c r="AA73" s="66" t="str">
        <f t="shared" si="13"/>
        <v/>
      </c>
      <c r="AB73" s="62"/>
      <c r="AC73" s="62"/>
      <c r="AD73" s="63" t="str">
        <f>IFERROR(IF(OR($AB73="",$T73="",$T73=0),"",ROUND(ABS($N73-$AB73)*$S73*VLOOKUP($F73,'⚙️ Setelan'!$A$14:$F$20,4,FALSE)/$T73,2)),"")</f>
        <v/>
      </c>
      <c r="AE73" s="63" t="str">
        <f>IFERROR(IF(OR($AC73="",$T73="",$T73=0),"",ROUND(ABS($AC73-$N73)*$S73*VLOOKUP($F73,'⚙️ Setelan'!$A$14:$F$20,4,FALSE)/$T73,2)),"")</f>
        <v/>
      </c>
      <c r="AF73" s="61"/>
      <c r="AG73" s="61"/>
      <c r="AH73" s="61"/>
      <c r="AI73" s="61"/>
      <c r="AJ73" s="61"/>
      <c r="AK73" s="67"/>
      <c r="AL73" s="58" t="str">
        <f>IF(OR($C73="",$B73=""),"",IF(AND($Z72="Loss",$B73=$B72,MOD($C73-$D72,1)*1440&lt;'⚙️ Setelan'!$B$9),"⚠️ Revenge",""))</f>
        <v/>
      </c>
      <c r="AM73" s="68"/>
      <c r="AN73" s="58" t="str">
        <f>IF($AM73="","",IFERROR(_xlfn.IMAGE(IF(REGEXMATCH($AM73,"\.(png|jpg|jpeg|gif)$"),$AM73,"https://s3.tradingview.com/snapshots/"&amp;LOWER(MID(REGEXEXTRACT($AM73,"/x/([A-Za-z0-9]+)"),1,1))&amp;"/"&amp;REGEXEXTRACT($AM73,"/x/([A-Za-z0-9]+)")&amp;".png"),1),"⚠️ link tidak dikenali"))</f>
        <v/>
      </c>
      <c r="AO73" s="68"/>
      <c r="AP73" s="58" t="str">
        <f>IF($AO73="","",IFERROR(_xlfn.IMAGE(IF(REGEXMATCH($AO73,"\.(png|jpg|jpeg|gif)$"),$AO73,"https://s3.tradingview.com/snapshots/"&amp;LOWER(MID(REGEXEXTRACT($AO73,"/x/([A-Za-z0-9]+)"),1,1))&amp;"/"&amp;REGEXEXTRACT($AO73,"/x/([A-Za-z0-9]+)")&amp;".png"),1),"⚠️ link tidak dikenali"))</f>
        <v/>
      </c>
      <c r="AQ73" s="66">
        <f>IF($Z73="",0,IF(AND(OR('📊 Dashboard'!$B$4="(Semua)",$F73='📊 Dashboard'!$B$4),OR('📊 Dashboard'!$B$5="(Semua)",$H73='📊 Dashboard'!$B$5),OR('📊 Dashboard'!$B$6="(Semua)",$E73='📊 Dashboard'!$B$6),OR('📊 Dashboard'!$B$7="(Semua)",$AF73='📊 Dashboard'!$B$7),OR('📊 Dashboard'!$B$8="(Semua)",$AG73='📊 Dashboard'!$B$8),OR('📊 Dashboard'!$B$9="(Semua)",$K73='📊 Dashboard'!$B$9)),1,0))</f>
        <v>0</v>
      </c>
      <c r="AR73" s="69"/>
    </row>
    <row r="74" ht="58" customHeight="1" spans="1:44">
      <c r="A74" s="58" t="str">
        <f t="shared" si="7"/>
        <v/>
      </c>
      <c r="B74" s="59"/>
      <c r="C74" s="60"/>
      <c r="D74" s="60"/>
      <c r="E74" s="58" t="str">
        <f t="shared" si="8"/>
        <v/>
      </c>
      <c r="F74" s="61"/>
      <c r="G74" s="61"/>
      <c r="H74" s="61"/>
      <c r="I74" s="61"/>
      <c r="J74" s="61"/>
      <c r="K74" s="61"/>
      <c r="L74" s="61"/>
      <c r="M74" s="61"/>
      <c r="N74" s="62"/>
      <c r="O74" s="62"/>
      <c r="P74" s="62"/>
      <c r="Q74" s="62"/>
      <c r="R74" s="63" t="str">
        <f>IFERROR(IF(OR($N74="",$O74="",$F74=""),"",ROUND(('⚙️ Setelan'!$B$3*'⚙️ Setelan'!$B$4/100)/(ABS($N74-$O74)*VLOOKUP($F74,'⚙️ Setelan'!$A$14:$F$20,4,FALSE)),2)),"")</f>
        <v/>
      </c>
      <c r="S74" s="64"/>
      <c r="T74" s="65" t="str">
        <f>IFERROR(IF(OR($N74="",$O74="",$S74=""),"",ABS($N74-$O74)*$S74*VLOOKUP($F74,'⚙️ Setelan'!$A$14:$F$20,4,FALSE)),"")</f>
        <v/>
      </c>
      <c r="U74" s="63" t="str">
        <f t="shared" si="9"/>
        <v/>
      </c>
      <c r="V74" s="65" t="str">
        <f>IFERROR(IF(OR($Q74="",$N74="",$S74=""),"",($Q74-$N74)*IF($G74="Buy",1,-1)*$S74*VLOOKUP($F74,'⚙️ Setelan'!$A$14:$F$20,4,FALSE)),"")</f>
        <v/>
      </c>
      <c r="W74" s="65" t="str">
        <f>IFERROR(IF(OR($S74="",$F74=""),"",$S74*VLOOKUP($F74,'⚙️ Setelan'!$A$14:$F$20,5,FALSE)),"")</f>
        <v/>
      </c>
      <c r="X74" s="65" t="str">
        <f t="shared" si="10"/>
        <v/>
      </c>
      <c r="Y74" s="63" t="str">
        <f t="shared" si="11"/>
        <v/>
      </c>
      <c r="Z74" s="58" t="str">
        <f t="shared" si="12"/>
        <v/>
      </c>
      <c r="AA74" s="66" t="str">
        <f t="shared" si="13"/>
        <v/>
      </c>
      <c r="AB74" s="62"/>
      <c r="AC74" s="62"/>
      <c r="AD74" s="63" t="str">
        <f>IFERROR(IF(OR($AB74="",$T74="",$T74=0),"",ROUND(ABS($N74-$AB74)*$S74*VLOOKUP($F74,'⚙️ Setelan'!$A$14:$F$20,4,FALSE)/$T74,2)),"")</f>
        <v/>
      </c>
      <c r="AE74" s="63" t="str">
        <f>IFERROR(IF(OR($AC74="",$T74="",$T74=0),"",ROUND(ABS($AC74-$N74)*$S74*VLOOKUP($F74,'⚙️ Setelan'!$A$14:$F$20,4,FALSE)/$T74,2)),"")</f>
        <v/>
      </c>
      <c r="AF74" s="61"/>
      <c r="AG74" s="61"/>
      <c r="AH74" s="61"/>
      <c r="AI74" s="61"/>
      <c r="AJ74" s="61"/>
      <c r="AK74" s="67"/>
      <c r="AL74" s="58" t="str">
        <f>IF(OR($C74="",$B74=""),"",IF(AND($Z73="Loss",$B74=$B73,MOD($C74-$D73,1)*1440&lt;'⚙️ Setelan'!$B$9),"⚠️ Revenge",""))</f>
        <v/>
      </c>
      <c r="AM74" s="68"/>
      <c r="AN74" s="58" t="str">
        <f>IF($AM74="","",IFERROR(_xlfn.IMAGE(IF(REGEXMATCH($AM74,"\.(png|jpg|jpeg|gif)$"),$AM74,"https://s3.tradingview.com/snapshots/"&amp;LOWER(MID(REGEXEXTRACT($AM74,"/x/([A-Za-z0-9]+)"),1,1))&amp;"/"&amp;REGEXEXTRACT($AM74,"/x/([A-Za-z0-9]+)")&amp;".png"),1),"⚠️ link tidak dikenali"))</f>
        <v/>
      </c>
      <c r="AO74" s="68"/>
      <c r="AP74" s="58" t="str">
        <f>IF($AO74="","",IFERROR(_xlfn.IMAGE(IF(REGEXMATCH($AO74,"\.(png|jpg|jpeg|gif)$"),$AO74,"https://s3.tradingview.com/snapshots/"&amp;LOWER(MID(REGEXEXTRACT($AO74,"/x/([A-Za-z0-9]+)"),1,1))&amp;"/"&amp;REGEXEXTRACT($AO74,"/x/([A-Za-z0-9]+)")&amp;".png"),1),"⚠️ link tidak dikenali"))</f>
        <v/>
      </c>
      <c r="AQ74" s="66">
        <f>IF($Z74="",0,IF(AND(OR('📊 Dashboard'!$B$4="(Semua)",$F74='📊 Dashboard'!$B$4),OR('📊 Dashboard'!$B$5="(Semua)",$H74='📊 Dashboard'!$B$5),OR('📊 Dashboard'!$B$6="(Semua)",$E74='📊 Dashboard'!$B$6),OR('📊 Dashboard'!$B$7="(Semua)",$AF74='📊 Dashboard'!$B$7),OR('📊 Dashboard'!$B$8="(Semua)",$AG74='📊 Dashboard'!$B$8),OR('📊 Dashboard'!$B$9="(Semua)",$K74='📊 Dashboard'!$B$9)),1,0))</f>
        <v>0</v>
      </c>
      <c r="AR74" s="69"/>
    </row>
    <row r="75" ht="58" customHeight="1" spans="1:44">
      <c r="A75" s="58" t="str">
        <f t="shared" si="7"/>
        <v/>
      </c>
      <c r="B75" s="59"/>
      <c r="C75" s="60"/>
      <c r="D75" s="60"/>
      <c r="E75" s="58" t="str">
        <f t="shared" si="8"/>
        <v/>
      </c>
      <c r="F75" s="61"/>
      <c r="G75" s="61"/>
      <c r="H75" s="61"/>
      <c r="I75" s="61"/>
      <c r="J75" s="61"/>
      <c r="K75" s="61"/>
      <c r="L75" s="61"/>
      <c r="M75" s="61"/>
      <c r="N75" s="62"/>
      <c r="O75" s="62"/>
      <c r="P75" s="62"/>
      <c r="Q75" s="62"/>
      <c r="R75" s="63" t="str">
        <f>IFERROR(IF(OR($N75="",$O75="",$F75=""),"",ROUND(('⚙️ Setelan'!$B$3*'⚙️ Setelan'!$B$4/100)/(ABS($N75-$O75)*VLOOKUP($F75,'⚙️ Setelan'!$A$14:$F$20,4,FALSE)),2)),"")</f>
        <v/>
      </c>
      <c r="S75" s="64"/>
      <c r="T75" s="65" t="str">
        <f>IFERROR(IF(OR($N75="",$O75="",$S75=""),"",ABS($N75-$O75)*$S75*VLOOKUP($F75,'⚙️ Setelan'!$A$14:$F$20,4,FALSE)),"")</f>
        <v/>
      </c>
      <c r="U75" s="63" t="str">
        <f t="shared" si="9"/>
        <v/>
      </c>
      <c r="V75" s="65" t="str">
        <f>IFERROR(IF(OR($Q75="",$N75="",$S75=""),"",($Q75-$N75)*IF($G75="Buy",1,-1)*$S75*VLOOKUP($F75,'⚙️ Setelan'!$A$14:$F$20,4,FALSE)),"")</f>
        <v/>
      </c>
      <c r="W75" s="65" t="str">
        <f>IFERROR(IF(OR($S75="",$F75=""),"",$S75*VLOOKUP($F75,'⚙️ Setelan'!$A$14:$F$20,5,FALSE)),"")</f>
        <v/>
      </c>
      <c r="X75" s="65" t="str">
        <f t="shared" si="10"/>
        <v/>
      </c>
      <c r="Y75" s="63" t="str">
        <f t="shared" si="11"/>
        <v/>
      </c>
      <c r="Z75" s="58" t="str">
        <f t="shared" si="12"/>
        <v/>
      </c>
      <c r="AA75" s="66" t="str">
        <f t="shared" si="13"/>
        <v/>
      </c>
      <c r="AB75" s="62"/>
      <c r="AC75" s="62"/>
      <c r="AD75" s="63" t="str">
        <f>IFERROR(IF(OR($AB75="",$T75="",$T75=0),"",ROUND(ABS($N75-$AB75)*$S75*VLOOKUP($F75,'⚙️ Setelan'!$A$14:$F$20,4,FALSE)/$T75,2)),"")</f>
        <v/>
      </c>
      <c r="AE75" s="63" t="str">
        <f>IFERROR(IF(OR($AC75="",$T75="",$T75=0),"",ROUND(ABS($AC75-$N75)*$S75*VLOOKUP($F75,'⚙️ Setelan'!$A$14:$F$20,4,FALSE)/$T75,2)),"")</f>
        <v/>
      </c>
      <c r="AF75" s="61"/>
      <c r="AG75" s="61"/>
      <c r="AH75" s="61"/>
      <c r="AI75" s="61"/>
      <c r="AJ75" s="61"/>
      <c r="AK75" s="67"/>
      <c r="AL75" s="58" t="str">
        <f>IF(OR($C75="",$B75=""),"",IF(AND($Z74="Loss",$B75=$B74,MOD($C75-$D74,1)*1440&lt;'⚙️ Setelan'!$B$9),"⚠️ Revenge",""))</f>
        <v/>
      </c>
      <c r="AM75" s="68"/>
      <c r="AN75" s="58" t="str">
        <f>IF($AM75="","",IFERROR(_xlfn.IMAGE(IF(REGEXMATCH($AM75,"\.(png|jpg|jpeg|gif)$"),$AM75,"https://s3.tradingview.com/snapshots/"&amp;LOWER(MID(REGEXEXTRACT($AM75,"/x/([A-Za-z0-9]+)"),1,1))&amp;"/"&amp;REGEXEXTRACT($AM75,"/x/([A-Za-z0-9]+)")&amp;".png"),1),"⚠️ link tidak dikenali"))</f>
        <v/>
      </c>
      <c r="AO75" s="68"/>
      <c r="AP75" s="58" t="str">
        <f>IF($AO75="","",IFERROR(_xlfn.IMAGE(IF(REGEXMATCH($AO75,"\.(png|jpg|jpeg|gif)$"),$AO75,"https://s3.tradingview.com/snapshots/"&amp;LOWER(MID(REGEXEXTRACT($AO75,"/x/([A-Za-z0-9]+)"),1,1))&amp;"/"&amp;REGEXEXTRACT($AO75,"/x/([A-Za-z0-9]+)")&amp;".png"),1),"⚠️ link tidak dikenali"))</f>
        <v/>
      </c>
      <c r="AQ75" s="66">
        <f>IF($Z75="",0,IF(AND(OR('📊 Dashboard'!$B$4="(Semua)",$F75='📊 Dashboard'!$B$4),OR('📊 Dashboard'!$B$5="(Semua)",$H75='📊 Dashboard'!$B$5),OR('📊 Dashboard'!$B$6="(Semua)",$E75='📊 Dashboard'!$B$6),OR('📊 Dashboard'!$B$7="(Semua)",$AF75='📊 Dashboard'!$B$7),OR('📊 Dashboard'!$B$8="(Semua)",$AG75='📊 Dashboard'!$B$8),OR('📊 Dashboard'!$B$9="(Semua)",$K75='📊 Dashboard'!$B$9)),1,0))</f>
        <v>0</v>
      </c>
      <c r="AR75" s="69"/>
    </row>
    <row r="76" ht="58" customHeight="1" spans="1:44">
      <c r="A76" s="58" t="str">
        <f t="shared" si="7"/>
        <v/>
      </c>
      <c r="B76" s="59"/>
      <c r="C76" s="60"/>
      <c r="D76" s="60"/>
      <c r="E76" s="58" t="str">
        <f t="shared" si="8"/>
        <v/>
      </c>
      <c r="F76" s="61"/>
      <c r="G76" s="61"/>
      <c r="H76" s="61"/>
      <c r="I76" s="61"/>
      <c r="J76" s="61"/>
      <c r="K76" s="61"/>
      <c r="L76" s="61"/>
      <c r="M76" s="61"/>
      <c r="N76" s="62"/>
      <c r="O76" s="62"/>
      <c r="P76" s="62"/>
      <c r="Q76" s="62"/>
      <c r="R76" s="63" t="str">
        <f>IFERROR(IF(OR($N76="",$O76="",$F76=""),"",ROUND(('⚙️ Setelan'!$B$3*'⚙️ Setelan'!$B$4/100)/(ABS($N76-$O76)*VLOOKUP($F76,'⚙️ Setelan'!$A$14:$F$20,4,FALSE)),2)),"")</f>
        <v/>
      </c>
      <c r="S76" s="64"/>
      <c r="T76" s="65" t="str">
        <f>IFERROR(IF(OR($N76="",$O76="",$S76=""),"",ABS($N76-$O76)*$S76*VLOOKUP($F76,'⚙️ Setelan'!$A$14:$F$20,4,FALSE)),"")</f>
        <v/>
      </c>
      <c r="U76" s="63" t="str">
        <f t="shared" si="9"/>
        <v/>
      </c>
      <c r="V76" s="65" t="str">
        <f>IFERROR(IF(OR($Q76="",$N76="",$S76=""),"",($Q76-$N76)*IF($G76="Buy",1,-1)*$S76*VLOOKUP($F76,'⚙️ Setelan'!$A$14:$F$20,4,FALSE)),"")</f>
        <v/>
      </c>
      <c r="W76" s="65" t="str">
        <f>IFERROR(IF(OR($S76="",$F76=""),"",$S76*VLOOKUP($F76,'⚙️ Setelan'!$A$14:$F$20,5,FALSE)),"")</f>
        <v/>
      </c>
      <c r="X76" s="65" t="str">
        <f t="shared" si="10"/>
        <v/>
      </c>
      <c r="Y76" s="63" t="str">
        <f t="shared" si="11"/>
        <v/>
      </c>
      <c r="Z76" s="58" t="str">
        <f t="shared" si="12"/>
        <v/>
      </c>
      <c r="AA76" s="66" t="str">
        <f t="shared" si="13"/>
        <v/>
      </c>
      <c r="AB76" s="62"/>
      <c r="AC76" s="62"/>
      <c r="AD76" s="63" t="str">
        <f>IFERROR(IF(OR($AB76="",$T76="",$T76=0),"",ROUND(ABS($N76-$AB76)*$S76*VLOOKUP($F76,'⚙️ Setelan'!$A$14:$F$20,4,FALSE)/$T76,2)),"")</f>
        <v/>
      </c>
      <c r="AE76" s="63" t="str">
        <f>IFERROR(IF(OR($AC76="",$T76="",$T76=0),"",ROUND(ABS($AC76-$N76)*$S76*VLOOKUP($F76,'⚙️ Setelan'!$A$14:$F$20,4,FALSE)/$T76,2)),"")</f>
        <v/>
      </c>
      <c r="AF76" s="61"/>
      <c r="AG76" s="61"/>
      <c r="AH76" s="61"/>
      <c r="AI76" s="61"/>
      <c r="AJ76" s="61"/>
      <c r="AK76" s="67"/>
      <c r="AL76" s="58" t="str">
        <f>IF(OR($C76="",$B76=""),"",IF(AND($Z75="Loss",$B76=$B75,MOD($C76-$D75,1)*1440&lt;'⚙️ Setelan'!$B$9),"⚠️ Revenge",""))</f>
        <v/>
      </c>
      <c r="AM76" s="68"/>
      <c r="AN76" s="58" t="str">
        <f>IF($AM76="","",IFERROR(_xlfn.IMAGE(IF(REGEXMATCH($AM76,"\.(png|jpg|jpeg|gif)$"),$AM76,"https://s3.tradingview.com/snapshots/"&amp;LOWER(MID(REGEXEXTRACT($AM76,"/x/([A-Za-z0-9]+)"),1,1))&amp;"/"&amp;REGEXEXTRACT($AM76,"/x/([A-Za-z0-9]+)")&amp;".png"),1),"⚠️ link tidak dikenali"))</f>
        <v/>
      </c>
      <c r="AO76" s="68"/>
      <c r="AP76" s="58" t="str">
        <f>IF($AO76="","",IFERROR(_xlfn.IMAGE(IF(REGEXMATCH($AO76,"\.(png|jpg|jpeg|gif)$"),$AO76,"https://s3.tradingview.com/snapshots/"&amp;LOWER(MID(REGEXEXTRACT($AO76,"/x/([A-Za-z0-9]+)"),1,1))&amp;"/"&amp;REGEXEXTRACT($AO76,"/x/([A-Za-z0-9]+)")&amp;".png"),1),"⚠️ link tidak dikenali"))</f>
        <v/>
      </c>
      <c r="AQ76" s="66">
        <f>IF($Z76="",0,IF(AND(OR('📊 Dashboard'!$B$4="(Semua)",$F76='📊 Dashboard'!$B$4),OR('📊 Dashboard'!$B$5="(Semua)",$H76='📊 Dashboard'!$B$5),OR('📊 Dashboard'!$B$6="(Semua)",$E76='📊 Dashboard'!$B$6),OR('📊 Dashboard'!$B$7="(Semua)",$AF76='📊 Dashboard'!$B$7),OR('📊 Dashboard'!$B$8="(Semua)",$AG76='📊 Dashboard'!$B$8),OR('📊 Dashboard'!$B$9="(Semua)",$K76='📊 Dashboard'!$B$9)),1,0))</f>
        <v>0</v>
      </c>
      <c r="AR76" s="69"/>
    </row>
    <row r="77" ht="58" customHeight="1" spans="1:44">
      <c r="A77" s="58" t="str">
        <f t="shared" si="7"/>
        <v/>
      </c>
      <c r="B77" s="59"/>
      <c r="C77" s="60"/>
      <c r="D77" s="60"/>
      <c r="E77" s="58" t="str">
        <f t="shared" si="8"/>
        <v/>
      </c>
      <c r="F77" s="61"/>
      <c r="G77" s="61"/>
      <c r="H77" s="61"/>
      <c r="I77" s="61"/>
      <c r="J77" s="61"/>
      <c r="K77" s="61"/>
      <c r="L77" s="61"/>
      <c r="M77" s="61"/>
      <c r="N77" s="62"/>
      <c r="O77" s="62"/>
      <c r="P77" s="62"/>
      <c r="Q77" s="62"/>
      <c r="R77" s="63" t="str">
        <f>IFERROR(IF(OR($N77="",$O77="",$F77=""),"",ROUND(('⚙️ Setelan'!$B$3*'⚙️ Setelan'!$B$4/100)/(ABS($N77-$O77)*VLOOKUP($F77,'⚙️ Setelan'!$A$14:$F$20,4,FALSE)),2)),"")</f>
        <v/>
      </c>
      <c r="S77" s="64"/>
      <c r="T77" s="65" t="str">
        <f>IFERROR(IF(OR($N77="",$O77="",$S77=""),"",ABS($N77-$O77)*$S77*VLOOKUP($F77,'⚙️ Setelan'!$A$14:$F$20,4,FALSE)),"")</f>
        <v/>
      </c>
      <c r="U77" s="63" t="str">
        <f t="shared" si="9"/>
        <v/>
      </c>
      <c r="V77" s="65" t="str">
        <f>IFERROR(IF(OR($Q77="",$N77="",$S77=""),"",($Q77-$N77)*IF($G77="Buy",1,-1)*$S77*VLOOKUP($F77,'⚙️ Setelan'!$A$14:$F$20,4,FALSE)),"")</f>
        <v/>
      </c>
      <c r="W77" s="65" t="str">
        <f>IFERROR(IF(OR($S77="",$F77=""),"",$S77*VLOOKUP($F77,'⚙️ Setelan'!$A$14:$F$20,5,FALSE)),"")</f>
        <v/>
      </c>
      <c r="X77" s="65" t="str">
        <f t="shared" si="10"/>
        <v/>
      </c>
      <c r="Y77" s="63" t="str">
        <f t="shared" si="11"/>
        <v/>
      </c>
      <c r="Z77" s="58" t="str">
        <f t="shared" si="12"/>
        <v/>
      </c>
      <c r="AA77" s="66" t="str">
        <f t="shared" si="13"/>
        <v/>
      </c>
      <c r="AB77" s="62"/>
      <c r="AC77" s="62"/>
      <c r="AD77" s="63" t="str">
        <f>IFERROR(IF(OR($AB77="",$T77="",$T77=0),"",ROUND(ABS($N77-$AB77)*$S77*VLOOKUP($F77,'⚙️ Setelan'!$A$14:$F$20,4,FALSE)/$T77,2)),"")</f>
        <v/>
      </c>
      <c r="AE77" s="63" t="str">
        <f>IFERROR(IF(OR($AC77="",$T77="",$T77=0),"",ROUND(ABS($AC77-$N77)*$S77*VLOOKUP($F77,'⚙️ Setelan'!$A$14:$F$20,4,FALSE)/$T77,2)),"")</f>
        <v/>
      </c>
      <c r="AF77" s="61"/>
      <c r="AG77" s="61"/>
      <c r="AH77" s="61"/>
      <c r="AI77" s="61"/>
      <c r="AJ77" s="61"/>
      <c r="AK77" s="67"/>
      <c r="AL77" s="58" t="str">
        <f>IF(OR($C77="",$B77=""),"",IF(AND($Z76="Loss",$B77=$B76,MOD($C77-$D76,1)*1440&lt;'⚙️ Setelan'!$B$9),"⚠️ Revenge",""))</f>
        <v/>
      </c>
      <c r="AM77" s="68"/>
      <c r="AN77" s="58" t="str">
        <f>IF($AM77="","",IFERROR(_xlfn.IMAGE(IF(REGEXMATCH($AM77,"\.(png|jpg|jpeg|gif)$"),$AM77,"https://s3.tradingview.com/snapshots/"&amp;LOWER(MID(REGEXEXTRACT($AM77,"/x/([A-Za-z0-9]+)"),1,1))&amp;"/"&amp;REGEXEXTRACT($AM77,"/x/([A-Za-z0-9]+)")&amp;".png"),1),"⚠️ link tidak dikenali"))</f>
        <v/>
      </c>
      <c r="AO77" s="68"/>
      <c r="AP77" s="58" t="str">
        <f>IF($AO77="","",IFERROR(_xlfn.IMAGE(IF(REGEXMATCH($AO77,"\.(png|jpg|jpeg|gif)$"),$AO77,"https://s3.tradingview.com/snapshots/"&amp;LOWER(MID(REGEXEXTRACT($AO77,"/x/([A-Za-z0-9]+)"),1,1))&amp;"/"&amp;REGEXEXTRACT($AO77,"/x/([A-Za-z0-9]+)")&amp;".png"),1),"⚠️ link tidak dikenali"))</f>
        <v/>
      </c>
      <c r="AQ77" s="66">
        <f>IF($Z77="",0,IF(AND(OR('📊 Dashboard'!$B$4="(Semua)",$F77='📊 Dashboard'!$B$4),OR('📊 Dashboard'!$B$5="(Semua)",$H77='📊 Dashboard'!$B$5),OR('📊 Dashboard'!$B$6="(Semua)",$E77='📊 Dashboard'!$B$6),OR('📊 Dashboard'!$B$7="(Semua)",$AF77='📊 Dashboard'!$B$7),OR('📊 Dashboard'!$B$8="(Semua)",$AG77='📊 Dashboard'!$B$8),OR('📊 Dashboard'!$B$9="(Semua)",$K77='📊 Dashboard'!$B$9)),1,0))</f>
        <v>0</v>
      </c>
      <c r="AR77" s="69"/>
    </row>
    <row r="78" ht="58" customHeight="1" spans="1:44">
      <c r="A78" s="58" t="str">
        <f t="shared" si="7"/>
        <v/>
      </c>
      <c r="B78" s="59"/>
      <c r="C78" s="60"/>
      <c r="D78" s="60"/>
      <c r="E78" s="58" t="str">
        <f t="shared" si="8"/>
        <v/>
      </c>
      <c r="F78" s="61"/>
      <c r="G78" s="61"/>
      <c r="H78" s="61"/>
      <c r="I78" s="61"/>
      <c r="J78" s="61"/>
      <c r="K78" s="61"/>
      <c r="L78" s="61"/>
      <c r="M78" s="61"/>
      <c r="N78" s="62"/>
      <c r="O78" s="62"/>
      <c r="P78" s="62"/>
      <c r="Q78" s="62"/>
      <c r="R78" s="63" t="str">
        <f>IFERROR(IF(OR($N78="",$O78="",$F78=""),"",ROUND(('⚙️ Setelan'!$B$3*'⚙️ Setelan'!$B$4/100)/(ABS($N78-$O78)*VLOOKUP($F78,'⚙️ Setelan'!$A$14:$F$20,4,FALSE)),2)),"")</f>
        <v/>
      </c>
      <c r="S78" s="64"/>
      <c r="T78" s="65" t="str">
        <f>IFERROR(IF(OR($N78="",$O78="",$S78=""),"",ABS($N78-$O78)*$S78*VLOOKUP($F78,'⚙️ Setelan'!$A$14:$F$20,4,FALSE)),"")</f>
        <v/>
      </c>
      <c r="U78" s="63" t="str">
        <f t="shared" si="9"/>
        <v/>
      </c>
      <c r="V78" s="65" t="str">
        <f>IFERROR(IF(OR($Q78="",$N78="",$S78=""),"",($Q78-$N78)*IF($G78="Buy",1,-1)*$S78*VLOOKUP($F78,'⚙️ Setelan'!$A$14:$F$20,4,FALSE)),"")</f>
        <v/>
      </c>
      <c r="W78" s="65" t="str">
        <f>IFERROR(IF(OR($S78="",$F78=""),"",$S78*VLOOKUP($F78,'⚙️ Setelan'!$A$14:$F$20,5,FALSE)),"")</f>
        <v/>
      </c>
      <c r="X78" s="65" t="str">
        <f t="shared" si="10"/>
        <v/>
      </c>
      <c r="Y78" s="63" t="str">
        <f t="shared" si="11"/>
        <v/>
      </c>
      <c r="Z78" s="58" t="str">
        <f t="shared" si="12"/>
        <v/>
      </c>
      <c r="AA78" s="66" t="str">
        <f t="shared" si="13"/>
        <v/>
      </c>
      <c r="AB78" s="62"/>
      <c r="AC78" s="62"/>
      <c r="AD78" s="63" t="str">
        <f>IFERROR(IF(OR($AB78="",$T78="",$T78=0),"",ROUND(ABS($N78-$AB78)*$S78*VLOOKUP($F78,'⚙️ Setelan'!$A$14:$F$20,4,FALSE)/$T78,2)),"")</f>
        <v/>
      </c>
      <c r="AE78" s="63" t="str">
        <f>IFERROR(IF(OR($AC78="",$T78="",$T78=0),"",ROUND(ABS($AC78-$N78)*$S78*VLOOKUP($F78,'⚙️ Setelan'!$A$14:$F$20,4,FALSE)/$T78,2)),"")</f>
        <v/>
      </c>
      <c r="AF78" s="61"/>
      <c r="AG78" s="61"/>
      <c r="AH78" s="61"/>
      <c r="AI78" s="61"/>
      <c r="AJ78" s="61"/>
      <c r="AK78" s="67"/>
      <c r="AL78" s="58" t="str">
        <f>IF(OR($C78="",$B78=""),"",IF(AND($Z77="Loss",$B78=$B77,MOD($C78-$D77,1)*1440&lt;'⚙️ Setelan'!$B$9),"⚠️ Revenge",""))</f>
        <v/>
      </c>
      <c r="AM78" s="68"/>
      <c r="AN78" s="58" t="str">
        <f>IF($AM78="","",IFERROR(_xlfn.IMAGE(IF(REGEXMATCH($AM78,"\.(png|jpg|jpeg|gif)$"),$AM78,"https://s3.tradingview.com/snapshots/"&amp;LOWER(MID(REGEXEXTRACT($AM78,"/x/([A-Za-z0-9]+)"),1,1))&amp;"/"&amp;REGEXEXTRACT($AM78,"/x/([A-Za-z0-9]+)")&amp;".png"),1),"⚠️ link tidak dikenali"))</f>
        <v/>
      </c>
      <c r="AO78" s="68"/>
      <c r="AP78" s="58" t="str">
        <f>IF($AO78="","",IFERROR(_xlfn.IMAGE(IF(REGEXMATCH($AO78,"\.(png|jpg|jpeg|gif)$"),$AO78,"https://s3.tradingview.com/snapshots/"&amp;LOWER(MID(REGEXEXTRACT($AO78,"/x/([A-Za-z0-9]+)"),1,1))&amp;"/"&amp;REGEXEXTRACT($AO78,"/x/([A-Za-z0-9]+)")&amp;".png"),1),"⚠️ link tidak dikenali"))</f>
        <v/>
      </c>
      <c r="AQ78" s="66">
        <f>IF($Z78="",0,IF(AND(OR('📊 Dashboard'!$B$4="(Semua)",$F78='📊 Dashboard'!$B$4),OR('📊 Dashboard'!$B$5="(Semua)",$H78='📊 Dashboard'!$B$5),OR('📊 Dashboard'!$B$6="(Semua)",$E78='📊 Dashboard'!$B$6),OR('📊 Dashboard'!$B$7="(Semua)",$AF78='📊 Dashboard'!$B$7),OR('📊 Dashboard'!$B$8="(Semua)",$AG78='📊 Dashboard'!$B$8),OR('📊 Dashboard'!$B$9="(Semua)",$K78='📊 Dashboard'!$B$9)),1,0))</f>
        <v>0</v>
      </c>
      <c r="AR78" s="69"/>
    </row>
    <row r="79" ht="58" customHeight="1" spans="1:44">
      <c r="A79" s="58" t="str">
        <f t="shared" si="7"/>
        <v/>
      </c>
      <c r="B79" s="59"/>
      <c r="C79" s="60"/>
      <c r="D79" s="60"/>
      <c r="E79" s="58" t="str">
        <f t="shared" si="8"/>
        <v/>
      </c>
      <c r="F79" s="61"/>
      <c r="G79" s="61"/>
      <c r="H79" s="61"/>
      <c r="I79" s="61"/>
      <c r="J79" s="61"/>
      <c r="K79" s="61"/>
      <c r="L79" s="61"/>
      <c r="M79" s="61"/>
      <c r="N79" s="62"/>
      <c r="O79" s="62"/>
      <c r="P79" s="62"/>
      <c r="Q79" s="62"/>
      <c r="R79" s="63" t="str">
        <f>IFERROR(IF(OR($N79="",$O79="",$F79=""),"",ROUND(('⚙️ Setelan'!$B$3*'⚙️ Setelan'!$B$4/100)/(ABS($N79-$O79)*VLOOKUP($F79,'⚙️ Setelan'!$A$14:$F$20,4,FALSE)),2)),"")</f>
        <v/>
      </c>
      <c r="S79" s="64"/>
      <c r="T79" s="65" t="str">
        <f>IFERROR(IF(OR($N79="",$O79="",$S79=""),"",ABS($N79-$O79)*$S79*VLOOKUP($F79,'⚙️ Setelan'!$A$14:$F$20,4,FALSE)),"")</f>
        <v/>
      </c>
      <c r="U79" s="63" t="str">
        <f t="shared" si="9"/>
        <v/>
      </c>
      <c r="V79" s="65" t="str">
        <f>IFERROR(IF(OR($Q79="",$N79="",$S79=""),"",($Q79-$N79)*IF($G79="Buy",1,-1)*$S79*VLOOKUP($F79,'⚙️ Setelan'!$A$14:$F$20,4,FALSE)),"")</f>
        <v/>
      </c>
      <c r="W79" s="65" t="str">
        <f>IFERROR(IF(OR($S79="",$F79=""),"",$S79*VLOOKUP($F79,'⚙️ Setelan'!$A$14:$F$20,5,FALSE)),"")</f>
        <v/>
      </c>
      <c r="X79" s="65" t="str">
        <f t="shared" si="10"/>
        <v/>
      </c>
      <c r="Y79" s="63" t="str">
        <f t="shared" si="11"/>
        <v/>
      </c>
      <c r="Z79" s="58" t="str">
        <f t="shared" si="12"/>
        <v/>
      </c>
      <c r="AA79" s="66" t="str">
        <f t="shared" si="13"/>
        <v/>
      </c>
      <c r="AB79" s="62"/>
      <c r="AC79" s="62"/>
      <c r="AD79" s="63" t="str">
        <f>IFERROR(IF(OR($AB79="",$T79="",$T79=0),"",ROUND(ABS($N79-$AB79)*$S79*VLOOKUP($F79,'⚙️ Setelan'!$A$14:$F$20,4,FALSE)/$T79,2)),"")</f>
        <v/>
      </c>
      <c r="AE79" s="63" t="str">
        <f>IFERROR(IF(OR($AC79="",$T79="",$T79=0),"",ROUND(ABS($AC79-$N79)*$S79*VLOOKUP($F79,'⚙️ Setelan'!$A$14:$F$20,4,FALSE)/$T79,2)),"")</f>
        <v/>
      </c>
      <c r="AF79" s="61"/>
      <c r="AG79" s="61"/>
      <c r="AH79" s="61"/>
      <c r="AI79" s="61"/>
      <c r="AJ79" s="61"/>
      <c r="AK79" s="67"/>
      <c r="AL79" s="58" t="str">
        <f>IF(OR($C79="",$B79=""),"",IF(AND($Z78="Loss",$B79=$B78,MOD($C79-$D78,1)*1440&lt;'⚙️ Setelan'!$B$9),"⚠️ Revenge",""))</f>
        <v/>
      </c>
      <c r="AM79" s="68"/>
      <c r="AN79" s="58" t="str">
        <f>IF($AM79="","",IFERROR(_xlfn.IMAGE(IF(REGEXMATCH($AM79,"\.(png|jpg|jpeg|gif)$"),$AM79,"https://s3.tradingview.com/snapshots/"&amp;LOWER(MID(REGEXEXTRACT($AM79,"/x/([A-Za-z0-9]+)"),1,1))&amp;"/"&amp;REGEXEXTRACT($AM79,"/x/([A-Za-z0-9]+)")&amp;".png"),1),"⚠️ link tidak dikenali"))</f>
        <v/>
      </c>
      <c r="AO79" s="68"/>
      <c r="AP79" s="58" t="str">
        <f>IF($AO79="","",IFERROR(_xlfn.IMAGE(IF(REGEXMATCH($AO79,"\.(png|jpg|jpeg|gif)$"),$AO79,"https://s3.tradingview.com/snapshots/"&amp;LOWER(MID(REGEXEXTRACT($AO79,"/x/([A-Za-z0-9]+)"),1,1))&amp;"/"&amp;REGEXEXTRACT($AO79,"/x/([A-Za-z0-9]+)")&amp;".png"),1),"⚠️ link tidak dikenali"))</f>
        <v/>
      </c>
      <c r="AQ79" s="66">
        <f>IF($Z79="",0,IF(AND(OR('📊 Dashboard'!$B$4="(Semua)",$F79='📊 Dashboard'!$B$4),OR('📊 Dashboard'!$B$5="(Semua)",$H79='📊 Dashboard'!$B$5),OR('📊 Dashboard'!$B$6="(Semua)",$E79='📊 Dashboard'!$B$6),OR('📊 Dashboard'!$B$7="(Semua)",$AF79='📊 Dashboard'!$B$7),OR('📊 Dashboard'!$B$8="(Semua)",$AG79='📊 Dashboard'!$B$8),OR('📊 Dashboard'!$B$9="(Semua)",$K79='📊 Dashboard'!$B$9)),1,0))</f>
        <v>0</v>
      </c>
      <c r="AR79" s="69"/>
    </row>
    <row r="80" ht="58" customHeight="1" spans="1:44">
      <c r="A80" s="58" t="str">
        <f t="shared" si="7"/>
        <v/>
      </c>
      <c r="B80" s="59"/>
      <c r="C80" s="60"/>
      <c r="D80" s="60"/>
      <c r="E80" s="58" t="str">
        <f t="shared" si="8"/>
        <v/>
      </c>
      <c r="F80" s="61"/>
      <c r="G80" s="61"/>
      <c r="H80" s="61"/>
      <c r="I80" s="61"/>
      <c r="J80" s="61"/>
      <c r="K80" s="61"/>
      <c r="L80" s="61"/>
      <c r="M80" s="61"/>
      <c r="N80" s="62"/>
      <c r="O80" s="62"/>
      <c r="P80" s="62"/>
      <c r="Q80" s="62"/>
      <c r="R80" s="63" t="str">
        <f>IFERROR(IF(OR($N80="",$O80="",$F80=""),"",ROUND(('⚙️ Setelan'!$B$3*'⚙️ Setelan'!$B$4/100)/(ABS($N80-$O80)*VLOOKUP($F80,'⚙️ Setelan'!$A$14:$F$20,4,FALSE)),2)),"")</f>
        <v/>
      </c>
      <c r="S80" s="64"/>
      <c r="T80" s="65" t="str">
        <f>IFERROR(IF(OR($N80="",$O80="",$S80=""),"",ABS($N80-$O80)*$S80*VLOOKUP($F80,'⚙️ Setelan'!$A$14:$F$20,4,FALSE)),"")</f>
        <v/>
      </c>
      <c r="U80" s="63" t="str">
        <f t="shared" si="9"/>
        <v/>
      </c>
      <c r="V80" s="65" t="str">
        <f>IFERROR(IF(OR($Q80="",$N80="",$S80=""),"",($Q80-$N80)*IF($G80="Buy",1,-1)*$S80*VLOOKUP($F80,'⚙️ Setelan'!$A$14:$F$20,4,FALSE)),"")</f>
        <v/>
      </c>
      <c r="W80" s="65" t="str">
        <f>IFERROR(IF(OR($S80="",$F80=""),"",$S80*VLOOKUP($F80,'⚙️ Setelan'!$A$14:$F$20,5,FALSE)),"")</f>
        <v/>
      </c>
      <c r="X80" s="65" t="str">
        <f t="shared" si="10"/>
        <v/>
      </c>
      <c r="Y80" s="63" t="str">
        <f t="shared" si="11"/>
        <v/>
      </c>
      <c r="Z80" s="58" t="str">
        <f t="shared" si="12"/>
        <v/>
      </c>
      <c r="AA80" s="66" t="str">
        <f t="shared" si="13"/>
        <v/>
      </c>
      <c r="AB80" s="62"/>
      <c r="AC80" s="62"/>
      <c r="AD80" s="63" t="str">
        <f>IFERROR(IF(OR($AB80="",$T80="",$T80=0),"",ROUND(ABS($N80-$AB80)*$S80*VLOOKUP($F80,'⚙️ Setelan'!$A$14:$F$20,4,FALSE)/$T80,2)),"")</f>
        <v/>
      </c>
      <c r="AE80" s="63" t="str">
        <f>IFERROR(IF(OR($AC80="",$T80="",$T80=0),"",ROUND(ABS($AC80-$N80)*$S80*VLOOKUP($F80,'⚙️ Setelan'!$A$14:$F$20,4,FALSE)/$T80,2)),"")</f>
        <v/>
      </c>
      <c r="AF80" s="61"/>
      <c r="AG80" s="61"/>
      <c r="AH80" s="61"/>
      <c r="AI80" s="61"/>
      <c r="AJ80" s="61"/>
      <c r="AK80" s="67"/>
      <c r="AL80" s="58" t="str">
        <f>IF(OR($C80="",$B80=""),"",IF(AND($Z79="Loss",$B80=$B79,MOD($C80-$D79,1)*1440&lt;'⚙️ Setelan'!$B$9),"⚠️ Revenge",""))</f>
        <v/>
      </c>
      <c r="AM80" s="68"/>
      <c r="AN80" s="58" t="str">
        <f>IF($AM80="","",IFERROR(_xlfn.IMAGE(IF(REGEXMATCH($AM80,"\.(png|jpg|jpeg|gif)$"),$AM80,"https://s3.tradingview.com/snapshots/"&amp;LOWER(MID(REGEXEXTRACT($AM80,"/x/([A-Za-z0-9]+)"),1,1))&amp;"/"&amp;REGEXEXTRACT($AM80,"/x/([A-Za-z0-9]+)")&amp;".png"),1),"⚠️ link tidak dikenali"))</f>
        <v/>
      </c>
      <c r="AO80" s="68"/>
      <c r="AP80" s="58" t="str">
        <f>IF($AO80="","",IFERROR(_xlfn.IMAGE(IF(REGEXMATCH($AO80,"\.(png|jpg|jpeg|gif)$"),$AO80,"https://s3.tradingview.com/snapshots/"&amp;LOWER(MID(REGEXEXTRACT($AO80,"/x/([A-Za-z0-9]+)"),1,1))&amp;"/"&amp;REGEXEXTRACT($AO80,"/x/([A-Za-z0-9]+)")&amp;".png"),1),"⚠️ link tidak dikenali"))</f>
        <v/>
      </c>
      <c r="AQ80" s="66">
        <f>IF($Z80="",0,IF(AND(OR('📊 Dashboard'!$B$4="(Semua)",$F80='📊 Dashboard'!$B$4),OR('📊 Dashboard'!$B$5="(Semua)",$H80='📊 Dashboard'!$B$5),OR('📊 Dashboard'!$B$6="(Semua)",$E80='📊 Dashboard'!$B$6),OR('📊 Dashboard'!$B$7="(Semua)",$AF80='📊 Dashboard'!$B$7),OR('📊 Dashboard'!$B$8="(Semua)",$AG80='📊 Dashboard'!$B$8),OR('📊 Dashboard'!$B$9="(Semua)",$K80='📊 Dashboard'!$B$9)),1,0))</f>
        <v>0</v>
      </c>
      <c r="AR80" s="69"/>
    </row>
    <row r="81" ht="58" customHeight="1" spans="1:44">
      <c r="A81" s="58" t="str">
        <f t="shared" si="7"/>
        <v/>
      </c>
      <c r="B81" s="59"/>
      <c r="C81" s="60"/>
      <c r="D81" s="60"/>
      <c r="E81" s="58" t="str">
        <f t="shared" si="8"/>
        <v/>
      </c>
      <c r="F81" s="61"/>
      <c r="G81" s="61"/>
      <c r="H81" s="61"/>
      <c r="I81" s="61"/>
      <c r="J81" s="61"/>
      <c r="K81" s="61"/>
      <c r="L81" s="61"/>
      <c r="M81" s="61"/>
      <c r="N81" s="62"/>
      <c r="O81" s="62"/>
      <c r="P81" s="62"/>
      <c r="Q81" s="62"/>
      <c r="R81" s="63" t="str">
        <f>IFERROR(IF(OR($N81="",$O81="",$F81=""),"",ROUND(('⚙️ Setelan'!$B$3*'⚙️ Setelan'!$B$4/100)/(ABS($N81-$O81)*VLOOKUP($F81,'⚙️ Setelan'!$A$14:$F$20,4,FALSE)),2)),"")</f>
        <v/>
      </c>
      <c r="S81" s="64"/>
      <c r="T81" s="65" t="str">
        <f>IFERROR(IF(OR($N81="",$O81="",$S81=""),"",ABS($N81-$O81)*$S81*VLOOKUP($F81,'⚙️ Setelan'!$A$14:$F$20,4,FALSE)),"")</f>
        <v/>
      </c>
      <c r="U81" s="63" t="str">
        <f t="shared" si="9"/>
        <v/>
      </c>
      <c r="V81" s="65" t="str">
        <f>IFERROR(IF(OR($Q81="",$N81="",$S81=""),"",($Q81-$N81)*IF($G81="Buy",1,-1)*$S81*VLOOKUP($F81,'⚙️ Setelan'!$A$14:$F$20,4,FALSE)),"")</f>
        <v/>
      </c>
      <c r="W81" s="65" t="str">
        <f>IFERROR(IF(OR($S81="",$F81=""),"",$S81*VLOOKUP($F81,'⚙️ Setelan'!$A$14:$F$20,5,FALSE)),"")</f>
        <v/>
      </c>
      <c r="X81" s="65" t="str">
        <f t="shared" si="10"/>
        <v/>
      </c>
      <c r="Y81" s="63" t="str">
        <f t="shared" si="11"/>
        <v/>
      </c>
      <c r="Z81" s="58" t="str">
        <f t="shared" si="12"/>
        <v/>
      </c>
      <c r="AA81" s="66" t="str">
        <f t="shared" si="13"/>
        <v/>
      </c>
      <c r="AB81" s="62"/>
      <c r="AC81" s="62"/>
      <c r="AD81" s="63" t="str">
        <f>IFERROR(IF(OR($AB81="",$T81="",$T81=0),"",ROUND(ABS($N81-$AB81)*$S81*VLOOKUP($F81,'⚙️ Setelan'!$A$14:$F$20,4,FALSE)/$T81,2)),"")</f>
        <v/>
      </c>
      <c r="AE81" s="63" t="str">
        <f>IFERROR(IF(OR($AC81="",$T81="",$T81=0),"",ROUND(ABS($AC81-$N81)*$S81*VLOOKUP($F81,'⚙️ Setelan'!$A$14:$F$20,4,FALSE)/$T81,2)),"")</f>
        <v/>
      </c>
      <c r="AF81" s="61"/>
      <c r="AG81" s="61"/>
      <c r="AH81" s="61"/>
      <c r="AI81" s="61"/>
      <c r="AJ81" s="61"/>
      <c r="AK81" s="67"/>
      <c r="AL81" s="58" t="str">
        <f>IF(OR($C81="",$B81=""),"",IF(AND($Z80="Loss",$B81=$B80,MOD($C81-$D80,1)*1440&lt;'⚙️ Setelan'!$B$9),"⚠️ Revenge",""))</f>
        <v/>
      </c>
      <c r="AM81" s="68"/>
      <c r="AN81" s="58" t="str">
        <f>IF($AM81="","",IFERROR(_xlfn.IMAGE(IF(REGEXMATCH($AM81,"\.(png|jpg|jpeg|gif)$"),$AM81,"https://s3.tradingview.com/snapshots/"&amp;LOWER(MID(REGEXEXTRACT($AM81,"/x/([A-Za-z0-9]+)"),1,1))&amp;"/"&amp;REGEXEXTRACT($AM81,"/x/([A-Za-z0-9]+)")&amp;".png"),1),"⚠️ link tidak dikenali"))</f>
        <v/>
      </c>
      <c r="AO81" s="68"/>
      <c r="AP81" s="58" t="str">
        <f>IF($AO81="","",IFERROR(_xlfn.IMAGE(IF(REGEXMATCH($AO81,"\.(png|jpg|jpeg|gif)$"),$AO81,"https://s3.tradingview.com/snapshots/"&amp;LOWER(MID(REGEXEXTRACT($AO81,"/x/([A-Za-z0-9]+)"),1,1))&amp;"/"&amp;REGEXEXTRACT($AO81,"/x/([A-Za-z0-9]+)")&amp;".png"),1),"⚠️ link tidak dikenali"))</f>
        <v/>
      </c>
      <c r="AQ81" s="66">
        <f>IF($Z81="",0,IF(AND(OR('📊 Dashboard'!$B$4="(Semua)",$F81='📊 Dashboard'!$B$4),OR('📊 Dashboard'!$B$5="(Semua)",$H81='📊 Dashboard'!$B$5),OR('📊 Dashboard'!$B$6="(Semua)",$E81='📊 Dashboard'!$B$6),OR('📊 Dashboard'!$B$7="(Semua)",$AF81='📊 Dashboard'!$B$7),OR('📊 Dashboard'!$B$8="(Semua)",$AG81='📊 Dashboard'!$B$8),OR('📊 Dashboard'!$B$9="(Semua)",$K81='📊 Dashboard'!$B$9)),1,0))</f>
        <v>0</v>
      </c>
      <c r="AR81" s="69"/>
    </row>
    <row r="82" ht="58" customHeight="1" spans="1:44">
      <c r="A82" s="58" t="str">
        <f t="shared" si="7"/>
        <v/>
      </c>
      <c r="B82" s="59"/>
      <c r="C82" s="60"/>
      <c r="D82" s="60"/>
      <c r="E82" s="58" t="str">
        <f t="shared" si="8"/>
        <v/>
      </c>
      <c r="F82" s="61"/>
      <c r="G82" s="61"/>
      <c r="H82" s="61"/>
      <c r="I82" s="61"/>
      <c r="J82" s="61"/>
      <c r="K82" s="61"/>
      <c r="L82" s="61"/>
      <c r="M82" s="61"/>
      <c r="N82" s="62"/>
      <c r="O82" s="62"/>
      <c r="P82" s="62"/>
      <c r="Q82" s="62"/>
      <c r="R82" s="63" t="str">
        <f>IFERROR(IF(OR($N82="",$O82="",$F82=""),"",ROUND(('⚙️ Setelan'!$B$3*'⚙️ Setelan'!$B$4/100)/(ABS($N82-$O82)*VLOOKUP($F82,'⚙️ Setelan'!$A$14:$F$20,4,FALSE)),2)),"")</f>
        <v/>
      </c>
      <c r="S82" s="64"/>
      <c r="T82" s="65" t="str">
        <f>IFERROR(IF(OR($N82="",$O82="",$S82=""),"",ABS($N82-$O82)*$S82*VLOOKUP($F82,'⚙️ Setelan'!$A$14:$F$20,4,FALSE)),"")</f>
        <v/>
      </c>
      <c r="U82" s="63" t="str">
        <f t="shared" si="9"/>
        <v/>
      </c>
      <c r="V82" s="65" t="str">
        <f>IFERROR(IF(OR($Q82="",$N82="",$S82=""),"",($Q82-$N82)*IF($G82="Buy",1,-1)*$S82*VLOOKUP($F82,'⚙️ Setelan'!$A$14:$F$20,4,FALSE)),"")</f>
        <v/>
      </c>
      <c r="W82" s="65" t="str">
        <f>IFERROR(IF(OR($S82="",$F82=""),"",$S82*VLOOKUP($F82,'⚙️ Setelan'!$A$14:$F$20,5,FALSE)),"")</f>
        <v/>
      </c>
      <c r="X82" s="65" t="str">
        <f t="shared" si="10"/>
        <v/>
      </c>
      <c r="Y82" s="63" t="str">
        <f t="shared" si="11"/>
        <v/>
      </c>
      <c r="Z82" s="58" t="str">
        <f t="shared" si="12"/>
        <v/>
      </c>
      <c r="AA82" s="66" t="str">
        <f t="shared" si="13"/>
        <v/>
      </c>
      <c r="AB82" s="62"/>
      <c r="AC82" s="62"/>
      <c r="AD82" s="63" t="str">
        <f>IFERROR(IF(OR($AB82="",$T82="",$T82=0),"",ROUND(ABS($N82-$AB82)*$S82*VLOOKUP($F82,'⚙️ Setelan'!$A$14:$F$20,4,FALSE)/$T82,2)),"")</f>
        <v/>
      </c>
      <c r="AE82" s="63" t="str">
        <f>IFERROR(IF(OR($AC82="",$T82="",$T82=0),"",ROUND(ABS($AC82-$N82)*$S82*VLOOKUP($F82,'⚙️ Setelan'!$A$14:$F$20,4,FALSE)/$T82,2)),"")</f>
        <v/>
      </c>
      <c r="AF82" s="61"/>
      <c r="AG82" s="61"/>
      <c r="AH82" s="61"/>
      <c r="AI82" s="61"/>
      <c r="AJ82" s="61"/>
      <c r="AK82" s="67"/>
      <c r="AL82" s="58" t="str">
        <f>IF(OR($C82="",$B82=""),"",IF(AND($Z81="Loss",$B82=$B81,MOD($C82-$D81,1)*1440&lt;'⚙️ Setelan'!$B$9),"⚠️ Revenge",""))</f>
        <v/>
      </c>
      <c r="AM82" s="68"/>
      <c r="AN82" s="58" t="str">
        <f>IF($AM82="","",IFERROR(_xlfn.IMAGE(IF(REGEXMATCH($AM82,"\.(png|jpg|jpeg|gif)$"),$AM82,"https://s3.tradingview.com/snapshots/"&amp;LOWER(MID(REGEXEXTRACT($AM82,"/x/([A-Za-z0-9]+)"),1,1))&amp;"/"&amp;REGEXEXTRACT($AM82,"/x/([A-Za-z0-9]+)")&amp;".png"),1),"⚠️ link tidak dikenali"))</f>
        <v/>
      </c>
      <c r="AO82" s="68"/>
      <c r="AP82" s="58" t="str">
        <f>IF($AO82="","",IFERROR(_xlfn.IMAGE(IF(REGEXMATCH($AO82,"\.(png|jpg|jpeg|gif)$"),$AO82,"https://s3.tradingview.com/snapshots/"&amp;LOWER(MID(REGEXEXTRACT($AO82,"/x/([A-Za-z0-9]+)"),1,1))&amp;"/"&amp;REGEXEXTRACT($AO82,"/x/([A-Za-z0-9]+)")&amp;".png"),1),"⚠️ link tidak dikenali"))</f>
        <v/>
      </c>
      <c r="AQ82" s="66">
        <f>IF($Z82="",0,IF(AND(OR('📊 Dashboard'!$B$4="(Semua)",$F82='📊 Dashboard'!$B$4),OR('📊 Dashboard'!$B$5="(Semua)",$H82='📊 Dashboard'!$B$5),OR('📊 Dashboard'!$B$6="(Semua)",$E82='📊 Dashboard'!$B$6),OR('📊 Dashboard'!$B$7="(Semua)",$AF82='📊 Dashboard'!$B$7),OR('📊 Dashboard'!$B$8="(Semua)",$AG82='📊 Dashboard'!$B$8),OR('📊 Dashboard'!$B$9="(Semua)",$K82='📊 Dashboard'!$B$9)),1,0))</f>
        <v>0</v>
      </c>
      <c r="AR82" s="69"/>
    </row>
    <row r="83" ht="58" customHeight="1" spans="1:44">
      <c r="A83" s="58" t="str">
        <f t="shared" si="7"/>
        <v/>
      </c>
      <c r="B83" s="59"/>
      <c r="C83" s="60"/>
      <c r="D83" s="60"/>
      <c r="E83" s="58" t="str">
        <f t="shared" si="8"/>
        <v/>
      </c>
      <c r="F83" s="61"/>
      <c r="G83" s="61"/>
      <c r="H83" s="61"/>
      <c r="I83" s="61"/>
      <c r="J83" s="61"/>
      <c r="K83" s="61"/>
      <c r="L83" s="61"/>
      <c r="M83" s="61"/>
      <c r="N83" s="62"/>
      <c r="O83" s="62"/>
      <c r="P83" s="62"/>
      <c r="Q83" s="62"/>
      <c r="R83" s="63" t="str">
        <f>IFERROR(IF(OR($N83="",$O83="",$F83=""),"",ROUND(('⚙️ Setelan'!$B$3*'⚙️ Setelan'!$B$4/100)/(ABS($N83-$O83)*VLOOKUP($F83,'⚙️ Setelan'!$A$14:$F$20,4,FALSE)),2)),"")</f>
        <v/>
      </c>
      <c r="S83" s="64"/>
      <c r="T83" s="65" t="str">
        <f>IFERROR(IF(OR($N83="",$O83="",$S83=""),"",ABS($N83-$O83)*$S83*VLOOKUP($F83,'⚙️ Setelan'!$A$14:$F$20,4,FALSE)),"")</f>
        <v/>
      </c>
      <c r="U83" s="63" t="str">
        <f t="shared" si="9"/>
        <v/>
      </c>
      <c r="V83" s="65" t="str">
        <f>IFERROR(IF(OR($Q83="",$N83="",$S83=""),"",($Q83-$N83)*IF($G83="Buy",1,-1)*$S83*VLOOKUP($F83,'⚙️ Setelan'!$A$14:$F$20,4,FALSE)),"")</f>
        <v/>
      </c>
      <c r="W83" s="65" t="str">
        <f>IFERROR(IF(OR($S83="",$F83=""),"",$S83*VLOOKUP($F83,'⚙️ Setelan'!$A$14:$F$20,5,FALSE)),"")</f>
        <v/>
      </c>
      <c r="X83" s="65" t="str">
        <f t="shared" si="10"/>
        <v/>
      </c>
      <c r="Y83" s="63" t="str">
        <f t="shared" si="11"/>
        <v/>
      </c>
      <c r="Z83" s="58" t="str">
        <f t="shared" si="12"/>
        <v/>
      </c>
      <c r="AA83" s="66" t="str">
        <f t="shared" si="13"/>
        <v/>
      </c>
      <c r="AB83" s="62"/>
      <c r="AC83" s="62"/>
      <c r="AD83" s="63" t="str">
        <f>IFERROR(IF(OR($AB83="",$T83="",$T83=0),"",ROUND(ABS($N83-$AB83)*$S83*VLOOKUP($F83,'⚙️ Setelan'!$A$14:$F$20,4,FALSE)/$T83,2)),"")</f>
        <v/>
      </c>
      <c r="AE83" s="63" t="str">
        <f>IFERROR(IF(OR($AC83="",$T83="",$T83=0),"",ROUND(ABS($AC83-$N83)*$S83*VLOOKUP($F83,'⚙️ Setelan'!$A$14:$F$20,4,FALSE)/$T83,2)),"")</f>
        <v/>
      </c>
      <c r="AF83" s="61"/>
      <c r="AG83" s="61"/>
      <c r="AH83" s="61"/>
      <c r="AI83" s="61"/>
      <c r="AJ83" s="61"/>
      <c r="AK83" s="67"/>
      <c r="AL83" s="58" t="str">
        <f>IF(OR($C83="",$B83=""),"",IF(AND($Z82="Loss",$B83=$B82,MOD($C83-$D82,1)*1440&lt;'⚙️ Setelan'!$B$9),"⚠️ Revenge",""))</f>
        <v/>
      </c>
      <c r="AM83" s="68"/>
      <c r="AN83" s="58" t="str">
        <f>IF($AM83="","",IFERROR(_xlfn.IMAGE(IF(REGEXMATCH($AM83,"\.(png|jpg|jpeg|gif)$"),$AM83,"https://s3.tradingview.com/snapshots/"&amp;LOWER(MID(REGEXEXTRACT($AM83,"/x/([A-Za-z0-9]+)"),1,1))&amp;"/"&amp;REGEXEXTRACT($AM83,"/x/([A-Za-z0-9]+)")&amp;".png"),1),"⚠️ link tidak dikenali"))</f>
        <v/>
      </c>
      <c r="AO83" s="68"/>
      <c r="AP83" s="58" t="str">
        <f>IF($AO83="","",IFERROR(_xlfn.IMAGE(IF(REGEXMATCH($AO83,"\.(png|jpg|jpeg|gif)$"),$AO83,"https://s3.tradingview.com/snapshots/"&amp;LOWER(MID(REGEXEXTRACT($AO83,"/x/([A-Za-z0-9]+)"),1,1))&amp;"/"&amp;REGEXEXTRACT($AO83,"/x/([A-Za-z0-9]+)")&amp;".png"),1),"⚠️ link tidak dikenali"))</f>
        <v/>
      </c>
      <c r="AQ83" s="66">
        <f>IF($Z83="",0,IF(AND(OR('📊 Dashboard'!$B$4="(Semua)",$F83='📊 Dashboard'!$B$4),OR('📊 Dashboard'!$B$5="(Semua)",$H83='📊 Dashboard'!$B$5),OR('📊 Dashboard'!$B$6="(Semua)",$E83='📊 Dashboard'!$B$6),OR('📊 Dashboard'!$B$7="(Semua)",$AF83='📊 Dashboard'!$B$7),OR('📊 Dashboard'!$B$8="(Semua)",$AG83='📊 Dashboard'!$B$8),OR('📊 Dashboard'!$B$9="(Semua)",$K83='📊 Dashboard'!$B$9)),1,0))</f>
        <v>0</v>
      </c>
      <c r="AR83" s="69"/>
    </row>
    <row r="84" ht="58" customHeight="1" spans="1:44">
      <c r="A84" s="58" t="str">
        <f t="shared" si="7"/>
        <v/>
      </c>
      <c r="B84" s="59"/>
      <c r="C84" s="60"/>
      <c r="D84" s="60"/>
      <c r="E84" s="58" t="str">
        <f t="shared" si="8"/>
        <v/>
      </c>
      <c r="F84" s="61"/>
      <c r="G84" s="61"/>
      <c r="H84" s="61"/>
      <c r="I84" s="61"/>
      <c r="J84" s="61"/>
      <c r="K84" s="61"/>
      <c r="L84" s="61"/>
      <c r="M84" s="61"/>
      <c r="N84" s="62"/>
      <c r="O84" s="62"/>
      <c r="P84" s="62"/>
      <c r="Q84" s="62"/>
      <c r="R84" s="63" t="str">
        <f>IFERROR(IF(OR($N84="",$O84="",$F84=""),"",ROUND(('⚙️ Setelan'!$B$3*'⚙️ Setelan'!$B$4/100)/(ABS($N84-$O84)*VLOOKUP($F84,'⚙️ Setelan'!$A$14:$F$20,4,FALSE)),2)),"")</f>
        <v/>
      </c>
      <c r="S84" s="64"/>
      <c r="T84" s="65" t="str">
        <f>IFERROR(IF(OR($N84="",$O84="",$S84=""),"",ABS($N84-$O84)*$S84*VLOOKUP($F84,'⚙️ Setelan'!$A$14:$F$20,4,FALSE)),"")</f>
        <v/>
      </c>
      <c r="U84" s="63" t="str">
        <f t="shared" si="9"/>
        <v/>
      </c>
      <c r="V84" s="65" t="str">
        <f>IFERROR(IF(OR($Q84="",$N84="",$S84=""),"",($Q84-$N84)*IF($G84="Buy",1,-1)*$S84*VLOOKUP($F84,'⚙️ Setelan'!$A$14:$F$20,4,FALSE)),"")</f>
        <v/>
      </c>
      <c r="W84" s="65" t="str">
        <f>IFERROR(IF(OR($S84="",$F84=""),"",$S84*VLOOKUP($F84,'⚙️ Setelan'!$A$14:$F$20,5,FALSE)),"")</f>
        <v/>
      </c>
      <c r="X84" s="65" t="str">
        <f t="shared" si="10"/>
        <v/>
      </c>
      <c r="Y84" s="63" t="str">
        <f t="shared" si="11"/>
        <v/>
      </c>
      <c r="Z84" s="58" t="str">
        <f t="shared" si="12"/>
        <v/>
      </c>
      <c r="AA84" s="66" t="str">
        <f t="shared" si="13"/>
        <v/>
      </c>
      <c r="AB84" s="62"/>
      <c r="AC84" s="62"/>
      <c r="AD84" s="63" t="str">
        <f>IFERROR(IF(OR($AB84="",$T84="",$T84=0),"",ROUND(ABS($N84-$AB84)*$S84*VLOOKUP($F84,'⚙️ Setelan'!$A$14:$F$20,4,FALSE)/$T84,2)),"")</f>
        <v/>
      </c>
      <c r="AE84" s="63" t="str">
        <f>IFERROR(IF(OR($AC84="",$T84="",$T84=0),"",ROUND(ABS($AC84-$N84)*$S84*VLOOKUP($F84,'⚙️ Setelan'!$A$14:$F$20,4,FALSE)/$T84,2)),"")</f>
        <v/>
      </c>
      <c r="AF84" s="61"/>
      <c r="AG84" s="61"/>
      <c r="AH84" s="61"/>
      <c r="AI84" s="61"/>
      <c r="AJ84" s="61"/>
      <c r="AK84" s="67"/>
      <c r="AL84" s="58" t="str">
        <f>IF(OR($C84="",$B84=""),"",IF(AND($Z83="Loss",$B84=$B83,MOD($C84-$D83,1)*1440&lt;'⚙️ Setelan'!$B$9),"⚠️ Revenge",""))</f>
        <v/>
      </c>
      <c r="AM84" s="68"/>
      <c r="AN84" s="58" t="str">
        <f>IF($AM84="","",IFERROR(_xlfn.IMAGE(IF(REGEXMATCH($AM84,"\.(png|jpg|jpeg|gif)$"),$AM84,"https://s3.tradingview.com/snapshots/"&amp;LOWER(MID(REGEXEXTRACT($AM84,"/x/([A-Za-z0-9]+)"),1,1))&amp;"/"&amp;REGEXEXTRACT($AM84,"/x/([A-Za-z0-9]+)")&amp;".png"),1),"⚠️ link tidak dikenali"))</f>
        <v/>
      </c>
      <c r="AO84" s="68"/>
      <c r="AP84" s="58" t="str">
        <f>IF($AO84="","",IFERROR(_xlfn.IMAGE(IF(REGEXMATCH($AO84,"\.(png|jpg|jpeg|gif)$"),$AO84,"https://s3.tradingview.com/snapshots/"&amp;LOWER(MID(REGEXEXTRACT($AO84,"/x/([A-Za-z0-9]+)"),1,1))&amp;"/"&amp;REGEXEXTRACT($AO84,"/x/([A-Za-z0-9]+)")&amp;".png"),1),"⚠️ link tidak dikenali"))</f>
        <v/>
      </c>
      <c r="AQ84" s="66">
        <f>IF($Z84="",0,IF(AND(OR('📊 Dashboard'!$B$4="(Semua)",$F84='📊 Dashboard'!$B$4),OR('📊 Dashboard'!$B$5="(Semua)",$H84='📊 Dashboard'!$B$5),OR('📊 Dashboard'!$B$6="(Semua)",$E84='📊 Dashboard'!$B$6),OR('📊 Dashboard'!$B$7="(Semua)",$AF84='📊 Dashboard'!$B$7),OR('📊 Dashboard'!$B$8="(Semua)",$AG84='📊 Dashboard'!$B$8),OR('📊 Dashboard'!$B$9="(Semua)",$K84='📊 Dashboard'!$B$9)),1,0))</f>
        <v>0</v>
      </c>
      <c r="AR84" s="69"/>
    </row>
    <row r="85" ht="58" customHeight="1" spans="1:44">
      <c r="A85" s="58" t="str">
        <f t="shared" si="7"/>
        <v/>
      </c>
      <c r="B85" s="59"/>
      <c r="C85" s="60"/>
      <c r="D85" s="60"/>
      <c r="E85" s="58" t="str">
        <f t="shared" si="8"/>
        <v/>
      </c>
      <c r="F85" s="61"/>
      <c r="G85" s="61"/>
      <c r="H85" s="61"/>
      <c r="I85" s="61"/>
      <c r="J85" s="61"/>
      <c r="K85" s="61"/>
      <c r="L85" s="61"/>
      <c r="M85" s="61"/>
      <c r="N85" s="62"/>
      <c r="O85" s="62"/>
      <c r="P85" s="62"/>
      <c r="Q85" s="62"/>
      <c r="R85" s="63" t="str">
        <f>IFERROR(IF(OR($N85="",$O85="",$F85=""),"",ROUND(('⚙️ Setelan'!$B$3*'⚙️ Setelan'!$B$4/100)/(ABS($N85-$O85)*VLOOKUP($F85,'⚙️ Setelan'!$A$14:$F$20,4,FALSE)),2)),"")</f>
        <v/>
      </c>
      <c r="S85" s="64"/>
      <c r="T85" s="65" t="str">
        <f>IFERROR(IF(OR($N85="",$O85="",$S85=""),"",ABS($N85-$O85)*$S85*VLOOKUP($F85,'⚙️ Setelan'!$A$14:$F$20,4,FALSE)),"")</f>
        <v/>
      </c>
      <c r="U85" s="63" t="str">
        <f t="shared" si="9"/>
        <v/>
      </c>
      <c r="V85" s="65" t="str">
        <f>IFERROR(IF(OR($Q85="",$N85="",$S85=""),"",($Q85-$N85)*IF($G85="Buy",1,-1)*$S85*VLOOKUP($F85,'⚙️ Setelan'!$A$14:$F$20,4,FALSE)),"")</f>
        <v/>
      </c>
      <c r="W85" s="65" t="str">
        <f>IFERROR(IF(OR($S85="",$F85=""),"",$S85*VLOOKUP($F85,'⚙️ Setelan'!$A$14:$F$20,5,FALSE)),"")</f>
        <v/>
      </c>
      <c r="X85" s="65" t="str">
        <f t="shared" si="10"/>
        <v/>
      </c>
      <c r="Y85" s="63" t="str">
        <f t="shared" si="11"/>
        <v/>
      </c>
      <c r="Z85" s="58" t="str">
        <f t="shared" si="12"/>
        <v/>
      </c>
      <c r="AA85" s="66" t="str">
        <f t="shared" si="13"/>
        <v/>
      </c>
      <c r="AB85" s="62"/>
      <c r="AC85" s="62"/>
      <c r="AD85" s="63" t="str">
        <f>IFERROR(IF(OR($AB85="",$T85="",$T85=0),"",ROUND(ABS($N85-$AB85)*$S85*VLOOKUP($F85,'⚙️ Setelan'!$A$14:$F$20,4,FALSE)/$T85,2)),"")</f>
        <v/>
      </c>
      <c r="AE85" s="63" t="str">
        <f>IFERROR(IF(OR($AC85="",$T85="",$T85=0),"",ROUND(ABS($AC85-$N85)*$S85*VLOOKUP($F85,'⚙️ Setelan'!$A$14:$F$20,4,FALSE)/$T85,2)),"")</f>
        <v/>
      </c>
      <c r="AF85" s="61"/>
      <c r="AG85" s="61"/>
      <c r="AH85" s="61"/>
      <c r="AI85" s="61"/>
      <c r="AJ85" s="61"/>
      <c r="AK85" s="67"/>
      <c r="AL85" s="58" t="str">
        <f>IF(OR($C85="",$B85=""),"",IF(AND($Z84="Loss",$B85=$B84,MOD($C85-$D84,1)*1440&lt;'⚙️ Setelan'!$B$9),"⚠️ Revenge",""))</f>
        <v/>
      </c>
      <c r="AM85" s="68"/>
      <c r="AN85" s="58" t="str">
        <f>IF($AM85="","",IFERROR(_xlfn.IMAGE(IF(REGEXMATCH($AM85,"\.(png|jpg|jpeg|gif)$"),$AM85,"https://s3.tradingview.com/snapshots/"&amp;LOWER(MID(REGEXEXTRACT($AM85,"/x/([A-Za-z0-9]+)"),1,1))&amp;"/"&amp;REGEXEXTRACT($AM85,"/x/([A-Za-z0-9]+)")&amp;".png"),1),"⚠️ link tidak dikenali"))</f>
        <v/>
      </c>
      <c r="AO85" s="68"/>
      <c r="AP85" s="58" t="str">
        <f>IF($AO85="","",IFERROR(_xlfn.IMAGE(IF(REGEXMATCH($AO85,"\.(png|jpg|jpeg|gif)$"),$AO85,"https://s3.tradingview.com/snapshots/"&amp;LOWER(MID(REGEXEXTRACT($AO85,"/x/([A-Za-z0-9]+)"),1,1))&amp;"/"&amp;REGEXEXTRACT($AO85,"/x/([A-Za-z0-9]+)")&amp;".png"),1),"⚠️ link tidak dikenali"))</f>
        <v/>
      </c>
      <c r="AQ85" s="66">
        <f>IF($Z85="",0,IF(AND(OR('📊 Dashboard'!$B$4="(Semua)",$F85='📊 Dashboard'!$B$4),OR('📊 Dashboard'!$B$5="(Semua)",$H85='📊 Dashboard'!$B$5),OR('📊 Dashboard'!$B$6="(Semua)",$E85='📊 Dashboard'!$B$6),OR('📊 Dashboard'!$B$7="(Semua)",$AF85='📊 Dashboard'!$B$7),OR('📊 Dashboard'!$B$8="(Semua)",$AG85='📊 Dashboard'!$B$8),OR('📊 Dashboard'!$B$9="(Semua)",$K85='📊 Dashboard'!$B$9)),1,0))</f>
        <v>0</v>
      </c>
      <c r="AR85" s="69"/>
    </row>
    <row r="86" ht="58" customHeight="1" spans="1:44">
      <c r="A86" s="58" t="str">
        <f t="shared" si="7"/>
        <v/>
      </c>
      <c r="B86" s="59"/>
      <c r="C86" s="60"/>
      <c r="D86" s="60"/>
      <c r="E86" s="58" t="str">
        <f t="shared" si="8"/>
        <v/>
      </c>
      <c r="F86" s="61"/>
      <c r="G86" s="61"/>
      <c r="H86" s="61"/>
      <c r="I86" s="61"/>
      <c r="J86" s="61"/>
      <c r="K86" s="61"/>
      <c r="L86" s="61"/>
      <c r="M86" s="61"/>
      <c r="N86" s="62"/>
      <c r="O86" s="62"/>
      <c r="P86" s="62"/>
      <c r="Q86" s="62"/>
      <c r="R86" s="63" t="str">
        <f>IFERROR(IF(OR($N86="",$O86="",$F86=""),"",ROUND(('⚙️ Setelan'!$B$3*'⚙️ Setelan'!$B$4/100)/(ABS($N86-$O86)*VLOOKUP($F86,'⚙️ Setelan'!$A$14:$F$20,4,FALSE)),2)),"")</f>
        <v/>
      </c>
      <c r="S86" s="64"/>
      <c r="T86" s="65" t="str">
        <f>IFERROR(IF(OR($N86="",$O86="",$S86=""),"",ABS($N86-$O86)*$S86*VLOOKUP($F86,'⚙️ Setelan'!$A$14:$F$20,4,FALSE)),"")</f>
        <v/>
      </c>
      <c r="U86" s="63" t="str">
        <f t="shared" si="9"/>
        <v/>
      </c>
      <c r="V86" s="65" t="str">
        <f>IFERROR(IF(OR($Q86="",$N86="",$S86=""),"",($Q86-$N86)*IF($G86="Buy",1,-1)*$S86*VLOOKUP($F86,'⚙️ Setelan'!$A$14:$F$20,4,FALSE)),"")</f>
        <v/>
      </c>
      <c r="W86" s="65" t="str">
        <f>IFERROR(IF(OR($S86="",$F86=""),"",$S86*VLOOKUP($F86,'⚙️ Setelan'!$A$14:$F$20,5,FALSE)),"")</f>
        <v/>
      </c>
      <c r="X86" s="65" t="str">
        <f t="shared" si="10"/>
        <v/>
      </c>
      <c r="Y86" s="63" t="str">
        <f t="shared" si="11"/>
        <v/>
      </c>
      <c r="Z86" s="58" t="str">
        <f t="shared" si="12"/>
        <v/>
      </c>
      <c r="AA86" s="66" t="str">
        <f t="shared" si="13"/>
        <v/>
      </c>
      <c r="AB86" s="62"/>
      <c r="AC86" s="62"/>
      <c r="AD86" s="63" t="str">
        <f>IFERROR(IF(OR($AB86="",$T86="",$T86=0),"",ROUND(ABS($N86-$AB86)*$S86*VLOOKUP($F86,'⚙️ Setelan'!$A$14:$F$20,4,FALSE)/$T86,2)),"")</f>
        <v/>
      </c>
      <c r="AE86" s="63" t="str">
        <f>IFERROR(IF(OR($AC86="",$T86="",$T86=0),"",ROUND(ABS($AC86-$N86)*$S86*VLOOKUP($F86,'⚙️ Setelan'!$A$14:$F$20,4,FALSE)/$T86,2)),"")</f>
        <v/>
      </c>
      <c r="AF86" s="61"/>
      <c r="AG86" s="61"/>
      <c r="AH86" s="61"/>
      <c r="AI86" s="61"/>
      <c r="AJ86" s="61"/>
      <c r="AK86" s="67"/>
      <c r="AL86" s="58" t="str">
        <f>IF(OR($C86="",$B86=""),"",IF(AND($Z85="Loss",$B86=$B85,MOD($C86-$D85,1)*1440&lt;'⚙️ Setelan'!$B$9),"⚠️ Revenge",""))</f>
        <v/>
      </c>
      <c r="AM86" s="68"/>
      <c r="AN86" s="58" t="str">
        <f>IF($AM86="","",IFERROR(_xlfn.IMAGE(IF(REGEXMATCH($AM86,"\.(png|jpg|jpeg|gif)$"),$AM86,"https://s3.tradingview.com/snapshots/"&amp;LOWER(MID(REGEXEXTRACT($AM86,"/x/([A-Za-z0-9]+)"),1,1))&amp;"/"&amp;REGEXEXTRACT($AM86,"/x/([A-Za-z0-9]+)")&amp;".png"),1),"⚠️ link tidak dikenali"))</f>
        <v/>
      </c>
      <c r="AO86" s="68"/>
      <c r="AP86" s="58" t="str">
        <f>IF($AO86="","",IFERROR(_xlfn.IMAGE(IF(REGEXMATCH($AO86,"\.(png|jpg|jpeg|gif)$"),$AO86,"https://s3.tradingview.com/snapshots/"&amp;LOWER(MID(REGEXEXTRACT($AO86,"/x/([A-Za-z0-9]+)"),1,1))&amp;"/"&amp;REGEXEXTRACT($AO86,"/x/([A-Za-z0-9]+)")&amp;".png"),1),"⚠️ link tidak dikenali"))</f>
        <v/>
      </c>
      <c r="AQ86" s="66">
        <f>IF($Z86="",0,IF(AND(OR('📊 Dashboard'!$B$4="(Semua)",$F86='📊 Dashboard'!$B$4),OR('📊 Dashboard'!$B$5="(Semua)",$H86='📊 Dashboard'!$B$5),OR('📊 Dashboard'!$B$6="(Semua)",$E86='📊 Dashboard'!$B$6),OR('📊 Dashboard'!$B$7="(Semua)",$AF86='📊 Dashboard'!$B$7),OR('📊 Dashboard'!$B$8="(Semua)",$AG86='📊 Dashboard'!$B$8),OR('📊 Dashboard'!$B$9="(Semua)",$K86='📊 Dashboard'!$B$9)),1,0))</f>
        <v>0</v>
      </c>
      <c r="AR86" s="69"/>
    </row>
    <row r="87" ht="58" customHeight="1" spans="1:44">
      <c r="A87" s="58" t="str">
        <f t="shared" si="7"/>
        <v/>
      </c>
      <c r="B87" s="59"/>
      <c r="C87" s="60"/>
      <c r="D87" s="60"/>
      <c r="E87" s="58" t="str">
        <f t="shared" si="8"/>
        <v/>
      </c>
      <c r="F87" s="61"/>
      <c r="G87" s="61"/>
      <c r="H87" s="61"/>
      <c r="I87" s="61"/>
      <c r="J87" s="61"/>
      <c r="K87" s="61"/>
      <c r="L87" s="61"/>
      <c r="M87" s="61"/>
      <c r="N87" s="62"/>
      <c r="O87" s="62"/>
      <c r="P87" s="62"/>
      <c r="Q87" s="62"/>
      <c r="R87" s="63" t="str">
        <f>IFERROR(IF(OR($N87="",$O87="",$F87=""),"",ROUND(('⚙️ Setelan'!$B$3*'⚙️ Setelan'!$B$4/100)/(ABS($N87-$O87)*VLOOKUP($F87,'⚙️ Setelan'!$A$14:$F$20,4,FALSE)),2)),"")</f>
        <v/>
      </c>
      <c r="S87" s="64"/>
      <c r="T87" s="65" t="str">
        <f>IFERROR(IF(OR($N87="",$O87="",$S87=""),"",ABS($N87-$O87)*$S87*VLOOKUP($F87,'⚙️ Setelan'!$A$14:$F$20,4,FALSE)),"")</f>
        <v/>
      </c>
      <c r="U87" s="63" t="str">
        <f t="shared" si="9"/>
        <v/>
      </c>
      <c r="V87" s="65" t="str">
        <f>IFERROR(IF(OR($Q87="",$N87="",$S87=""),"",($Q87-$N87)*IF($G87="Buy",1,-1)*$S87*VLOOKUP($F87,'⚙️ Setelan'!$A$14:$F$20,4,FALSE)),"")</f>
        <v/>
      </c>
      <c r="W87" s="65" t="str">
        <f>IFERROR(IF(OR($S87="",$F87=""),"",$S87*VLOOKUP($F87,'⚙️ Setelan'!$A$14:$F$20,5,FALSE)),"")</f>
        <v/>
      </c>
      <c r="X87" s="65" t="str">
        <f t="shared" si="10"/>
        <v/>
      </c>
      <c r="Y87" s="63" t="str">
        <f t="shared" si="11"/>
        <v/>
      </c>
      <c r="Z87" s="58" t="str">
        <f t="shared" si="12"/>
        <v/>
      </c>
      <c r="AA87" s="66" t="str">
        <f t="shared" si="13"/>
        <v/>
      </c>
      <c r="AB87" s="62"/>
      <c r="AC87" s="62"/>
      <c r="AD87" s="63" t="str">
        <f>IFERROR(IF(OR($AB87="",$T87="",$T87=0),"",ROUND(ABS($N87-$AB87)*$S87*VLOOKUP($F87,'⚙️ Setelan'!$A$14:$F$20,4,FALSE)/$T87,2)),"")</f>
        <v/>
      </c>
      <c r="AE87" s="63" t="str">
        <f>IFERROR(IF(OR($AC87="",$T87="",$T87=0),"",ROUND(ABS($AC87-$N87)*$S87*VLOOKUP($F87,'⚙️ Setelan'!$A$14:$F$20,4,FALSE)/$T87,2)),"")</f>
        <v/>
      </c>
      <c r="AF87" s="61"/>
      <c r="AG87" s="61"/>
      <c r="AH87" s="61"/>
      <c r="AI87" s="61"/>
      <c r="AJ87" s="61"/>
      <c r="AK87" s="67"/>
      <c r="AL87" s="58" t="str">
        <f>IF(OR($C87="",$B87=""),"",IF(AND($Z86="Loss",$B87=$B86,MOD($C87-$D86,1)*1440&lt;'⚙️ Setelan'!$B$9),"⚠️ Revenge",""))</f>
        <v/>
      </c>
      <c r="AM87" s="68"/>
      <c r="AN87" s="58" t="str">
        <f>IF($AM87="","",IFERROR(_xlfn.IMAGE(IF(REGEXMATCH($AM87,"\.(png|jpg|jpeg|gif)$"),$AM87,"https://s3.tradingview.com/snapshots/"&amp;LOWER(MID(REGEXEXTRACT($AM87,"/x/([A-Za-z0-9]+)"),1,1))&amp;"/"&amp;REGEXEXTRACT($AM87,"/x/([A-Za-z0-9]+)")&amp;".png"),1),"⚠️ link tidak dikenali"))</f>
        <v/>
      </c>
      <c r="AO87" s="68"/>
      <c r="AP87" s="58" t="str">
        <f>IF($AO87="","",IFERROR(_xlfn.IMAGE(IF(REGEXMATCH($AO87,"\.(png|jpg|jpeg|gif)$"),$AO87,"https://s3.tradingview.com/snapshots/"&amp;LOWER(MID(REGEXEXTRACT($AO87,"/x/([A-Za-z0-9]+)"),1,1))&amp;"/"&amp;REGEXEXTRACT($AO87,"/x/([A-Za-z0-9]+)")&amp;".png"),1),"⚠️ link tidak dikenali"))</f>
        <v/>
      </c>
      <c r="AQ87" s="66">
        <f>IF($Z87="",0,IF(AND(OR('📊 Dashboard'!$B$4="(Semua)",$F87='📊 Dashboard'!$B$4),OR('📊 Dashboard'!$B$5="(Semua)",$H87='📊 Dashboard'!$B$5),OR('📊 Dashboard'!$B$6="(Semua)",$E87='📊 Dashboard'!$B$6),OR('📊 Dashboard'!$B$7="(Semua)",$AF87='📊 Dashboard'!$B$7),OR('📊 Dashboard'!$B$8="(Semua)",$AG87='📊 Dashboard'!$B$8),OR('📊 Dashboard'!$B$9="(Semua)",$K87='📊 Dashboard'!$B$9)),1,0))</f>
        <v>0</v>
      </c>
      <c r="AR87" s="69"/>
    </row>
    <row r="88" ht="58" customHeight="1" spans="1:44">
      <c r="A88" s="58" t="str">
        <f t="shared" si="7"/>
        <v/>
      </c>
      <c r="B88" s="59"/>
      <c r="C88" s="60"/>
      <c r="D88" s="60"/>
      <c r="E88" s="58" t="str">
        <f t="shared" si="8"/>
        <v/>
      </c>
      <c r="F88" s="61"/>
      <c r="G88" s="61"/>
      <c r="H88" s="61"/>
      <c r="I88" s="61"/>
      <c r="J88" s="61"/>
      <c r="K88" s="61"/>
      <c r="L88" s="61"/>
      <c r="M88" s="61"/>
      <c r="N88" s="62"/>
      <c r="O88" s="62"/>
      <c r="P88" s="62"/>
      <c r="Q88" s="62"/>
      <c r="R88" s="63" t="str">
        <f>IFERROR(IF(OR($N88="",$O88="",$F88=""),"",ROUND(('⚙️ Setelan'!$B$3*'⚙️ Setelan'!$B$4/100)/(ABS($N88-$O88)*VLOOKUP($F88,'⚙️ Setelan'!$A$14:$F$20,4,FALSE)),2)),"")</f>
        <v/>
      </c>
      <c r="S88" s="64"/>
      <c r="T88" s="65" t="str">
        <f>IFERROR(IF(OR($N88="",$O88="",$S88=""),"",ABS($N88-$O88)*$S88*VLOOKUP($F88,'⚙️ Setelan'!$A$14:$F$20,4,FALSE)),"")</f>
        <v/>
      </c>
      <c r="U88" s="63" t="str">
        <f t="shared" si="9"/>
        <v/>
      </c>
      <c r="V88" s="65" t="str">
        <f>IFERROR(IF(OR($Q88="",$N88="",$S88=""),"",($Q88-$N88)*IF($G88="Buy",1,-1)*$S88*VLOOKUP($F88,'⚙️ Setelan'!$A$14:$F$20,4,FALSE)),"")</f>
        <v/>
      </c>
      <c r="W88" s="65" t="str">
        <f>IFERROR(IF(OR($S88="",$F88=""),"",$S88*VLOOKUP($F88,'⚙️ Setelan'!$A$14:$F$20,5,FALSE)),"")</f>
        <v/>
      </c>
      <c r="X88" s="65" t="str">
        <f t="shared" si="10"/>
        <v/>
      </c>
      <c r="Y88" s="63" t="str">
        <f t="shared" si="11"/>
        <v/>
      </c>
      <c r="Z88" s="58" t="str">
        <f t="shared" si="12"/>
        <v/>
      </c>
      <c r="AA88" s="66" t="str">
        <f t="shared" si="13"/>
        <v/>
      </c>
      <c r="AB88" s="62"/>
      <c r="AC88" s="62"/>
      <c r="AD88" s="63" t="str">
        <f>IFERROR(IF(OR($AB88="",$T88="",$T88=0),"",ROUND(ABS($N88-$AB88)*$S88*VLOOKUP($F88,'⚙️ Setelan'!$A$14:$F$20,4,FALSE)/$T88,2)),"")</f>
        <v/>
      </c>
      <c r="AE88" s="63" t="str">
        <f>IFERROR(IF(OR($AC88="",$T88="",$T88=0),"",ROUND(ABS($AC88-$N88)*$S88*VLOOKUP($F88,'⚙️ Setelan'!$A$14:$F$20,4,FALSE)/$T88,2)),"")</f>
        <v/>
      </c>
      <c r="AF88" s="61"/>
      <c r="AG88" s="61"/>
      <c r="AH88" s="61"/>
      <c r="AI88" s="61"/>
      <c r="AJ88" s="61"/>
      <c r="AK88" s="67"/>
      <c r="AL88" s="58" t="str">
        <f>IF(OR($C88="",$B88=""),"",IF(AND($Z87="Loss",$B88=$B87,MOD($C88-$D87,1)*1440&lt;'⚙️ Setelan'!$B$9),"⚠️ Revenge",""))</f>
        <v/>
      </c>
      <c r="AM88" s="68"/>
      <c r="AN88" s="58" t="str">
        <f>IF($AM88="","",IFERROR(_xlfn.IMAGE(IF(REGEXMATCH($AM88,"\.(png|jpg|jpeg|gif)$"),$AM88,"https://s3.tradingview.com/snapshots/"&amp;LOWER(MID(REGEXEXTRACT($AM88,"/x/([A-Za-z0-9]+)"),1,1))&amp;"/"&amp;REGEXEXTRACT($AM88,"/x/([A-Za-z0-9]+)")&amp;".png"),1),"⚠️ link tidak dikenali"))</f>
        <v/>
      </c>
      <c r="AO88" s="68"/>
      <c r="AP88" s="58" t="str">
        <f>IF($AO88="","",IFERROR(_xlfn.IMAGE(IF(REGEXMATCH($AO88,"\.(png|jpg|jpeg|gif)$"),$AO88,"https://s3.tradingview.com/snapshots/"&amp;LOWER(MID(REGEXEXTRACT($AO88,"/x/([A-Za-z0-9]+)"),1,1))&amp;"/"&amp;REGEXEXTRACT($AO88,"/x/([A-Za-z0-9]+)")&amp;".png"),1),"⚠️ link tidak dikenali"))</f>
        <v/>
      </c>
      <c r="AQ88" s="66">
        <f>IF($Z88="",0,IF(AND(OR('📊 Dashboard'!$B$4="(Semua)",$F88='📊 Dashboard'!$B$4),OR('📊 Dashboard'!$B$5="(Semua)",$H88='📊 Dashboard'!$B$5),OR('📊 Dashboard'!$B$6="(Semua)",$E88='📊 Dashboard'!$B$6),OR('📊 Dashboard'!$B$7="(Semua)",$AF88='📊 Dashboard'!$B$7),OR('📊 Dashboard'!$B$8="(Semua)",$AG88='📊 Dashboard'!$B$8),OR('📊 Dashboard'!$B$9="(Semua)",$K88='📊 Dashboard'!$B$9)),1,0))</f>
        <v>0</v>
      </c>
      <c r="AR88" s="69"/>
    </row>
    <row r="89" ht="58" customHeight="1" spans="1:44">
      <c r="A89" s="58" t="str">
        <f t="shared" si="7"/>
        <v/>
      </c>
      <c r="B89" s="59"/>
      <c r="C89" s="60"/>
      <c r="D89" s="60"/>
      <c r="E89" s="58" t="str">
        <f t="shared" si="8"/>
        <v/>
      </c>
      <c r="F89" s="61"/>
      <c r="G89" s="61"/>
      <c r="H89" s="61"/>
      <c r="I89" s="61"/>
      <c r="J89" s="61"/>
      <c r="K89" s="61"/>
      <c r="L89" s="61"/>
      <c r="M89" s="61"/>
      <c r="N89" s="62"/>
      <c r="O89" s="62"/>
      <c r="P89" s="62"/>
      <c r="Q89" s="62"/>
      <c r="R89" s="63" t="str">
        <f>IFERROR(IF(OR($N89="",$O89="",$F89=""),"",ROUND(('⚙️ Setelan'!$B$3*'⚙️ Setelan'!$B$4/100)/(ABS($N89-$O89)*VLOOKUP($F89,'⚙️ Setelan'!$A$14:$F$20,4,FALSE)),2)),"")</f>
        <v/>
      </c>
      <c r="S89" s="64"/>
      <c r="T89" s="65" t="str">
        <f>IFERROR(IF(OR($N89="",$O89="",$S89=""),"",ABS($N89-$O89)*$S89*VLOOKUP($F89,'⚙️ Setelan'!$A$14:$F$20,4,FALSE)),"")</f>
        <v/>
      </c>
      <c r="U89" s="63" t="str">
        <f t="shared" si="9"/>
        <v/>
      </c>
      <c r="V89" s="65" t="str">
        <f>IFERROR(IF(OR($Q89="",$N89="",$S89=""),"",($Q89-$N89)*IF($G89="Buy",1,-1)*$S89*VLOOKUP($F89,'⚙️ Setelan'!$A$14:$F$20,4,FALSE)),"")</f>
        <v/>
      </c>
      <c r="W89" s="65" t="str">
        <f>IFERROR(IF(OR($S89="",$F89=""),"",$S89*VLOOKUP($F89,'⚙️ Setelan'!$A$14:$F$20,5,FALSE)),"")</f>
        <v/>
      </c>
      <c r="X89" s="65" t="str">
        <f t="shared" si="10"/>
        <v/>
      </c>
      <c r="Y89" s="63" t="str">
        <f t="shared" si="11"/>
        <v/>
      </c>
      <c r="Z89" s="58" t="str">
        <f t="shared" si="12"/>
        <v/>
      </c>
      <c r="AA89" s="66" t="str">
        <f t="shared" si="13"/>
        <v/>
      </c>
      <c r="AB89" s="62"/>
      <c r="AC89" s="62"/>
      <c r="AD89" s="63" t="str">
        <f>IFERROR(IF(OR($AB89="",$T89="",$T89=0),"",ROUND(ABS($N89-$AB89)*$S89*VLOOKUP($F89,'⚙️ Setelan'!$A$14:$F$20,4,FALSE)/$T89,2)),"")</f>
        <v/>
      </c>
      <c r="AE89" s="63" t="str">
        <f>IFERROR(IF(OR($AC89="",$T89="",$T89=0),"",ROUND(ABS($AC89-$N89)*$S89*VLOOKUP($F89,'⚙️ Setelan'!$A$14:$F$20,4,FALSE)/$T89,2)),"")</f>
        <v/>
      </c>
      <c r="AF89" s="61"/>
      <c r="AG89" s="61"/>
      <c r="AH89" s="61"/>
      <c r="AI89" s="61"/>
      <c r="AJ89" s="61"/>
      <c r="AK89" s="67"/>
      <c r="AL89" s="58" t="str">
        <f>IF(OR($C89="",$B89=""),"",IF(AND($Z88="Loss",$B89=$B88,MOD($C89-$D88,1)*1440&lt;'⚙️ Setelan'!$B$9),"⚠️ Revenge",""))</f>
        <v/>
      </c>
      <c r="AM89" s="68"/>
      <c r="AN89" s="58" t="str">
        <f>IF($AM89="","",IFERROR(_xlfn.IMAGE(IF(REGEXMATCH($AM89,"\.(png|jpg|jpeg|gif)$"),$AM89,"https://s3.tradingview.com/snapshots/"&amp;LOWER(MID(REGEXEXTRACT($AM89,"/x/([A-Za-z0-9]+)"),1,1))&amp;"/"&amp;REGEXEXTRACT($AM89,"/x/([A-Za-z0-9]+)")&amp;".png"),1),"⚠️ link tidak dikenali"))</f>
        <v/>
      </c>
      <c r="AO89" s="68"/>
      <c r="AP89" s="58" t="str">
        <f>IF($AO89="","",IFERROR(_xlfn.IMAGE(IF(REGEXMATCH($AO89,"\.(png|jpg|jpeg|gif)$"),$AO89,"https://s3.tradingview.com/snapshots/"&amp;LOWER(MID(REGEXEXTRACT($AO89,"/x/([A-Za-z0-9]+)"),1,1))&amp;"/"&amp;REGEXEXTRACT($AO89,"/x/([A-Za-z0-9]+)")&amp;".png"),1),"⚠️ link tidak dikenali"))</f>
        <v/>
      </c>
      <c r="AQ89" s="66">
        <f>IF($Z89="",0,IF(AND(OR('📊 Dashboard'!$B$4="(Semua)",$F89='📊 Dashboard'!$B$4),OR('📊 Dashboard'!$B$5="(Semua)",$H89='📊 Dashboard'!$B$5),OR('📊 Dashboard'!$B$6="(Semua)",$E89='📊 Dashboard'!$B$6),OR('📊 Dashboard'!$B$7="(Semua)",$AF89='📊 Dashboard'!$B$7),OR('📊 Dashboard'!$B$8="(Semua)",$AG89='📊 Dashboard'!$B$8),OR('📊 Dashboard'!$B$9="(Semua)",$K89='📊 Dashboard'!$B$9)),1,0))</f>
        <v>0</v>
      </c>
      <c r="AR89" s="69"/>
    </row>
    <row r="90" ht="58" customHeight="1" spans="1:44">
      <c r="A90" s="58" t="str">
        <f t="shared" si="7"/>
        <v/>
      </c>
      <c r="B90" s="59"/>
      <c r="C90" s="60"/>
      <c r="D90" s="60"/>
      <c r="E90" s="58" t="str">
        <f t="shared" si="8"/>
        <v/>
      </c>
      <c r="F90" s="61"/>
      <c r="G90" s="61"/>
      <c r="H90" s="61"/>
      <c r="I90" s="61"/>
      <c r="J90" s="61"/>
      <c r="K90" s="61"/>
      <c r="L90" s="61"/>
      <c r="M90" s="61"/>
      <c r="N90" s="62"/>
      <c r="O90" s="62"/>
      <c r="P90" s="62"/>
      <c r="Q90" s="62"/>
      <c r="R90" s="63" t="str">
        <f>IFERROR(IF(OR($N90="",$O90="",$F90=""),"",ROUND(('⚙️ Setelan'!$B$3*'⚙️ Setelan'!$B$4/100)/(ABS($N90-$O90)*VLOOKUP($F90,'⚙️ Setelan'!$A$14:$F$20,4,FALSE)),2)),"")</f>
        <v/>
      </c>
      <c r="S90" s="64"/>
      <c r="T90" s="65" t="str">
        <f>IFERROR(IF(OR($N90="",$O90="",$S90=""),"",ABS($N90-$O90)*$S90*VLOOKUP($F90,'⚙️ Setelan'!$A$14:$F$20,4,FALSE)),"")</f>
        <v/>
      </c>
      <c r="U90" s="63" t="str">
        <f t="shared" si="9"/>
        <v/>
      </c>
      <c r="V90" s="65" t="str">
        <f>IFERROR(IF(OR($Q90="",$N90="",$S90=""),"",($Q90-$N90)*IF($G90="Buy",1,-1)*$S90*VLOOKUP($F90,'⚙️ Setelan'!$A$14:$F$20,4,FALSE)),"")</f>
        <v/>
      </c>
      <c r="W90" s="65" t="str">
        <f>IFERROR(IF(OR($S90="",$F90=""),"",$S90*VLOOKUP($F90,'⚙️ Setelan'!$A$14:$F$20,5,FALSE)),"")</f>
        <v/>
      </c>
      <c r="X90" s="65" t="str">
        <f t="shared" si="10"/>
        <v/>
      </c>
      <c r="Y90" s="63" t="str">
        <f t="shared" si="11"/>
        <v/>
      </c>
      <c r="Z90" s="58" t="str">
        <f t="shared" si="12"/>
        <v/>
      </c>
      <c r="AA90" s="66" t="str">
        <f t="shared" si="13"/>
        <v/>
      </c>
      <c r="AB90" s="62"/>
      <c r="AC90" s="62"/>
      <c r="AD90" s="63" t="str">
        <f>IFERROR(IF(OR($AB90="",$T90="",$T90=0),"",ROUND(ABS($N90-$AB90)*$S90*VLOOKUP($F90,'⚙️ Setelan'!$A$14:$F$20,4,FALSE)/$T90,2)),"")</f>
        <v/>
      </c>
      <c r="AE90" s="63" t="str">
        <f>IFERROR(IF(OR($AC90="",$T90="",$T90=0),"",ROUND(ABS($AC90-$N90)*$S90*VLOOKUP($F90,'⚙️ Setelan'!$A$14:$F$20,4,FALSE)/$T90,2)),"")</f>
        <v/>
      </c>
      <c r="AF90" s="61"/>
      <c r="AG90" s="61"/>
      <c r="AH90" s="61"/>
      <c r="AI90" s="61"/>
      <c r="AJ90" s="61"/>
      <c r="AK90" s="67"/>
      <c r="AL90" s="58" t="str">
        <f>IF(OR($C90="",$B90=""),"",IF(AND($Z89="Loss",$B90=$B89,MOD($C90-$D89,1)*1440&lt;'⚙️ Setelan'!$B$9),"⚠️ Revenge",""))</f>
        <v/>
      </c>
      <c r="AM90" s="68"/>
      <c r="AN90" s="58" t="str">
        <f>IF($AM90="","",IFERROR(_xlfn.IMAGE(IF(REGEXMATCH($AM90,"\.(png|jpg|jpeg|gif)$"),$AM90,"https://s3.tradingview.com/snapshots/"&amp;LOWER(MID(REGEXEXTRACT($AM90,"/x/([A-Za-z0-9]+)"),1,1))&amp;"/"&amp;REGEXEXTRACT($AM90,"/x/([A-Za-z0-9]+)")&amp;".png"),1),"⚠️ link tidak dikenali"))</f>
        <v/>
      </c>
      <c r="AO90" s="68"/>
      <c r="AP90" s="58" t="str">
        <f>IF($AO90="","",IFERROR(_xlfn.IMAGE(IF(REGEXMATCH($AO90,"\.(png|jpg|jpeg|gif)$"),$AO90,"https://s3.tradingview.com/snapshots/"&amp;LOWER(MID(REGEXEXTRACT($AO90,"/x/([A-Za-z0-9]+)"),1,1))&amp;"/"&amp;REGEXEXTRACT($AO90,"/x/([A-Za-z0-9]+)")&amp;".png"),1),"⚠️ link tidak dikenali"))</f>
        <v/>
      </c>
      <c r="AQ90" s="66">
        <f>IF($Z90="",0,IF(AND(OR('📊 Dashboard'!$B$4="(Semua)",$F90='📊 Dashboard'!$B$4),OR('📊 Dashboard'!$B$5="(Semua)",$H90='📊 Dashboard'!$B$5),OR('📊 Dashboard'!$B$6="(Semua)",$E90='📊 Dashboard'!$B$6),OR('📊 Dashboard'!$B$7="(Semua)",$AF90='📊 Dashboard'!$B$7),OR('📊 Dashboard'!$B$8="(Semua)",$AG90='📊 Dashboard'!$B$8),OR('📊 Dashboard'!$B$9="(Semua)",$K90='📊 Dashboard'!$B$9)),1,0))</f>
        <v>0</v>
      </c>
      <c r="AR90" s="69"/>
    </row>
    <row r="91" ht="58" customHeight="1" spans="1:44">
      <c r="A91" s="58" t="str">
        <f t="shared" si="7"/>
        <v/>
      </c>
      <c r="B91" s="59"/>
      <c r="C91" s="60"/>
      <c r="D91" s="60"/>
      <c r="E91" s="58" t="str">
        <f t="shared" si="8"/>
        <v/>
      </c>
      <c r="F91" s="61"/>
      <c r="G91" s="61"/>
      <c r="H91" s="61"/>
      <c r="I91" s="61"/>
      <c r="J91" s="61"/>
      <c r="K91" s="61"/>
      <c r="L91" s="61"/>
      <c r="M91" s="61"/>
      <c r="N91" s="62"/>
      <c r="O91" s="62"/>
      <c r="P91" s="62"/>
      <c r="Q91" s="62"/>
      <c r="R91" s="63" t="str">
        <f>IFERROR(IF(OR($N91="",$O91="",$F91=""),"",ROUND(('⚙️ Setelan'!$B$3*'⚙️ Setelan'!$B$4/100)/(ABS($N91-$O91)*VLOOKUP($F91,'⚙️ Setelan'!$A$14:$F$20,4,FALSE)),2)),"")</f>
        <v/>
      </c>
      <c r="S91" s="64"/>
      <c r="T91" s="65" t="str">
        <f>IFERROR(IF(OR($N91="",$O91="",$S91=""),"",ABS($N91-$O91)*$S91*VLOOKUP($F91,'⚙️ Setelan'!$A$14:$F$20,4,FALSE)),"")</f>
        <v/>
      </c>
      <c r="U91" s="63" t="str">
        <f t="shared" si="9"/>
        <v/>
      </c>
      <c r="V91" s="65" t="str">
        <f>IFERROR(IF(OR($Q91="",$N91="",$S91=""),"",($Q91-$N91)*IF($G91="Buy",1,-1)*$S91*VLOOKUP($F91,'⚙️ Setelan'!$A$14:$F$20,4,FALSE)),"")</f>
        <v/>
      </c>
      <c r="W91" s="65" t="str">
        <f>IFERROR(IF(OR($S91="",$F91=""),"",$S91*VLOOKUP($F91,'⚙️ Setelan'!$A$14:$F$20,5,FALSE)),"")</f>
        <v/>
      </c>
      <c r="X91" s="65" t="str">
        <f t="shared" si="10"/>
        <v/>
      </c>
      <c r="Y91" s="63" t="str">
        <f t="shared" si="11"/>
        <v/>
      </c>
      <c r="Z91" s="58" t="str">
        <f t="shared" si="12"/>
        <v/>
      </c>
      <c r="AA91" s="66" t="str">
        <f t="shared" si="13"/>
        <v/>
      </c>
      <c r="AB91" s="62"/>
      <c r="AC91" s="62"/>
      <c r="AD91" s="63" t="str">
        <f>IFERROR(IF(OR($AB91="",$T91="",$T91=0),"",ROUND(ABS($N91-$AB91)*$S91*VLOOKUP($F91,'⚙️ Setelan'!$A$14:$F$20,4,FALSE)/$T91,2)),"")</f>
        <v/>
      </c>
      <c r="AE91" s="63" t="str">
        <f>IFERROR(IF(OR($AC91="",$T91="",$T91=0),"",ROUND(ABS($AC91-$N91)*$S91*VLOOKUP($F91,'⚙️ Setelan'!$A$14:$F$20,4,FALSE)/$T91,2)),"")</f>
        <v/>
      </c>
      <c r="AF91" s="61"/>
      <c r="AG91" s="61"/>
      <c r="AH91" s="61"/>
      <c r="AI91" s="61"/>
      <c r="AJ91" s="61"/>
      <c r="AK91" s="67"/>
      <c r="AL91" s="58" t="str">
        <f>IF(OR($C91="",$B91=""),"",IF(AND($Z90="Loss",$B91=$B90,MOD($C91-$D90,1)*1440&lt;'⚙️ Setelan'!$B$9),"⚠️ Revenge",""))</f>
        <v/>
      </c>
      <c r="AM91" s="68"/>
      <c r="AN91" s="58" t="str">
        <f>IF($AM91="","",IFERROR(_xlfn.IMAGE(IF(REGEXMATCH($AM91,"\.(png|jpg|jpeg|gif)$"),$AM91,"https://s3.tradingview.com/snapshots/"&amp;LOWER(MID(REGEXEXTRACT($AM91,"/x/([A-Za-z0-9]+)"),1,1))&amp;"/"&amp;REGEXEXTRACT($AM91,"/x/([A-Za-z0-9]+)")&amp;".png"),1),"⚠️ link tidak dikenali"))</f>
        <v/>
      </c>
      <c r="AO91" s="68"/>
      <c r="AP91" s="58" t="str">
        <f>IF($AO91="","",IFERROR(_xlfn.IMAGE(IF(REGEXMATCH($AO91,"\.(png|jpg|jpeg|gif)$"),$AO91,"https://s3.tradingview.com/snapshots/"&amp;LOWER(MID(REGEXEXTRACT($AO91,"/x/([A-Za-z0-9]+)"),1,1))&amp;"/"&amp;REGEXEXTRACT($AO91,"/x/([A-Za-z0-9]+)")&amp;".png"),1),"⚠️ link tidak dikenali"))</f>
        <v/>
      </c>
      <c r="AQ91" s="66">
        <f>IF($Z91="",0,IF(AND(OR('📊 Dashboard'!$B$4="(Semua)",$F91='📊 Dashboard'!$B$4),OR('📊 Dashboard'!$B$5="(Semua)",$H91='📊 Dashboard'!$B$5),OR('📊 Dashboard'!$B$6="(Semua)",$E91='📊 Dashboard'!$B$6),OR('📊 Dashboard'!$B$7="(Semua)",$AF91='📊 Dashboard'!$B$7),OR('📊 Dashboard'!$B$8="(Semua)",$AG91='📊 Dashboard'!$B$8),OR('📊 Dashboard'!$B$9="(Semua)",$K91='📊 Dashboard'!$B$9)),1,0))</f>
        <v>0</v>
      </c>
      <c r="AR91" s="69"/>
    </row>
    <row r="92" ht="58" customHeight="1" spans="1:44">
      <c r="A92" s="58" t="str">
        <f t="shared" si="7"/>
        <v/>
      </c>
      <c r="B92" s="59"/>
      <c r="C92" s="60"/>
      <c r="D92" s="60"/>
      <c r="E92" s="58" t="str">
        <f t="shared" si="8"/>
        <v/>
      </c>
      <c r="F92" s="61"/>
      <c r="G92" s="61"/>
      <c r="H92" s="61"/>
      <c r="I92" s="61"/>
      <c r="J92" s="61"/>
      <c r="K92" s="61"/>
      <c r="L92" s="61"/>
      <c r="M92" s="61"/>
      <c r="N92" s="62"/>
      <c r="O92" s="62"/>
      <c r="P92" s="62"/>
      <c r="Q92" s="62"/>
      <c r="R92" s="63" t="str">
        <f>IFERROR(IF(OR($N92="",$O92="",$F92=""),"",ROUND(('⚙️ Setelan'!$B$3*'⚙️ Setelan'!$B$4/100)/(ABS($N92-$O92)*VLOOKUP($F92,'⚙️ Setelan'!$A$14:$F$20,4,FALSE)),2)),"")</f>
        <v/>
      </c>
      <c r="S92" s="64"/>
      <c r="T92" s="65" t="str">
        <f>IFERROR(IF(OR($N92="",$O92="",$S92=""),"",ABS($N92-$O92)*$S92*VLOOKUP($F92,'⚙️ Setelan'!$A$14:$F$20,4,FALSE)),"")</f>
        <v/>
      </c>
      <c r="U92" s="63" t="str">
        <f t="shared" si="9"/>
        <v/>
      </c>
      <c r="V92" s="65" t="str">
        <f>IFERROR(IF(OR($Q92="",$N92="",$S92=""),"",($Q92-$N92)*IF($G92="Buy",1,-1)*$S92*VLOOKUP($F92,'⚙️ Setelan'!$A$14:$F$20,4,FALSE)),"")</f>
        <v/>
      </c>
      <c r="W92" s="65" t="str">
        <f>IFERROR(IF(OR($S92="",$F92=""),"",$S92*VLOOKUP($F92,'⚙️ Setelan'!$A$14:$F$20,5,FALSE)),"")</f>
        <v/>
      </c>
      <c r="X92" s="65" t="str">
        <f t="shared" si="10"/>
        <v/>
      </c>
      <c r="Y92" s="63" t="str">
        <f t="shared" si="11"/>
        <v/>
      </c>
      <c r="Z92" s="58" t="str">
        <f t="shared" si="12"/>
        <v/>
      </c>
      <c r="AA92" s="66" t="str">
        <f t="shared" si="13"/>
        <v/>
      </c>
      <c r="AB92" s="62"/>
      <c r="AC92" s="62"/>
      <c r="AD92" s="63" t="str">
        <f>IFERROR(IF(OR($AB92="",$T92="",$T92=0),"",ROUND(ABS($N92-$AB92)*$S92*VLOOKUP($F92,'⚙️ Setelan'!$A$14:$F$20,4,FALSE)/$T92,2)),"")</f>
        <v/>
      </c>
      <c r="AE92" s="63" t="str">
        <f>IFERROR(IF(OR($AC92="",$T92="",$T92=0),"",ROUND(ABS($AC92-$N92)*$S92*VLOOKUP($F92,'⚙️ Setelan'!$A$14:$F$20,4,FALSE)/$T92,2)),"")</f>
        <v/>
      </c>
      <c r="AF92" s="61"/>
      <c r="AG92" s="61"/>
      <c r="AH92" s="61"/>
      <c r="AI92" s="61"/>
      <c r="AJ92" s="61"/>
      <c r="AK92" s="67"/>
      <c r="AL92" s="58" t="str">
        <f>IF(OR($C92="",$B92=""),"",IF(AND($Z91="Loss",$B92=$B91,MOD($C92-$D91,1)*1440&lt;'⚙️ Setelan'!$B$9),"⚠️ Revenge",""))</f>
        <v/>
      </c>
      <c r="AM92" s="68"/>
      <c r="AN92" s="58" t="str">
        <f>IF($AM92="","",IFERROR(_xlfn.IMAGE(IF(REGEXMATCH($AM92,"\.(png|jpg|jpeg|gif)$"),$AM92,"https://s3.tradingview.com/snapshots/"&amp;LOWER(MID(REGEXEXTRACT($AM92,"/x/([A-Za-z0-9]+)"),1,1))&amp;"/"&amp;REGEXEXTRACT($AM92,"/x/([A-Za-z0-9]+)")&amp;".png"),1),"⚠️ link tidak dikenali"))</f>
        <v/>
      </c>
      <c r="AO92" s="68"/>
      <c r="AP92" s="58" t="str">
        <f>IF($AO92="","",IFERROR(_xlfn.IMAGE(IF(REGEXMATCH($AO92,"\.(png|jpg|jpeg|gif)$"),$AO92,"https://s3.tradingview.com/snapshots/"&amp;LOWER(MID(REGEXEXTRACT($AO92,"/x/([A-Za-z0-9]+)"),1,1))&amp;"/"&amp;REGEXEXTRACT($AO92,"/x/([A-Za-z0-9]+)")&amp;".png"),1),"⚠️ link tidak dikenali"))</f>
        <v/>
      </c>
      <c r="AQ92" s="66">
        <f>IF($Z92="",0,IF(AND(OR('📊 Dashboard'!$B$4="(Semua)",$F92='📊 Dashboard'!$B$4),OR('📊 Dashboard'!$B$5="(Semua)",$H92='📊 Dashboard'!$B$5),OR('📊 Dashboard'!$B$6="(Semua)",$E92='📊 Dashboard'!$B$6),OR('📊 Dashboard'!$B$7="(Semua)",$AF92='📊 Dashboard'!$B$7),OR('📊 Dashboard'!$B$8="(Semua)",$AG92='📊 Dashboard'!$B$8),OR('📊 Dashboard'!$B$9="(Semua)",$K92='📊 Dashboard'!$B$9)),1,0))</f>
        <v>0</v>
      </c>
      <c r="AR92" s="69"/>
    </row>
    <row r="93" ht="58" customHeight="1" spans="1:44">
      <c r="A93" s="58" t="str">
        <f t="shared" si="7"/>
        <v/>
      </c>
      <c r="B93" s="59"/>
      <c r="C93" s="60"/>
      <c r="D93" s="60"/>
      <c r="E93" s="58" t="str">
        <f t="shared" si="8"/>
        <v/>
      </c>
      <c r="F93" s="61"/>
      <c r="G93" s="61"/>
      <c r="H93" s="61"/>
      <c r="I93" s="61"/>
      <c r="J93" s="61"/>
      <c r="K93" s="61"/>
      <c r="L93" s="61"/>
      <c r="M93" s="61"/>
      <c r="N93" s="62"/>
      <c r="O93" s="62"/>
      <c r="P93" s="62"/>
      <c r="Q93" s="62"/>
      <c r="R93" s="63" t="str">
        <f>IFERROR(IF(OR($N93="",$O93="",$F93=""),"",ROUND(('⚙️ Setelan'!$B$3*'⚙️ Setelan'!$B$4/100)/(ABS($N93-$O93)*VLOOKUP($F93,'⚙️ Setelan'!$A$14:$F$20,4,FALSE)),2)),"")</f>
        <v/>
      </c>
      <c r="S93" s="64"/>
      <c r="T93" s="65" t="str">
        <f>IFERROR(IF(OR($N93="",$O93="",$S93=""),"",ABS($N93-$O93)*$S93*VLOOKUP($F93,'⚙️ Setelan'!$A$14:$F$20,4,FALSE)),"")</f>
        <v/>
      </c>
      <c r="U93" s="63" t="str">
        <f t="shared" si="9"/>
        <v/>
      </c>
      <c r="V93" s="65" t="str">
        <f>IFERROR(IF(OR($Q93="",$N93="",$S93=""),"",($Q93-$N93)*IF($G93="Buy",1,-1)*$S93*VLOOKUP($F93,'⚙️ Setelan'!$A$14:$F$20,4,FALSE)),"")</f>
        <v/>
      </c>
      <c r="W93" s="65" t="str">
        <f>IFERROR(IF(OR($S93="",$F93=""),"",$S93*VLOOKUP($F93,'⚙️ Setelan'!$A$14:$F$20,5,FALSE)),"")</f>
        <v/>
      </c>
      <c r="X93" s="65" t="str">
        <f t="shared" si="10"/>
        <v/>
      </c>
      <c r="Y93" s="63" t="str">
        <f t="shared" si="11"/>
        <v/>
      </c>
      <c r="Z93" s="58" t="str">
        <f t="shared" si="12"/>
        <v/>
      </c>
      <c r="AA93" s="66" t="str">
        <f t="shared" si="13"/>
        <v/>
      </c>
      <c r="AB93" s="62"/>
      <c r="AC93" s="62"/>
      <c r="AD93" s="63" t="str">
        <f>IFERROR(IF(OR($AB93="",$T93="",$T93=0),"",ROUND(ABS($N93-$AB93)*$S93*VLOOKUP($F93,'⚙️ Setelan'!$A$14:$F$20,4,FALSE)/$T93,2)),"")</f>
        <v/>
      </c>
      <c r="AE93" s="63" t="str">
        <f>IFERROR(IF(OR($AC93="",$T93="",$T93=0),"",ROUND(ABS($AC93-$N93)*$S93*VLOOKUP($F93,'⚙️ Setelan'!$A$14:$F$20,4,FALSE)/$T93,2)),"")</f>
        <v/>
      </c>
      <c r="AF93" s="61"/>
      <c r="AG93" s="61"/>
      <c r="AH93" s="61"/>
      <c r="AI93" s="61"/>
      <c r="AJ93" s="61"/>
      <c r="AK93" s="67"/>
      <c r="AL93" s="58" t="str">
        <f>IF(OR($C93="",$B93=""),"",IF(AND($Z92="Loss",$B93=$B92,MOD($C93-$D92,1)*1440&lt;'⚙️ Setelan'!$B$9),"⚠️ Revenge",""))</f>
        <v/>
      </c>
      <c r="AM93" s="68"/>
      <c r="AN93" s="58" t="str">
        <f>IF($AM93="","",IFERROR(_xlfn.IMAGE(IF(REGEXMATCH($AM93,"\.(png|jpg|jpeg|gif)$"),$AM93,"https://s3.tradingview.com/snapshots/"&amp;LOWER(MID(REGEXEXTRACT($AM93,"/x/([A-Za-z0-9]+)"),1,1))&amp;"/"&amp;REGEXEXTRACT($AM93,"/x/([A-Za-z0-9]+)")&amp;".png"),1),"⚠️ link tidak dikenali"))</f>
        <v/>
      </c>
      <c r="AO93" s="68"/>
      <c r="AP93" s="58" t="str">
        <f>IF($AO93="","",IFERROR(_xlfn.IMAGE(IF(REGEXMATCH($AO93,"\.(png|jpg|jpeg|gif)$"),$AO93,"https://s3.tradingview.com/snapshots/"&amp;LOWER(MID(REGEXEXTRACT($AO93,"/x/([A-Za-z0-9]+)"),1,1))&amp;"/"&amp;REGEXEXTRACT($AO93,"/x/([A-Za-z0-9]+)")&amp;".png"),1),"⚠️ link tidak dikenali"))</f>
        <v/>
      </c>
      <c r="AQ93" s="66">
        <f>IF($Z93="",0,IF(AND(OR('📊 Dashboard'!$B$4="(Semua)",$F93='📊 Dashboard'!$B$4),OR('📊 Dashboard'!$B$5="(Semua)",$H93='📊 Dashboard'!$B$5),OR('📊 Dashboard'!$B$6="(Semua)",$E93='📊 Dashboard'!$B$6),OR('📊 Dashboard'!$B$7="(Semua)",$AF93='📊 Dashboard'!$B$7),OR('📊 Dashboard'!$B$8="(Semua)",$AG93='📊 Dashboard'!$B$8),OR('📊 Dashboard'!$B$9="(Semua)",$K93='📊 Dashboard'!$B$9)),1,0))</f>
        <v>0</v>
      </c>
      <c r="AR93" s="69"/>
    </row>
    <row r="94" ht="58" customHeight="1" spans="1:44">
      <c r="A94" s="58" t="str">
        <f t="shared" si="7"/>
        <v/>
      </c>
      <c r="B94" s="59"/>
      <c r="C94" s="60"/>
      <c r="D94" s="60"/>
      <c r="E94" s="58" t="str">
        <f t="shared" si="8"/>
        <v/>
      </c>
      <c r="F94" s="61"/>
      <c r="G94" s="61"/>
      <c r="H94" s="61"/>
      <c r="I94" s="61"/>
      <c r="J94" s="61"/>
      <c r="K94" s="61"/>
      <c r="L94" s="61"/>
      <c r="M94" s="61"/>
      <c r="N94" s="62"/>
      <c r="O94" s="62"/>
      <c r="P94" s="62"/>
      <c r="Q94" s="62"/>
      <c r="R94" s="63" t="str">
        <f>IFERROR(IF(OR($N94="",$O94="",$F94=""),"",ROUND(('⚙️ Setelan'!$B$3*'⚙️ Setelan'!$B$4/100)/(ABS($N94-$O94)*VLOOKUP($F94,'⚙️ Setelan'!$A$14:$F$20,4,FALSE)),2)),"")</f>
        <v/>
      </c>
      <c r="S94" s="64"/>
      <c r="T94" s="65" t="str">
        <f>IFERROR(IF(OR($N94="",$O94="",$S94=""),"",ABS($N94-$O94)*$S94*VLOOKUP($F94,'⚙️ Setelan'!$A$14:$F$20,4,FALSE)),"")</f>
        <v/>
      </c>
      <c r="U94" s="63" t="str">
        <f t="shared" si="9"/>
        <v/>
      </c>
      <c r="V94" s="65" t="str">
        <f>IFERROR(IF(OR($Q94="",$N94="",$S94=""),"",($Q94-$N94)*IF($G94="Buy",1,-1)*$S94*VLOOKUP($F94,'⚙️ Setelan'!$A$14:$F$20,4,FALSE)),"")</f>
        <v/>
      </c>
      <c r="W94" s="65" t="str">
        <f>IFERROR(IF(OR($S94="",$F94=""),"",$S94*VLOOKUP($F94,'⚙️ Setelan'!$A$14:$F$20,5,FALSE)),"")</f>
        <v/>
      </c>
      <c r="X94" s="65" t="str">
        <f t="shared" si="10"/>
        <v/>
      </c>
      <c r="Y94" s="63" t="str">
        <f t="shared" si="11"/>
        <v/>
      </c>
      <c r="Z94" s="58" t="str">
        <f t="shared" si="12"/>
        <v/>
      </c>
      <c r="AA94" s="66" t="str">
        <f t="shared" si="13"/>
        <v/>
      </c>
      <c r="AB94" s="62"/>
      <c r="AC94" s="62"/>
      <c r="AD94" s="63" t="str">
        <f>IFERROR(IF(OR($AB94="",$T94="",$T94=0),"",ROUND(ABS($N94-$AB94)*$S94*VLOOKUP($F94,'⚙️ Setelan'!$A$14:$F$20,4,FALSE)/$T94,2)),"")</f>
        <v/>
      </c>
      <c r="AE94" s="63" t="str">
        <f>IFERROR(IF(OR($AC94="",$T94="",$T94=0),"",ROUND(ABS($AC94-$N94)*$S94*VLOOKUP($F94,'⚙️ Setelan'!$A$14:$F$20,4,FALSE)/$T94,2)),"")</f>
        <v/>
      </c>
      <c r="AF94" s="61"/>
      <c r="AG94" s="61"/>
      <c r="AH94" s="61"/>
      <c r="AI94" s="61"/>
      <c r="AJ94" s="61"/>
      <c r="AK94" s="67"/>
      <c r="AL94" s="58" t="str">
        <f>IF(OR($C94="",$B94=""),"",IF(AND($Z93="Loss",$B94=$B93,MOD($C94-$D93,1)*1440&lt;'⚙️ Setelan'!$B$9),"⚠️ Revenge",""))</f>
        <v/>
      </c>
      <c r="AM94" s="68"/>
      <c r="AN94" s="58" t="str">
        <f>IF($AM94="","",IFERROR(_xlfn.IMAGE(IF(REGEXMATCH($AM94,"\.(png|jpg|jpeg|gif)$"),$AM94,"https://s3.tradingview.com/snapshots/"&amp;LOWER(MID(REGEXEXTRACT($AM94,"/x/([A-Za-z0-9]+)"),1,1))&amp;"/"&amp;REGEXEXTRACT($AM94,"/x/([A-Za-z0-9]+)")&amp;".png"),1),"⚠️ link tidak dikenali"))</f>
        <v/>
      </c>
      <c r="AO94" s="68"/>
      <c r="AP94" s="58" t="str">
        <f>IF($AO94="","",IFERROR(_xlfn.IMAGE(IF(REGEXMATCH($AO94,"\.(png|jpg|jpeg|gif)$"),$AO94,"https://s3.tradingview.com/snapshots/"&amp;LOWER(MID(REGEXEXTRACT($AO94,"/x/([A-Za-z0-9]+)"),1,1))&amp;"/"&amp;REGEXEXTRACT($AO94,"/x/([A-Za-z0-9]+)")&amp;".png"),1),"⚠️ link tidak dikenali"))</f>
        <v/>
      </c>
      <c r="AQ94" s="66">
        <f>IF($Z94="",0,IF(AND(OR('📊 Dashboard'!$B$4="(Semua)",$F94='📊 Dashboard'!$B$4),OR('📊 Dashboard'!$B$5="(Semua)",$H94='📊 Dashboard'!$B$5),OR('📊 Dashboard'!$B$6="(Semua)",$E94='📊 Dashboard'!$B$6),OR('📊 Dashboard'!$B$7="(Semua)",$AF94='📊 Dashboard'!$B$7),OR('📊 Dashboard'!$B$8="(Semua)",$AG94='📊 Dashboard'!$B$8),OR('📊 Dashboard'!$B$9="(Semua)",$K94='📊 Dashboard'!$B$9)),1,0))</f>
        <v>0</v>
      </c>
      <c r="AR94" s="69"/>
    </row>
    <row r="95" ht="58" customHeight="1" spans="1:44">
      <c r="A95" s="58" t="str">
        <f t="shared" si="7"/>
        <v/>
      </c>
      <c r="B95" s="59"/>
      <c r="C95" s="60"/>
      <c r="D95" s="60"/>
      <c r="E95" s="58" t="str">
        <f t="shared" si="8"/>
        <v/>
      </c>
      <c r="F95" s="61"/>
      <c r="G95" s="61"/>
      <c r="H95" s="61"/>
      <c r="I95" s="61"/>
      <c r="J95" s="61"/>
      <c r="K95" s="61"/>
      <c r="L95" s="61"/>
      <c r="M95" s="61"/>
      <c r="N95" s="62"/>
      <c r="O95" s="62"/>
      <c r="P95" s="62"/>
      <c r="Q95" s="62"/>
      <c r="R95" s="63" t="str">
        <f>IFERROR(IF(OR($N95="",$O95="",$F95=""),"",ROUND(('⚙️ Setelan'!$B$3*'⚙️ Setelan'!$B$4/100)/(ABS($N95-$O95)*VLOOKUP($F95,'⚙️ Setelan'!$A$14:$F$20,4,FALSE)),2)),"")</f>
        <v/>
      </c>
      <c r="S95" s="64"/>
      <c r="T95" s="65" t="str">
        <f>IFERROR(IF(OR($N95="",$O95="",$S95=""),"",ABS($N95-$O95)*$S95*VLOOKUP($F95,'⚙️ Setelan'!$A$14:$F$20,4,FALSE)),"")</f>
        <v/>
      </c>
      <c r="U95" s="63" t="str">
        <f t="shared" si="9"/>
        <v/>
      </c>
      <c r="V95" s="65" t="str">
        <f>IFERROR(IF(OR($Q95="",$N95="",$S95=""),"",($Q95-$N95)*IF($G95="Buy",1,-1)*$S95*VLOOKUP($F95,'⚙️ Setelan'!$A$14:$F$20,4,FALSE)),"")</f>
        <v/>
      </c>
      <c r="W95" s="65" t="str">
        <f>IFERROR(IF(OR($S95="",$F95=""),"",$S95*VLOOKUP($F95,'⚙️ Setelan'!$A$14:$F$20,5,FALSE)),"")</f>
        <v/>
      </c>
      <c r="X95" s="65" t="str">
        <f t="shared" si="10"/>
        <v/>
      </c>
      <c r="Y95" s="63" t="str">
        <f t="shared" si="11"/>
        <v/>
      </c>
      <c r="Z95" s="58" t="str">
        <f t="shared" si="12"/>
        <v/>
      </c>
      <c r="AA95" s="66" t="str">
        <f t="shared" si="13"/>
        <v/>
      </c>
      <c r="AB95" s="62"/>
      <c r="AC95" s="62"/>
      <c r="AD95" s="63" t="str">
        <f>IFERROR(IF(OR($AB95="",$T95="",$T95=0),"",ROUND(ABS($N95-$AB95)*$S95*VLOOKUP($F95,'⚙️ Setelan'!$A$14:$F$20,4,FALSE)/$T95,2)),"")</f>
        <v/>
      </c>
      <c r="AE95" s="63" t="str">
        <f>IFERROR(IF(OR($AC95="",$T95="",$T95=0),"",ROUND(ABS($AC95-$N95)*$S95*VLOOKUP($F95,'⚙️ Setelan'!$A$14:$F$20,4,FALSE)/$T95,2)),"")</f>
        <v/>
      </c>
      <c r="AF95" s="61"/>
      <c r="AG95" s="61"/>
      <c r="AH95" s="61"/>
      <c r="AI95" s="61"/>
      <c r="AJ95" s="61"/>
      <c r="AK95" s="67"/>
      <c r="AL95" s="58" t="str">
        <f>IF(OR($C95="",$B95=""),"",IF(AND($Z94="Loss",$B95=$B94,MOD($C95-$D94,1)*1440&lt;'⚙️ Setelan'!$B$9),"⚠️ Revenge",""))</f>
        <v/>
      </c>
      <c r="AM95" s="68"/>
      <c r="AN95" s="58" t="str">
        <f>IF($AM95="","",IFERROR(_xlfn.IMAGE(IF(REGEXMATCH($AM95,"\.(png|jpg|jpeg|gif)$"),$AM95,"https://s3.tradingview.com/snapshots/"&amp;LOWER(MID(REGEXEXTRACT($AM95,"/x/([A-Za-z0-9]+)"),1,1))&amp;"/"&amp;REGEXEXTRACT($AM95,"/x/([A-Za-z0-9]+)")&amp;".png"),1),"⚠️ link tidak dikenali"))</f>
        <v/>
      </c>
      <c r="AO95" s="68"/>
      <c r="AP95" s="58" t="str">
        <f>IF($AO95="","",IFERROR(_xlfn.IMAGE(IF(REGEXMATCH($AO95,"\.(png|jpg|jpeg|gif)$"),$AO95,"https://s3.tradingview.com/snapshots/"&amp;LOWER(MID(REGEXEXTRACT($AO95,"/x/([A-Za-z0-9]+)"),1,1))&amp;"/"&amp;REGEXEXTRACT($AO95,"/x/([A-Za-z0-9]+)")&amp;".png"),1),"⚠️ link tidak dikenali"))</f>
        <v/>
      </c>
      <c r="AQ95" s="66">
        <f>IF($Z95="",0,IF(AND(OR('📊 Dashboard'!$B$4="(Semua)",$F95='📊 Dashboard'!$B$4),OR('📊 Dashboard'!$B$5="(Semua)",$H95='📊 Dashboard'!$B$5),OR('📊 Dashboard'!$B$6="(Semua)",$E95='📊 Dashboard'!$B$6),OR('📊 Dashboard'!$B$7="(Semua)",$AF95='📊 Dashboard'!$B$7),OR('📊 Dashboard'!$B$8="(Semua)",$AG95='📊 Dashboard'!$B$8),OR('📊 Dashboard'!$B$9="(Semua)",$K95='📊 Dashboard'!$B$9)),1,0))</f>
        <v>0</v>
      </c>
      <c r="AR95" s="69"/>
    </row>
    <row r="96" ht="58" customHeight="1" spans="1:44">
      <c r="A96" s="58" t="str">
        <f t="shared" si="7"/>
        <v/>
      </c>
      <c r="B96" s="59"/>
      <c r="C96" s="60"/>
      <c r="D96" s="60"/>
      <c r="E96" s="58" t="str">
        <f t="shared" si="8"/>
        <v/>
      </c>
      <c r="F96" s="61"/>
      <c r="G96" s="61"/>
      <c r="H96" s="61"/>
      <c r="I96" s="61"/>
      <c r="J96" s="61"/>
      <c r="K96" s="61"/>
      <c r="L96" s="61"/>
      <c r="M96" s="61"/>
      <c r="N96" s="62"/>
      <c r="O96" s="62"/>
      <c r="P96" s="62"/>
      <c r="Q96" s="62"/>
      <c r="R96" s="63" t="str">
        <f>IFERROR(IF(OR($N96="",$O96="",$F96=""),"",ROUND(('⚙️ Setelan'!$B$3*'⚙️ Setelan'!$B$4/100)/(ABS($N96-$O96)*VLOOKUP($F96,'⚙️ Setelan'!$A$14:$F$20,4,FALSE)),2)),"")</f>
        <v/>
      </c>
      <c r="S96" s="64"/>
      <c r="T96" s="65" t="str">
        <f>IFERROR(IF(OR($N96="",$O96="",$S96=""),"",ABS($N96-$O96)*$S96*VLOOKUP($F96,'⚙️ Setelan'!$A$14:$F$20,4,FALSE)),"")</f>
        <v/>
      </c>
      <c r="U96" s="63" t="str">
        <f t="shared" si="9"/>
        <v/>
      </c>
      <c r="V96" s="65" t="str">
        <f>IFERROR(IF(OR($Q96="",$N96="",$S96=""),"",($Q96-$N96)*IF($G96="Buy",1,-1)*$S96*VLOOKUP($F96,'⚙️ Setelan'!$A$14:$F$20,4,FALSE)),"")</f>
        <v/>
      </c>
      <c r="W96" s="65" t="str">
        <f>IFERROR(IF(OR($S96="",$F96=""),"",$S96*VLOOKUP($F96,'⚙️ Setelan'!$A$14:$F$20,5,FALSE)),"")</f>
        <v/>
      </c>
      <c r="X96" s="65" t="str">
        <f t="shared" si="10"/>
        <v/>
      </c>
      <c r="Y96" s="63" t="str">
        <f t="shared" si="11"/>
        <v/>
      </c>
      <c r="Z96" s="58" t="str">
        <f t="shared" si="12"/>
        <v/>
      </c>
      <c r="AA96" s="66" t="str">
        <f t="shared" si="13"/>
        <v/>
      </c>
      <c r="AB96" s="62"/>
      <c r="AC96" s="62"/>
      <c r="AD96" s="63" t="str">
        <f>IFERROR(IF(OR($AB96="",$T96="",$T96=0),"",ROUND(ABS($N96-$AB96)*$S96*VLOOKUP($F96,'⚙️ Setelan'!$A$14:$F$20,4,FALSE)/$T96,2)),"")</f>
        <v/>
      </c>
      <c r="AE96" s="63" t="str">
        <f>IFERROR(IF(OR($AC96="",$T96="",$T96=0),"",ROUND(ABS($AC96-$N96)*$S96*VLOOKUP($F96,'⚙️ Setelan'!$A$14:$F$20,4,FALSE)/$T96,2)),"")</f>
        <v/>
      </c>
      <c r="AF96" s="61"/>
      <c r="AG96" s="61"/>
      <c r="AH96" s="61"/>
      <c r="AI96" s="61"/>
      <c r="AJ96" s="61"/>
      <c r="AK96" s="67"/>
      <c r="AL96" s="58" t="str">
        <f>IF(OR($C96="",$B96=""),"",IF(AND($Z95="Loss",$B96=$B95,MOD($C96-$D95,1)*1440&lt;'⚙️ Setelan'!$B$9),"⚠️ Revenge",""))</f>
        <v/>
      </c>
      <c r="AM96" s="68"/>
      <c r="AN96" s="58" t="str">
        <f>IF($AM96="","",IFERROR(_xlfn.IMAGE(IF(REGEXMATCH($AM96,"\.(png|jpg|jpeg|gif)$"),$AM96,"https://s3.tradingview.com/snapshots/"&amp;LOWER(MID(REGEXEXTRACT($AM96,"/x/([A-Za-z0-9]+)"),1,1))&amp;"/"&amp;REGEXEXTRACT($AM96,"/x/([A-Za-z0-9]+)")&amp;".png"),1),"⚠️ link tidak dikenali"))</f>
        <v/>
      </c>
      <c r="AO96" s="68"/>
      <c r="AP96" s="58" t="str">
        <f>IF($AO96="","",IFERROR(_xlfn.IMAGE(IF(REGEXMATCH($AO96,"\.(png|jpg|jpeg|gif)$"),$AO96,"https://s3.tradingview.com/snapshots/"&amp;LOWER(MID(REGEXEXTRACT($AO96,"/x/([A-Za-z0-9]+)"),1,1))&amp;"/"&amp;REGEXEXTRACT($AO96,"/x/([A-Za-z0-9]+)")&amp;".png"),1),"⚠️ link tidak dikenali"))</f>
        <v/>
      </c>
      <c r="AQ96" s="66">
        <f>IF($Z96="",0,IF(AND(OR('📊 Dashboard'!$B$4="(Semua)",$F96='📊 Dashboard'!$B$4),OR('📊 Dashboard'!$B$5="(Semua)",$H96='📊 Dashboard'!$B$5),OR('📊 Dashboard'!$B$6="(Semua)",$E96='📊 Dashboard'!$B$6),OR('📊 Dashboard'!$B$7="(Semua)",$AF96='📊 Dashboard'!$B$7),OR('📊 Dashboard'!$B$8="(Semua)",$AG96='📊 Dashboard'!$B$8),OR('📊 Dashboard'!$B$9="(Semua)",$K96='📊 Dashboard'!$B$9)),1,0))</f>
        <v>0</v>
      </c>
      <c r="AR96" s="69"/>
    </row>
    <row r="97" ht="58" customHeight="1" spans="1:44">
      <c r="A97" s="58" t="str">
        <f t="shared" si="7"/>
        <v/>
      </c>
      <c r="B97" s="59"/>
      <c r="C97" s="60"/>
      <c r="D97" s="60"/>
      <c r="E97" s="58" t="str">
        <f t="shared" si="8"/>
        <v/>
      </c>
      <c r="F97" s="61"/>
      <c r="G97" s="61"/>
      <c r="H97" s="61"/>
      <c r="I97" s="61"/>
      <c r="J97" s="61"/>
      <c r="K97" s="61"/>
      <c r="L97" s="61"/>
      <c r="M97" s="61"/>
      <c r="N97" s="62"/>
      <c r="O97" s="62"/>
      <c r="P97" s="62"/>
      <c r="Q97" s="62"/>
      <c r="R97" s="63" t="str">
        <f>IFERROR(IF(OR($N97="",$O97="",$F97=""),"",ROUND(('⚙️ Setelan'!$B$3*'⚙️ Setelan'!$B$4/100)/(ABS($N97-$O97)*VLOOKUP($F97,'⚙️ Setelan'!$A$14:$F$20,4,FALSE)),2)),"")</f>
        <v/>
      </c>
      <c r="S97" s="64"/>
      <c r="T97" s="65" t="str">
        <f>IFERROR(IF(OR($N97="",$O97="",$S97=""),"",ABS($N97-$O97)*$S97*VLOOKUP($F97,'⚙️ Setelan'!$A$14:$F$20,4,FALSE)),"")</f>
        <v/>
      </c>
      <c r="U97" s="63" t="str">
        <f t="shared" si="9"/>
        <v/>
      </c>
      <c r="V97" s="65" t="str">
        <f>IFERROR(IF(OR($Q97="",$N97="",$S97=""),"",($Q97-$N97)*IF($G97="Buy",1,-1)*$S97*VLOOKUP($F97,'⚙️ Setelan'!$A$14:$F$20,4,FALSE)),"")</f>
        <v/>
      </c>
      <c r="W97" s="65" t="str">
        <f>IFERROR(IF(OR($S97="",$F97=""),"",$S97*VLOOKUP($F97,'⚙️ Setelan'!$A$14:$F$20,5,FALSE)),"")</f>
        <v/>
      </c>
      <c r="X97" s="65" t="str">
        <f t="shared" si="10"/>
        <v/>
      </c>
      <c r="Y97" s="63" t="str">
        <f t="shared" si="11"/>
        <v/>
      </c>
      <c r="Z97" s="58" t="str">
        <f t="shared" si="12"/>
        <v/>
      </c>
      <c r="AA97" s="66" t="str">
        <f t="shared" si="13"/>
        <v/>
      </c>
      <c r="AB97" s="62"/>
      <c r="AC97" s="62"/>
      <c r="AD97" s="63" t="str">
        <f>IFERROR(IF(OR($AB97="",$T97="",$T97=0),"",ROUND(ABS($N97-$AB97)*$S97*VLOOKUP($F97,'⚙️ Setelan'!$A$14:$F$20,4,FALSE)/$T97,2)),"")</f>
        <v/>
      </c>
      <c r="AE97" s="63" t="str">
        <f>IFERROR(IF(OR($AC97="",$T97="",$T97=0),"",ROUND(ABS($AC97-$N97)*$S97*VLOOKUP($F97,'⚙️ Setelan'!$A$14:$F$20,4,FALSE)/$T97,2)),"")</f>
        <v/>
      </c>
      <c r="AF97" s="61"/>
      <c r="AG97" s="61"/>
      <c r="AH97" s="61"/>
      <c r="AI97" s="61"/>
      <c r="AJ97" s="61"/>
      <c r="AK97" s="67"/>
      <c r="AL97" s="58" t="str">
        <f>IF(OR($C97="",$B97=""),"",IF(AND($Z96="Loss",$B97=$B96,MOD($C97-$D96,1)*1440&lt;'⚙️ Setelan'!$B$9),"⚠️ Revenge",""))</f>
        <v/>
      </c>
      <c r="AM97" s="68"/>
      <c r="AN97" s="58" t="str">
        <f>IF($AM97="","",IFERROR(_xlfn.IMAGE(IF(REGEXMATCH($AM97,"\.(png|jpg|jpeg|gif)$"),$AM97,"https://s3.tradingview.com/snapshots/"&amp;LOWER(MID(REGEXEXTRACT($AM97,"/x/([A-Za-z0-9]+)"),1,1))&amp;"/"&amp;REGEXEXTRACT($AM97,"/x/([A-Za-z0-9]+)")&amp;".png"),1),"⚠️ link tidak dikenali"))</f>
        <v/>
      </c>
      <c r="AO97" s="68"/>
      <c r="AP97" s="58" t="str">
        <f>IF($AO97="","",IFERROR(_xlfn.IMAGE(IF(REGEXMATCH($AO97,"\.(png|jpg|jpeg|gif)$"),$AO97,"https://s3.tradingview.com/snapshots/"&amp;LOWER(MID(REGEXEXTRACT($AO97,"/x/([A-Za-z0-9]+)"),1,1))&amp;"/"&amp;REGEXEXTRACT($AO97,"/x/([A-Za-z0-9]+)")&amp;".png"),1),"⚠️ link tidak dikenali"))</f>
        <v/>
      </c>
      <c r="AQ97" s="66">
        <f>IF($Z97="",0,IF(AND(OR('📊 Dashboard'!$B$4="(Semua)",$F97='📊 Dashboard'!$B$4),OR('📊 Dashboard'!$B$5="(Semua)",$H97='📊 Dashboard'!$B$5),OR('📊 Dashboard'!$B$6="(Semua)",$E97='📊 Dashboard'!$B$6),OR('📊 Dashboard'!$B$7="(Semua)",$AF97='📊 Dashboard'!$B$7),OR('📊 Dashboard'!$B$8="(Semua)",$AG97='📊 Dashboard'!$B$8),OR('📊 Dashboard'!$B$9="(Semua)",$K97='📊 Dashboard'!$B$9)),1,0))</f>
        <v>0</v>
      </c>
      <c r="AR97" s="69"/>
    </row>
    <row r="98" ht="58" customHeight="1" spans="1:44">
      <c r="A98" s="58" t="str">
        <f t="shared" si="7"/>
        <v/>
      </c>
      <c r="B98" s="59"/>
      <c r="C98" s="60"/>
      <c r="D98" s="60"/>
      <c r="E98" s="58" t="str">
        <f t="shared" si="8"/>
        <v/>
      </c>
      <c r="F98" s="61"/>
      <c r="G98" s="61"/>
      <c r="H98" s="61"/>
      <c r="I98" s="61"/>
      <c r="J98" s="61"/>
      <c r="K98" s="61"/>
      <c r="L98" s="61"/>
      <c r="M98" s="61"/>
      <c r="N98" s="62"/>
      <c r="O98" s="62"/>
      <c r="P98" s="62"/>
      <c r="Q98" s="62"/>
      <c r="R98" s="63" t="str">
        <f>IFERROR(IF(OR($N98="",$O98="",$F98=""),"",ROUND(('⚙️ Setelan'!$B$3*'⚙️ Setelan'!$B$4/100)/(ABS($N98-$O98)*VLOOKUP($F98,'⚙️ Setelan'!$A$14:$F$20,4,FALSE)),2)),"")</f>
        <v/>
      </c>
      <c r="S98" s="64"/>
      <c r="T98" s="65" t="str">
        <f>IFERROR(IF(OR($N98="",$O98="",$S98=""),"",ABS($N98-$O98)*$S98*VLOOKUP($F98,'⚙️ Setelan'!$A$14:$F$20,4,FALSE)),"")</f>
        <v/>
      </c>
      <c r="U98" s="63" t="str">
        <f t="shared" si="9"/>
        <v/>
      </c>
      <c r="V98" s="65" t="str">
        <f>IFERROR(IF(OR($Q98="",$N98="",$S98=""),"",($Q98-$N98)*IF($G98="Buy",1,-1)*$S98*VLOOKUP($F98,'⚙️ Setelan'!$A$14:$F$20,4,FALSE)),"")</f>
        <v/>
      </c>
      <c r="W98" s="65" t="str">
        <f>IFERROR(IF(OR($S98="",$F98=""),"",$S98*VLOOKUP($F98,'⚙️ Setelan'!$A$14:$F$20,5,FALSE)),"")</f>
        <v/>
      </c>
      <c r="X98" s="65" t="str">
        <f t="shared" si="10"/>
        <v/>
      </c>
      <c r="Y98" s="63" t="str">
        <f t="shared" si="11"/>
        <v/>
      </c>
      <c r="Z98" s="58" t="str">
        <f t="shared" si="12"/>
        <v/>
      </c>
      <c r="AA98" s="66" t="str">
        <f t="shared" si="13"/>
        <v/>
      </c>
      <c r="AB98" s="62"/>
      <c r="AC98" s="62"/>
      <c r="AD98" s="63" t="str">
        <f>IFERROR(IF(OR($AB98="",$T98="",$T98=0),"",ROUND(ABS($N98-$AB98)*$S98*VLOOKUP($F98,'⚙️ Setelan'!$A$14:$F$20,4,FALSE)/$T98,2)),"")</f>
        <v/>
      </c>
      <c r="AE98" s="63" t="str">
        <f>IFERROR(IF(OR($AC98="",$T98="",$T98=0),"",ROUND(ABS($AC98-$N98)*$S98*VLOOKUP($F98,'⚙️ Setelan'!$A$14:$F$20,4,FALSE)/$T98,2)),"")</f>
        <v/>
      </c>
      <c r="AF98" s="61"/>
      <c r="AG98" s="61"/>
      <c r="AH98" s="61"/>
      <c r="AI98" s="61"/>
      <c r="AJ98" s="61"/>
      <c r="AK98" s="67"/>
      <c r="AL98" s="58" t="str">
        <f>IF(OR($C98="",$B98=""),"",IF(AND($Z97="Loss",$B98=$B97,MOD($C98-$D97,1)*1440&lt;'⚙️ Setelan'!$B$9),"⚠️ Revenge",""))</f>
        <v/>
      </c>
      <c r="AM98" s="68"/>
      <c r="AN98" s="58" t="str">
        <f>IF($AM98="","",IFERROR(_xlfn.IMAGE(IF(REGEXMATCH($AM98,"\.(png|jpg|jpeg|gif)$"),$AM98,"https://s3.tradingview.com/snapshots/"&amp;LOWER(MID(REGEXEXTRACT($AM98,"/x/([A-Za-z0-9]+)"),1,1))&amp;"/"&amp;REGEXEXTRACT($AM98,"/x/([A-Za-z0-9]+)")&amp;".png"),1),"⚠️ link tidak dikenali"))</f>
        <v/>
      </c>
      <c r="AO98" s="68"/>
      <c r="AP98" s="58" t="str">
        <f>IF($AO98="","",IFERROR(_xlfn.IMAGE(IF(REGEXMATCH($AO98,"\.(png|jpg|jpeg|gif)$"),$AO98,"https://s3.tradingview.com/snapshots/"&amp;LOWER(MID(REGEXEXTRACT($AO98,"/x/([A-Za-z0-9]+)"),1,1))&amp;"/"&amp;REGEXEXTRACT($AO98,"/x/([A-Za-z0-9]+)")&amp;".png"),1),"⚠️ link tidak dikenali"))</f>
        <v/>
      </c>
      <c r="AQ98" s="66">
        <f>IF($Z98="",0,IF(AND(OR('📊 Dashboard'!$B$4="(Semua)",$F98='📊 Dashboard'!$B$4),OR('📊 Dashboard'!$B$5="(Semua)",$H98='📊 Dashboard'!$B$5),OR('📊 Dashboard'!$B$6="(Semua)",$E98='📊 Dashboard'!$B$6),OR('📊 Dashboard'!$B$7="(Semua)",$AF98='📊 Dashboard'!$B$7),OR('📊 Dashboard'!$B$8="(Semua)",$AG98='📊 Dashboard'!$B$8),OR('📊 Dashboard'!$B$9="(Semua)",$K98='📊 Dashboard'!$B$9)),1,0))</f>
        <v>0</v>
      </c>
      <c r="AR98" s="69"/>
    </row>
    <row r="99" ht="58" customHeight="1" spans="1:44">
      <c r="A99" s="58" t="str">
        <f t="shared" si="7"/>
        <v/>
      </c>
      <c r="B99" s="59"/>
      <c r="C99" s="60"/>
      <c r="D99" s="60"/>
      <c r="E99" s="58" t="str">
        <f t="shared" si="8"/>
        <v/>
      </c>
      <c r="F99" s="61"/>
      <c r="G99" s="61"/>
      <c r="H99" s="61"/>
      <c r="I99" s="61"/>
      <c r="J99" s="61"/>
      <c r="K99" s="61"/>
      <c r="L99" s="61"/>
      <c r="M99" s="61"/>
      <c r="N99" s="62"/>
      <c r="O99" s="62"/>
      <c r="P99" s="62"/>
      <c r="Q99" s="62"/>
      <c r="R99" s="63" t="str">
        <f>IFERROR(IF(OR($N99="",$O99="",$F99=""),"",ROUND(('⚙️ Setelan'!$B$3*'⚙️ Setelan'!$B$4/100)/(ABS($N99-$O99)*VLOOKUP($F99,'⚙️ Setelan'!$A$14:$F$20,4,FALSE)),2)),"")</f>
        <v/>
      </c>
      <c r="S99" s="64"/>
      <c r="T99" s="65" t="str">
        <f>IFERROR(IF(OR($N99="",$O99="",$S99=""),"",ABS($N99-$O99)*$S99*VLOOKUP($F99,'⚙️ Setelan'!$A$14:$F$20,4,FALSE)),"")</f>
        <v/>
      </c>
      <c r="U99" s="63" t="str">
        <f t="shared" si="9"/>
        <v/>
      </c>
      <c r="V99" s="65" t="str">
        <f>IFERROR(IF(OR($Q99="",$N99="",$S99=""),"",($Q99-$N99)*IF($G99="Buy",1,-1)*$S99*VLOOKUP($F99,'⚙️ Setelan'!$A$14:$F$20,4,FALSE)),"")</f>
        <v/>
      </c>
      <c r="W99" s="65" t="str">
        <f>IFERROR(IF(OR($S99="",$F99=""),"",$S99*VLOOKUP($F99,'⚙️ Setelan'!$A$14:$F$20,5,FALSE)),"")</f>
        <v/>
      </c>
      <c r="X99" s="65" t="str">
        <f t="shared" si="10"/>
        <v/>
      </c>
      <c r="Y99" s="63" t="str">
        <f t="shared" si="11"/>
        <v/>
      </c>
      <c r="Z99" s="58" t="str">
        <f t="shared" si="12"/>
        <v/>
      </c>
      <c r="AA99" s="66" t="str">
        <f t="shared" si="13"/>
        <v/>
      </c>
      <c r="AB99" s="62"/>
      <c r="AC99" s="62"/>
      <c r="AD99" s="63" t="str">
        <f>IFERROR(IF(OR($AB99="",$T99="",$T99=0),"",ROUND(ABS($N99-$AB99)*$S99*VLOOKUP($F99,'⚙️ Setelan'!$A$14:$F$20,4,FALSE)/$T99,2)),"")</f>
        <v/>
      </c>
      <c r="AE99" s="63" t="str">
        <f>IFERROR(IF(OR($AC99="",$T99="",$T99=0),"",ROUND(ABS($AC99-$N99)*$S99*VLOOKUP($F99,'⚙️ Setelan'!$A$14:$F$20,4,FALSE)/$T99,2)),"")</f>
        <v/>
      </c>
      <c r="AF99" s="61"/>
      <c r="AG99" s="61"/>
      <c r="AH99" s="61"/>
      <c r="AI99" s="61"/>
      <c r="AJ99" s="61"/>
      <c r="AK99" s="67"/>
      <c r="AL99" s="58" t="str">
        <f>IF(OR($C99="",$B99=""),"",IF(AND($Z98="Loss",$B99=$B98,MOD($C99-$D98,1)*1440&lt;'⚙️ Setelan'!$B$9),"⚠️ Revenge",""))</f>
        <v/>
      </c>
      <c r="AM99" s="68"/>
      <c r="AN99" s="58" t="str">
        <f>IF($AM99="","",IFERROR(_xlfn.IMAGE(IF(REGEXMATCH($AM99,"\.(png|jpg|jpeg|gif)$"),$AM99,"https://s3.tradingview.com/snapshots/"&amp;LOWER(MID(REGEXEXTRACT($AM99,"/x/([A-Za-z0-9]+)"),1,1))&amp;"/"&amp;REGEXEXTRACT($AM99,"/x/([A-Za-z0-9]+)")&amp;".png"),1),"⚠️ link tidak dikenali"))</f>
        <v/>
      </c>
      <c r="AO99" s="68"/>
      <c r="AP99" s="58" t="str">
        <f>IF($AO99="","",IFERROR(_xlfn.IMAGE(IF(REGEXMATCH($AO99,"\.(png|jpg|jpeg|gif)$"),$AO99,"https://s3.tradingview.com/snapshots/"&amp;LOWER(MID(REGEXEXTRACT($AO99,"/x/([A-Za-z0-9]+)"),1,1))&amp;"/"&amp;REGEXEXTRACT($AO99,"/x/([A-Za-z0-9]+)")&amp;".png"),1),"⚠️ link tidak dikenali"))</f>
        <v/>
      </c>
      <c r="AQ99" s="66">
        <f>IF($Z99="",0,IF(AND(OR('📊 Dashboard'!$B$4="(Semua)",$F99='📊 Dashboard'!$B$4),OR('📊 Dashboard'!$B$5="(Semua)",$H99='📊 Dashboard'!$B$5),OR('📊 Dashboard'!$B$6="(Semua)",$E99='📊 Dashboard'!$B$6),OR('📊 Dashboard'!$B$7="(Semua)",$AF99='📊 Dashboard'!$B$7),OR('📊 Dashboard'!$B$8="(Semua)",$AG99='📊 Dashboard'!$B$8),OR('📊 Dashboard'!$B$9="(Semua)",$K99='📊 Dashboard'!$B$9)),1,0))</f>
        <v>0</v>
      </c>
      <c r="AR99" s="69"/>
    </row>
    <row r="100" ht="58" customHeight="1" spans="1:44">
      <c r="A100" s="58" t="str">
        <f t="shared" si="7"/>
        <v/>
      </c>
      <c r="B100" s="59"/>
      <c r="C100" s="60"/>
      <c r="D100" s="60"/>
      <c r="E100" s="58" t="str">
        <f t="shared" si="8"/>
        <v/>
      </c>
      <c r="F100" s="61"/>
      <c r="G100" s="61"/>
      <c r="H100" s="61"/>
      <c r="I100" s="61"/>
      <c r="J100" s="61"/>
      <c r="K100" s="61"/>
      <c r="L100" s="61"/>
      <c r="M100" s="61"/>
      <c r="N100" s="62"/>
      <c r="O100" s="62"/>
      <c r="P100" s="62"/>
      <c r="Q100" s="62"/>
      <c r="R100" s="63" t="str">
        <f>IFERROR(IF(OR($N100="",$O100="",$F100=""),"",ROUND(('⚙️ Setelan'!$B$3*'⚙️ Setelan'!$B$4/100)/(ABS($N100-$O100)*VLOOKUP($F100,'⚙️ Setelan'!$A$14:$F$20,4,FALSE)),2)),"")</f>
        <v/>
      </c>
      <c r="S100" s="64"/>
      <c r="T100" s="65" t="str">
        <f>IFERROR(IF(OR($N100="",$O100="",$S100=""),"",ABS($N100-$O100)*$S100*VLOOKUP($F100,'⚙️ Setelan'!$A$14:$F$20,4,FALSE)),"")</f>
        <v/>
      </c>
      <c r="U100" s="63" t="str">
        <f t="shared" si="9"/>
        <v/>
      </c>
      <c r="V100" s="65" t="str">
        <f>IFERROR(IF(OR($Q100="",$N100="",$S100=""),"",($Q100-$N100)*IF($G100="Buy",1,-1)*$S100*VLOOKUP($F100,'⚙️ Setelan'!$A$14:$F$20,4,FALSE)),"")</f>
        <v/>
      </c>
      <c r="W100" s="65" t="str">
        <f>IFERROR(IF(OR($S100="",$F100=""),"",$S100*VLOOKUP($F100,'⚙️ Setelan'!$A$14:$F$20,5,FALSE)),"")</f>
        <v/>
      </c>
      <c r="X100" s="65" t="str">
        <f t="shared" si="10"/>
        <v/>
      </c>
      <c r="Y100" s="63" t="str">
        <f t="shared" si="11"/>
        <v/>
      </c>
      <c r="Z100" s="58" t="str">
        <f t="shared" si="12"/>
        <v/>
      </c>
      <c r="AA100" s="66" t="str">
        <f t="shared" si="13"/>
        <v/>
      </c>
      <c r="AB100" s="62"/>
      <c r="AC100" s="62"/>
      <c r="AD100" s="63" t="str">
        <f>IFERROR(IF(OR($AB100="",$T100="",$T100=0),"",ROUND(ABS($N100-$AB100)*$S100*VLOOKUP($F100,'⚙️ Setelan'!$A$14:$F$20,4,FALSE)/$T100,2)),"")</f>
        <v/>
      </c>
      <c r="AE100" s="63" t="str">
        <f>IFERROR(IF(OR($AC100="",$T100="",$T100=0),"",ROUND(ABS($AC100-$N100)*$S100*VLOOKUP($F100,'⚙️ Setelan'!$A$14:$F$20,4,FALSE)/$T100,2)),"")</f>
        <v/>
      </c>
      <c r="AF100" s="61"/>
      <c r="AG100" s="61"/>
      <c r="AH100" s="61"/>
      <c r="AI100" s="61"/>
      <c r="AJ100" s="61"/>
      <c r="AK100" s="67"/>
      <c r="AL100" s="58" t="str">
        <f>IF(OR($C100="",$B100=""),"",IF(AND($Z99="Loss",$B100=$B99,MOD($C100-$D99,1)*1440&lt;'⚙️ Setelan'!$B$9),"⚠️ Revenge",""))</f>
        <v/>
      </c>
      <c r="AM100" s="68"/>
      <c r="AN100" s="58" t="str">
        <f>IF($AM100="","",IFERROR(_xlfn.IMAGE(IF(REGEXMATCH($AM100,"\.(png|jpg|jpeg|gif)$"),$AM100,"https://s3.tradingview.com/snapshots/"&amp;LOWER(MID(REGEXEXTRACT($AM100,"/x/([A-Za-z0-9]+)"),1,1))&amp;"/"&amp;REGEXEXTRACT($AM100,"/x/([A-Za-z0-9]+)")&amp;".png"),1),"⚠️ link tidak dikenali"))</f>
        <v/>
      </c>
      <c r="AO100" s="68"/>
      <c r="AP100" s="58" t="str">
        <f>IF($AO100="","",IFERROR(_xlfn.IMAGE(IF(REGEXMATCH($AO100,"\.(png|jpg|jpeg|gif)$"),$AO100,"https://s3.tradingview.com/snapshots/"&amp;LOWER(MID(REGEXEXTRACT($AO100,"/x/([A-Za-z0-9]+)"),1,1))&amp;"/"&amp;REGEXEXTRACT($AO100,"/x/([A-Za-z0-9]+)")&amp;".png"),1),"⚠️ link tidak dikenali"))</f>
        <v/>
      </c>
      <c r="AQ100" s="66">
        <f>IF($Z100="",0,IF(AND(OR('📊 Dashboard'!$B$4="(Semua)",$F100='📊 Dashboard'!$B$4),OR('📊 Dashboard'!$B$5="(Semua)",$H100='📊 Dashboard'!$B$5),OR('📊 Dashboard'!$B$6="(Semua)",$E100='📊 Dashboard'!$B$6),OR('📊 Dashboard'!$B$7="(Semua)",$AF100='📊 Dashboard'!$B$7),OR('📊 Dashboard'!$B$8="(Semua)",$AG100='📊 Dashboard'!$B$8),OR('📊 Dashboard'!$B$9="(Semua)",$K100='📊 Dashboard'!$B$9)),1,0))</f>
        <v>0</v>
      </c>
      <c r="AR100" s="69"/>
    </row>
    <row r="101" ht="58" customHeight="1" spans="1:44">
      <c r="A101" s="58" t="str">
        <f t="shared" si="7"/>
        <v/>
      </c>
      <c r="B101" s="59"/>
      <c r="C101" s="60"/>
      <c r="D101" s="60"/>
      <c r="E101" s="58" t="str">
        <f t="shared" si="8"/>
        <v/>
      </c>
      <c r="F101" s="61"/>
      <c r="G101" s="61"/>
      <c r="H101" s="61"/>
      <c r="I101" s="61"/>
      <c r="J101" s="61"/>
      <c r="K101" s="61"/>
      <c r="L101" s="61"/>
      <c r="M101" s="61"/>
      <c r="N101" s="62"/>
      <c r="O101" s="62"/>
      <c r="P101" s="62"/>
      <c r="Q101" s="62"/>
      <c r="R101" s="63" t="str">
        <f>IFERROR(IF(OR($N101="",$O101="",$F101=""),"",ROUND(('⚙️ Setelan'!$B$3*'⚙️ Setelan'!$B$4/100)/(ABS($N101-$O101)*VLOOKUP($F101,'⚙️ Setelan'!$A$14:$F$20,4,FALSE)),2)),"")</f>
        <v/>
      </c>
      <c r="S101" s="64"/>
      <c r="T101" s="65" t="str">
        <f>IFERROR(IF(OR($N101="",$O101="",$S101=""),"",ABS($N101-$O101)*$S101*VLOOKUP($F101,'⚙️ Setelan'!$A$14:$F$20,4,FALSE)),"")</f>
        <v/>
      </c>
      <c r="U101" s="63" t="str">
        <f t="shared" si="9"/>
        <v/>
      </c>
      <c r="V101" s="65" t="str">
        <f>IFERROR(IF(OR($Q101="",$N101="",$S101=""),"",($Q101-$N101)*IF($G101="Buy",1,-1)*$S101*VLOOKUP($F101,'⚙️ Setelan'!$A$14:$F$20,4,FALSE)),"")</f>
        <v/>
      </c>
      <c r="W101" s="65" t="str">
        <f>IFERROR(IF(OR($S101="",$F101=""),"",$S101*VLOOKUP($F101,'⚙️ Setelan'!$A$14:$F$20,5,FALSE)),"")</f>
        <v/>
      </c>
      <c r="X101" s="65" t="str">
        <f t="shared" si="10"/>
        <v/>
      </c>
      <c r="Y101" s="63" t="str">
        <f t="shared" si="11"/>
        <v/>
      </c>
      <c r="Z101" s="58" t="str">
        <f t="shared" si="12"/>
        <v/>
      </c>
      <c r="AA101" s="66" t="str">
        <f t="shared" si="13"/>
        <v/>
      </c>
      <c r="AB101" s="62"/>
      <c r="AC101" s="62"/>
      <c r="AD101" s="63" t="str">
        <f>IFERROR(IF(OR($AB101="",$T101="",$T101=0),"",ROUND(ABS($N101-$AB101)*$S101*VLOOKUP($F101,'⚙️ Setelan'!$A$14:$F$20,4,FALSE)/$T101,2)),"")</f>
        <v/>
      </c>
      <c r="AE101" s="63" t="str">
        <f>IFERROR(IF(OR($AC101="",$T101="",$T101=0),"",ROUND(ABS($AC101-$N101)*$S101*VLOOKUP($F101,'⚙️ Setelan'!$A$14:$F$20,4,FALSE)/$T101,2)),"")</f>
        <v/>
      </c>
      <c r="AF101" s="61"/>
      <c r="AG101" s="61"/>
      <c r="AH101" s="61"/>
      <c r="AI101" s="61"/>
      <c r="AJ101" s="61"/>
      <c r="AK101" s="67"/>
      <c r="AL101" s="58" t="str">
        <f>IF(OR($C101="",$B101=""),"",IF(AND($Z100="Loss",$B101=$B100,MOD($C101-$D100,1)*1440&lt;'⚙️ Setelan'!$B$9),"⚠️ Revenge",""))</f>
        <v/>
      </c>
      <c r="AM101" s="68"/>
      <c r="AN101" s="58" t="str">
        <f>IF($AM101="","",IFERROR(_xlfn.IMAGE(IF(REGEXMATCH($AM101,"\.(png|jpg|jpeg|gif)$"),$AM101,"https://s3.tradingview.com/snapshots/"&amp;LOWER(MID(REGEXEXTRACT($AM101,"/x/([A-Za-z0-9]+)"),1,1))&amp;"/"&amp;REGEXEXTRACT($AM101,"/x/([A-Za-z0-9]+)")&amp;".png"),1),"⚠️ link tidak dikenali"))</f>
        <v/>
      </c>
      <c r="AO101" s="68"/>
      <c r="AP101" s="58" t="str">
        <f>IF($AO101="","",IFERROR(_xlfn.IMAGE(IF(REGEXMATCH($AO101,"\.(png|jpg|jpeg|gif)$"),$AO101,"https://s3.tradingview.com/snapshots/"&amp;LOWER(MID(REGEXEXTRACT($AO101,"/x/([A-Za-z0-9]+)"),1,1))&amp;"/"&amp;REGEXEXTRACT($AO101,"/x/([A-Za-z0-9]+)")&amp;".png"),1),"⚠️ link tidak dikenali"))</f>
        <v/>
      </c>
      <c r="AQ101" s="66">
        <f>IF($Z101="",0,IF(AND(OR('📊 Dashboard'!$B$4="(Semua)",$F101='📊 Dashboard'!$B$4),OR('📊 Dashboard'!$B$5="(Semua)",$H101='📊 Dashboard'!$B$5),OR('📊 Dashboard'!$B$6="(Semua)",$E101='📊 Dashboard'!$B$6),OR('📊 Dashboard'!$B$7="(Semua)",$AF101='📊 Dashboard'!$B$7),OR('📊 Dashboard'!$B$8="(Semua)",$AG101='📊 Dashboard'!$B$8),OR('📊 Dashboard'!$B$9="(Semua)",$K101='📊 Dashboard'!$B$9)),1,0))</f>
        <v>0</v>
      </c>
      <c r="AR101" s="69"/>
    </row>
    <row r="102" ht="58" customHeight="1" spans="1:44">
      <c r="A102" s="58" t="str">
        <f t="shared" si="7"/>
        <v/>
      </c>
      <c r="B102" s="59"/>
      <c r="C102" s="60"/>
      <c r="D102" s="60"/>
      <c r="E102" s="58" t="str">
        <f t="shared" si="8"/>
        <v/>
      </c>
      <c r="F102" s="61"/>
      <c r="G102" s="61"/>
      <c r="H102" s="61"/>
      <c r="I102" s="61"/>
      <c r="J102" s="61"/>
      <c r="K102" s="61"/>
      <c r="L102" s="61"/>
      <c r="M102" s="61"/>
      <c r="N102" s="62"/>
      <c r="O102" s="62"/>
      <c r="P102" s="62"/>
      <c r="Q102" s="62"/>
      <c r="R102" s="63" t="str">
        <f>IFERROR(IF(OR($N102="",$O102="",$F102=""),"",ROUND(('⚙️ Setelan'!$B$3*'⚙️ Setelan'!$B$4/100)/(ABS($N102-$O102)*VLOOKUP($F102,'⚙️ Setelan'!$A$14:$F$20,4,FALSE)),2)),"")</f>
        <v/>
      </c>
      <c r="S102" s="64"/>
      <c r="T102" s="65" t="str">
        <f>IFERROR(IF(OR($N102="",$O102="",$S102=""),"",ABS($N102-$O102)*$S102*VLOOKUP($F102,'⚙️ Setelan'!$A$14:$F$20,4,FALSE)),"")</f>
        <v/>
      </c>
      <c r="U102" s="63" t="str">
        <f t="shared" si="9"/>
        <v/>
      </c>
      <c r="V102" s="65" t="str">
        <f>IFERROR(IF(OR($Q102="",$N102="",$S102=""),"",($Q102-$N102)*IF($G102="Buy",1,-1)*$S102*VLOOKUP($F102,'⚙️ Setelan'!$A$14:$F$20,4,FALSE)),"")</f>
        <v/>
      </c>
      <c r="W102" s="65" t="str">
        <f>IFERROR(IF(OR($S102="",$F102=""),"",$S102*VLOOKUP($F102,'⚙️ Setelan'!$A$14:$F$20,5,FALSE)),"")</f>
        <v/>
      </c>
      <c r="X102" s="65" t="str">
        <f t="shared" si="10"/>
        <v/>
      </c>
      <c r="Y102" s="63" t="str">
        <f t="shared" si="11"/>
        <v/>
      </c>
      <c r="Z102" s="58" t="str">
        <f t="shared" si="12"/>
        <v/>
      </c>
      <c r="AA102" s="66" t="str">
        <f t="shared" si="13"/>
        <v/>
      </c>
      <c r="AB102" s="62"/>
      <c r="AC102" s="62"/>
      <c r="AD102" s="63" t="str">
        <f>IFERROR(IF(OR($AB102="",$T102="",$T102=0),"",ROUND(ABS($N102-$AB102)*$S102*VLOOKUP($F102,'⚙️ Setelan'!$A$14:$F$20,4,FALSE)/$T102,2)),"")</f>
        <v/>
      </c>
      <c r="AE102" s="63" t="str">
        <f>IFERROR(IF(OR($AC102="",$T102="",$T102=0),"",ROUND(ABS($AC102-$N102)*$S102*VLOOKUP($F102,'⚙️ Setelan'!$A$14:$F$20,4,FALSE)/$T102,2)),"")</f>
        <v/>
      </c>
      <c r="AF102" s="61"/>
      <c r="AG102" s="61"/>
      <c r="AH102" s="61"/>
      <c r="AI102" s="61"/>
      <c r="AJ102" s="61"/>
      <c r="AK102" s="67"/>
      <c r="AL102" s="58" t="str">
        <f>IF(OR($C102="",$B102=""),"",IF(AND($Z101="Loss",$B102=$B101,MOD($C102-$D101,1)*1440&lt;'⚙️ Setelan'!$B$9),"⚠️ Revenge",""))</f>
        <v/>
      </c>
      <c r="AM102" s="68"/>
      <c r="AN102" s="58" t="str">
        <f>IF($AM102="","",IFERROR(_xlfn.IMAGE(IF(REGEXMATCH($AM102,"\.(png|jpg|jpeg|gif)$"),$AM102,"https://s3.tradingview.com/snapshots/"&amp;LOWER(MID(REGEXEXTRACT($AM102,"/x/([A-Za-z0-9]+)"),1,1))&amp;"/"&amp;REGEXEXTRACT($AM102,"/x/([A-Za-z0-9]+)")&amp;".png"),1),"⚠️ link tidak dikenali"))</f>
        <v/>
      </c>
      <c r="AO102" s="68"/>
      <c r="AP102" s="58" t="str">
        <f>IF($AO102="","",IFERROR(_xlfn.IMAGE(IF(REGEXMATCH($AO102,"\.(png|jpg|jpeg|gif)$"),$AO102,"https://s3.tradingview.com/snapshots/"&amp;LOWER(MID(REGEXEXTRACT($AO102,"/x/([A-Za-z0-9]+)"),1,1))&amp;"/"&amp;REGEXEXTRACT($AO102,"/x/([A-Za-z0-9]+)")&amp;".png"),1),"⚠️ link tidak dikenali"))</f>
        <v/>
      </c>
      <c r="AQ102" s="66">
        <f>IF($Z102="",0,IF(AND(OR('📊 Dashboard'!$B$4="(Semua)",$F102='📊 Dashboard'!$B$4),OR('📊 Dashboard'!$B$5="(Semua)",$H102='📊 Dashboard'!$B$5),OR('📊 Dashboard'!$B$6="(Semua)",$E102='📊 Dashboard'!$B$6),OR('📊 Dashboard'!$B$7="(Semua)",$AF102='📊 Dashboard'!$B$7),OR('📊 Dashboard'!$B$8="(Semua)",$AG102='📊 Dashboard'!$B$8),OR('📊 Dashboard'!$B$9="(Semua)",$K102='📊 Dashboard'!$B$9)),1,0))</f>
        <v>0</v>
      </c>
      <c r="AR102" s="69"/>
    </row>
    <row r="103" ht="58" customHeight="1" spans="1:44">
      <c r="A103" s="58" t="str">
        <f t="shared" si="7"/>
        <v/>
      </c>
      <c r="B103" s="59"/>
      <c r="C103" s="60"/>
      <c r="D103" s="60"/>
      <c r="E103" s="58" t="str">
        <f t="shared" si="8"/>
        <v/>
      </c>
      <c r="F103" s="61"/>
      <c r="G103" s="61"/>
      <c r="H103" s="61"/>
      <c r="I103" s="61"/>
      <c r="J103" s="61"/>
      <c r="K103" s="61"/>
      <c r="L103" s="61"/>
      <c r="M103" s="61"/>
      <c r="N103" s="62"/>
      <c r="O103" s="62"/>
      <c r="P103" s="62"/>
      <c r="Q103" s="62"/>
      <c r="R103" s="63" t="str">
        <f>IFERROR(IF(OR($N103="",$O103="",$F103=""),"",ROUND(('⚙️ Setelan'!$B$3*'⚙️ Setelan'!$B$4/100)/(ABS($N103-$O103)*VLOOKUP($F103,'⚙️ Setelan'!$A$14:$F$20,4,FALSE)),2)),"")</f>
        <v/>
      </c>
      <c r="S103" s="64"/>
      <c r="T103" s="65" t="str">
        <f>IFERROR(IF(OR($N103="",$O103="",$S103=""),"",ABS($N103-$O103)*$S103*VLOOKUP($F103,'⚙️ Setelan'!$A$14:$F$20,4,FALSE)),"")</f>
        <v/>
      </c>
      <c r="U103" s="63" t="str">
        <f t="shared" si="9"/>
        <v/>
      </c>
      <c r="V103" s="65" t="str">
        <f>IFERROR(IF(OR($Q103="",$N103="",$S103=""),"",($Q103-$N103)*IF($G103="Buy",1,-1)*$S103*VLOOKUP($F103,'⚙️ Setelan'!$A$14:$F$20,4,FALSE)),"")</f>
        <v/>
      </c>
      <c r="W103" s="65" t="str">
        <f>IFERROR(IF(OR($S103="",$F103=""),"",$S103*VLOOKUP($F103,'⚙️ Setelan'!$A$14:$F$20,5,FALSE)),"")</f>
        <v/>
      </c>
      <c r="X103" s="65" t="str">
        <f t="shared" si="10"/>
        <v/>
      </c>
      <c r="Y103" s="63" t="str">
        <f t="shared" si="11"/>
        <v/>
      </c>
      <c r="Z103" s="58" t="str">
        <f t="shared" si="12"/>
        <v/>
      </c>
      <c r="AA103" s="66" t="str">
        <f t="shared" si="13"/>
        <v/>
      </c>
      <c r="AB103" s="62"/>
      <c r="AC103" s="62"/>
      <c r="AD103" s="63" t="str">
        <f>IFERROR(IF(OR($AB103="",$T103="",$T103=0),"",ROUND(ABS($N103-$AB103)*$S103*VLOOKUP($F103,'⚙️ Setelan'!$A$14:$F$20,4,FALSE)/$T103,2)),"")</f>
        <v/>
      </c>
      <c r="AE103" s="63" t="str">
        <f>IFERROR(IF(OR($AC103="",$T103="",$T103=0),"",ROUND(ABS($AC103-$N103)*$S103*VLOOKUP($F103,'⚙️ Setelan'!$A$14:$F$20,4,FALSE)/$T103,2)),"")</f>
        <v/>
      </c>
      <c r="AF103" s="61"/>
      <c r="AG103" s="61"/>
      <c r="AH103" s="61"/>
      <c r="AI103" s="61"/>
      <c r="AJ103" s="61"/>
      <c r="AK103" s="67"/>
      <c r="AL103" s="58" t="str">
        <f>IF(OR($C103="",$B103=""),"",IF(AND($Z102="Loss",$B103=$B102,MOD($C103-$D102,1)*1440&lt;'⚙️ Setelan'!$B$9),"⚠️ Revenge",""))</f>
        <v/>
      </c>
      <c r="AM103" s="68"/>
      <c r="AN103" s="58" t="str">
        <f>IF($AM103="","",IFERROR(_xlfn.IMAGE(IF(REGEXMATCH($AM103,"\.(png|jpg|jpeg|gif)$"),$AM103,"https://s3.tradingview.com/snapshots/"&amp;LOWER(MID(REGEXEXTRACT($AM103,"/x/([A-Za-z0-9]+)"),1,1))&amp;"/"&amp;REGEXEXTRACT($AM103,"/x/([A-Za-z0-9]+)")&amp;".png"),1),"⚠️ link tidak dikenali"))</f>
        <v/>
      </c>
      <c r="AO103" s="68"/>
      <c r="AP103" s="58" t="str">
        <f>IF($AO103="","",IFERROR(_xlfn.IMAGE(IF(REGEXMATCH($AO103,"\.(png|jpg|jpeg|gif)$"),$AO103,"https://s3.tradingview.com/snapshots/"&amp;LOWER(MID(REGEXEXTRACT($AO103,"/x/([A-Za-z0-9]+)"),1,1))&amp;"/"&amp;REGEXEXTRACT($AO103,"/x/([A-Za-z0-9]+)")&amp;".png"),1),"⚠️ link tidak dikenali"))</f>
        <v/>
      </c>
      <c r="AQ103" s="66">
        <f>IF($Z103="",0,IF(AND(OR('📊 Dashboard'!$B$4="(Semua)",$F103='📊 Dashboard'!$B$4),OR('📊 Dashboard'!$B$5="(Semua)",$H103='📊 Dashboard'!$B$5),OR('📊 Dashboard'!$B$6="(Semua)",$E103='📊 Dashboard'!$B$6),OR('📊 Dashboard'!$B$7="(Semua)",$AF103='📊 Dashboard'!$B$7),OR('📊 Dashboard'!$B$8="(Semua)",$AG103='📊 Dashboard'!$B$8),OR('📊 Dashboard'!$B$9="(Semua)",$K103='📊 Dashboard'!$B$9)),1,0))</f>
        <v>0</v>
      </c>
      <c r="AR103" s="69"/>
    </row>
    <row r="104" ht="58" customHeight="1" spans="1:44">
      <c r="A104" s="58" t="str">
        <f t="shared" si="7"/>
        <v/>
      </c>
      <c r="B104" s="59"/>
      <c r="C104" s="60"/>
      <c r="D104" s="60"/>
      <c r="E104" s="58" t="str">
        <f t="shared" si="8"/>
        <v/>
      </c>
      <c r="F104" s="61"/>
      <c r="G104" s="61"/>
      <c r="H104" s="61"/>
      <c r="I104" s="61"/>
      <c r="J104" s="61"/>
      <c r="K104" s="61"/>
      <c r="L104" s="61"/>
      <c r="M104" s="61"/>
      <c r="N104" s="62"/>
      <c r="O104" s="62"/>
      <c r="P104" s="62"/>
      <c r="Q104" s="62"/>
      <c r="R104" s="63" t="str">
        <f>IFERROR(IF(OR($N104="",$O104="",$F104=""),"",ROUND(('⚙️ Setelan'!$B$3*'⚙️ Setelan'!$B$4/100)/(ABS($N104-$O104)*VLOOKUP($F104,'⚙️ Setelan'!$A$14:$F$20,4,FALSE)),2)),"")</f>
        <v/>
      </c>
      <c r="S104" s="64"/>
      <c r="T104" s="65" t="str">
        <f>IFERROR(IF(OR($N104="",$O104="",$S104=""),"",ABS($N104-$O104)*$S104*VLOOKUP($F104,'⚙️ Setelan'!$A$14:$F$20,4,FALSE)),"")</f>
        <v/>
      </c>
      <c r="U104" s="63" t="str">
        <f t="shared" si="9"/>
        <v/>
      </c>
      <c r="V104" s="65" t="str">
        <f>IFERROR(IF(OR($Q104="",$N104="",$S104=""),"",($Q104-$N104)*IF($G104="Buy",1,-1)*$S104*VLOOKUP($F104,'⚙️ Setelan'!$A$14:$F$20,4,FALSE)),"")</f>
        <v/>
      </c>
      <c r="W104" s="65" t="str">
        <f>IFERROR(IF(OR($S104="",$F104=""),"",$S104*VLOOKUP($F104,'⚙️ Setelan'!$A$14:$F$20,5,FALSE)),"")</f>
        <v/>
      </c>
      <c r="X104" s="65" t="str">
        <f t="shared" si="10"/>
        <v/>
      </c>
      <c r="Y104" s="63" t="str">
        <f t="shared" si="11"/>
        <v/>
      </c>
      <c r="Z104" s="58" t="str">
        <f t="shared" si="12"/>
        <v/>
      </c>
      <c r="AA104" s="66" t="str">
        <f t="shared" si="13"/>
        <v/>
      </c>
      <c r="AB104" s="62"/>
      <c r="AC104" s="62"/>
      <c r="AD104" s="63" t="str">
        <f>IFERROR(IF(OR($AB104="",$T104="",$T104=0),"",ROUND(ABS($N104-$AB104)*$S104*VLOOKUP($F104,'⚙️ Setelan'!$A$14:$F$20,4,FALSE)/$T104,2)),"")</f>
        <v/>
      </c>
      <c r="AE104" s="63" t="str">
        <f>IFERROR(IF(OR($AC104="",$T104="",$T104=0),"",ROUND(ABS($AC104-$N104)*$S104*VLOOKUP($F104,'⚙️ Setelan'!$A$14:$F$20,4,FALSE)/$T104,2)),"")</f>
        <v/>
      </c>
      <c r="AF104" s="61"/>
      <c r="AG104" s="61"/>
      <c r="AH104" s="61"/>
      <c r="AI104" s="61"/>
      <c r="AJ104" s="61"/>
      <c r="AK104" s="67"/>
      <c r="AL104" s="58" t="str">
        <f>IF(OR($C104="",$B104=""),"",IF(AND($Z103="Loss",$B104=$B103,MOD($C104-$D103,1)*1440&lt;'⚙️ Setelan'!$B$9),"⚠️ Revenge",""))</f>
        <v/>
      </c>
      <c r="AM104" s="68"/>
      <c r="AN104" s="58" t="str">
        <f>IF($AM104="","",IFERROR(_xlfn.IMAGE(IF(REGEXMATCH($AM104,"\.(png|jpg|jpeg|gif)$"),$AM104,"https://s3.tradingview.com/snapshots/"&amp;LOWER(MID(REGEXEXTRACT($AM104,"/x/([A-Za-z0-9]+)"),1,1))&amp;"/"&amp;REGEXEXTRACT($AM104,"/x/([A-Za-z0-9]+)")&amp;".png"),1),"⚠️ link tidak dikenali"))</f>
        <v/>
      </c>
      <c r="AO104" s="68"/>
      <c r="AP104" s="58" t="str">
        <f>IF($AO104="","",IFERROR(_xlfn.IMAGE(IF(REGEXMATCH($AO104,"\.(png|jpg|jpeg|gif)$"),$AO104,"https://s3.tradingview.com/snapshots/"&amp;LOWER(MID(REGEXEXTRACT($AO104,"/x/([A-Za-z0-9]+)"),1,1))&amp;"/"&amp;REGEXEXTRACT($AO104,"/x/([A-Za-z0-9]+)")&amp;".png"),1),"⚠️ link tidak dikenali"))</f>
        <v/>
      </c>
      <c r="AQ104" s="66">
        <f>IF($Z104="",0,IF(AND(OR('📊 Dashboard'!$B$4="(Semua)",$F104='📊 Dashboard'!$B$4),OR('📊 Dashboard'!$B$5="(Semua)",$H104='📊 Dashboard'!$B$5),OR('📊 Dashboard'!$B$6="(Semua)",$E104='📊 Dashboard'!$B$6),OR('📊 Dashboard'!$B$7="(Semua)",$AF104='📊 Dashboard'!$B$7),OR('📊 Dashboard'!$B$8="(Semua)",$AG104='📊 Dashboard'!$B$8),OR('📊 Dashboard'!$B$9="(Semua)",$K104='📊 Dashboard'!$B$9)),1,0))</f>
        <v>0</v>
      </c>
      <c r="AR104" s="69"/>
    </row>
    <row r="105" ht="58" customHeight="1" spans="1:44">
      <c r="A105" s="58" t="str">
        <f t="shared" si="7"/>
        <v/>
      </c>
      <c r="B105" s="59"/>
      <c r="C105" s="60"/>
      <c r="D105" s="60"/>
      <c r="E105" s="58" t="str">
        <f t="shared" si="8"/>
        <v/>
      </c>
      <c r="F105" s="61"/>
      <c r="G105" s="61"/>
      <c r="H105" s="61"/>
      <c r="I105" s="61"/>
      <c r="J105" s="61"/>
      <c r="K105" s="61"/>
      <c r="L105" s="61"/>
      <c r="M105" s="61"/>
      <c r="N105" s="62"/>
      <c r="O105" s="62"/>
      <c r="P105" s="62"/>
      <c r="Q105" s="62"/>
      <c r="R105" s="63" t="str">
        <f>IFERROR(IF(OR($N105="",$O105="",$F105=""),"",ROUND(('⚙️ Setelan'!$B$3*'⚙️ Setelan'!$B$4/100)/(ABS($N105-$O105)*VLOOKUP($F105,'⚙️ Setelan'!$A$14:$F$20,4,FALSE)),2)),"")</f>
        <v/>
      </c>
      <c r="S105" s="64"/>
      <c r="T105" s="65" t="str">
        <f>IFERROR(IF(OR($N105="",$O105="",$S105=""),"",ABS($N105-$O105)*$S105*VLOOKUP($F105,'⚙️ Setelan'!$A$14:$F$20,4,FALSE)),"")</f>
        <v/>
      </c>
      <c r="U105" s="63" t="str">
        <f t="shared" si="9"/>
        <v/>
      </c>
      <c r="V105" s="65" t="str">
        <f>IFERROR(IF(OR($Q105="",$N105="",$S105=""),"",($Q105-$N105)*IF($G105="Buy",1,-1)*$S105*VLOOKUP($F105,'⚙️ Setelan'!$A$14:$F$20,4,FALSE)),"")</f>
        <v/>
      </c>
      <c r="W105" s="65" t="str">
        <f>IFERROR(IF(OR($S105="",$F105=""),"",$S105*VLOOKUP($F105,'⚙️ Setelan'!$A$14:$F$20,5,FALSE)),"")</f>
        <v/>
      </c>
      <c r="X105" s="65" t="str">
        <f t="shared" si="10"/>
        <v/>
      </c>
      <c r="Y105" s="63" t="str">
        <f t="shared" si="11"/>
        <v/>
      </c>
      <c r="Z105" s="58" t="str">
        <f t="shared" si="12"/>
        <v/>
      </c>
      <c r="AA105" s="66" t="str">
        <f t="shared" si="13"/>
        <v/>
      </c>
      <c r="AB105" s="62"/>
      <c r="AC105" s="62"/>
      <c r="AD105" s="63" t="str">
        <f>IFERROR(IF(OR($AB105="",$T105="",$T105=0),"",ROUND(ABS($N105-$AB105)*$S105*VLOOKUP($F105,'⚙️ Setelan'!$A$14:$F$20,4,FALSE)/$T105,2)),"")</f>
        <v/>
      </c>
      <c r="AE105" s="63" t="str">
        <f>IFERROR(IF(OR($AC105="",$T105="",$T105=0),"",ROUND(ABS($AC105-$N105)*$S105*VLOOKUP($F105,'⚙️ Setelan'!$A$14:$F$20,4,FALSE)/$T105,2)),"")</f>
        <v/>
      </c>
      <c r="AF105" s="61"/>
      <c r="AG105" s="61"/>
      <c r="AH105" s="61"/>
      <c r="AI105" s="61"/>
      <c r="AJ105" s="61"/>
      <c r="AK105" s="67"/>
      <c r="AL105" s="58" t="str">
        <f>IF(OR($C105="",$B105=""),"",IF(AND($Z104="Loss",$B105=$B104,MOD($C105-$D104,1)*1440&lt;'⚙️ Setelan'!$B$9),"⚠️ Revenge",""))</f>
        <v/>
      </c>
      <c r="AM105" s="68"/>
      <c r="AN105" s="58" t="str">
        <f>IF($AM105="","",IFERROR(_xlfn.IMAGE(IF(REGEXMATCH($AM105,"\.(png|jpg|jpeg|gif)$"),$AM105,"https://s3.tradingview.com/snapshots/"&amp;LOWER(MID(REGEXEXTRACT($AM105,"/x/([A-Za-z0-9]+)"),1,1))&amp;"/"&amp;REGEXEXTRACT($AM105,"/x/([A-Za-z0-9]+)")&amp;".png"),1),"⚠️ link tidak dikenali"))</f>
        <v/>
      </c>
      <c r="AO105" s="68"/>
      <c r="AP105" s="58" t="str">
        <f>IF($AO105="","",IFERROR(_xlfn.IMAGE(IF(REGEXMATCH($AO105,"\.(png|jpg|jpeg|gif)$"),$AO105,"https://s3.tradingview.com/snapshots/"&amp;LOWER(MID(REGEXEXTRACT($AO105,"/x/([A-Za-z0-9]+)"),1,1))&amp;"/"&amp;REGEXEXTRACT($AO105,"/x/([A-Za-z0-9]+)")&amp;".png"),1),"⚠️ link tidak dikenali"))</f>
        <v/>
      </c>
      <c r="AQ105" s="66">
        <f>IF($Z105="",0,IF(AND(OR('📊 Dashboard'!$B$4="(Semua)",$F105='📊 Dashboard'!$B$4),OR('📊 Dashboard'!$B$5="(Semua)",$H105='📊 Dashboard'!$B$5),OR('📊 Dashboard'!$B$6="(Semua)",$E105='📊 Dashboard'!$B$6),OR('📊 Dashboard'!$B$7="(Semua)",$AF105='📊 Dashboard'!$B$7),OR('📊 Dashboard'!$B$8="(Semua)",$AG105='📊 Dashboard'!$B$8),OR('📊 Dashboard'!$B$9="(Semua)",$K105='📊 Dashboard'!$B$9)),1,0))</f>
        <v>0</v>
      </c>
      <c r="AR105" s="69"/>
    </row>
    <row r="106" ht="58" customHeight="1" spans="1:44">
      <c r="A106" s="58" t="str">
        <f t="shared" si="7"/>
        <v/>
      </c>
      <c r="B106" s="59"/>
      <c r="C106" s="60"/>
      <c r="D106" s="60"/>
      <c r="E106" s="58" t="str">
        <f t="shared" si="8"/>
        <v/>
      </c>
      <c r="F106" s="61"/>
      <c r="G106" s="61"/>
      <c r="H106" s="61"/>
      <c r="I106" s="61"/>
      <c r="J106" s="61"/>
      <c r="K106" s="61"/>
      <c r="L106" s="61"/>
      <c r="M106" s="61"/>
      <c r="N106" s="62"/>
      <c r="O106" s="62"/>
      <c r="P106" s="62"/>
      <c r="Q106" s="62"/>
      <c r="R106" s="63" t="str">
        <f>IFERROR(IF(OR($N106="",$O106="",$F106=""),"",ROUND(('⚙️ Setelan'!$B$3*'⚙️ Setelan'!$B$4/100)/(ABS($N106-$O106)*VLOOKUP($F106,'⚙️ Setelan'!$A$14:$F$20,4,FALSE)),2)),"")</f>
        <v/>
      </c>
      <c r="S106" s="64"/>
      <c r="T106" s="65" t="str">
        <f>IFERROR(IF(OR($N106="",$O106="",$S106=""),"",ABS($N106-$O106)*$S106*VLOOKUP($F106,'⚙️ Setelan'!$A$14:$F$20,4,FALSE)),"")</f>
        <v/>
      </c>
      <c r="U106" s="63" t="str">
        <f t="shared" si="9"/>
        <v/>
      </c>
      <c r="V106" s="65" t="str">
        <f>IFERROR(IF(OR($Q106="",$N106="",$S106=""),"",($Q106-$N106)*IF($G106="Buy",1,-1)*$S106*VLOOKUP($F106,'⚙️ Setelan'!$A$14:$F$20,4,FALSE)),"")</f>
        <v/>
      </c>
      <c r="W106" s="65" t="str">
        <f>IFERROR(IF(OR($S106="",$F106=""),"",$S106*VLOOKUP($F106,'⚙️ Setelan'!$A$14:$F$20,5,FALSE)),"")</f>
        <v/>
      </c>
      <c r="X106" s="65" t="str">
        <f t="shared" si="10"/>
        <v/>
      </c>
      <c r="Y106" s="63" t="str">
        <f t="shared" si="11"/>
        <v/>
      </c>
      <c r="Z106" s="58" t="str">
        <f t="shared" si="12"/>
        <v/>
      </c>
      <c r="AA106" s="66" t="str">
        <f t="shared" si="13"/>
        <v/>
      </c>
      <c r="AB106" s="62"/>
      <c r="AC106" s="62"/>
      <c r="AD106" s="63" t="str">
        <f>IFERROR(IF(OR($AB106="",$T106="",$T106=0),"",ROUND(ABS($N106-$AB106)*$S106*VLOOKUP($F106,'⚙️ Setelan'!$A$14:$F$20,4,FALSE)/$T106,2)),"")</f>
        <v/>
      </c>
      <c r="AE106" s="63" t="str">
        <f>IFERROR(IF(OR($AC106="",$T106="",$T106=0),"",ROUND(ABS($AC106-$N106)*$S106*VLOOKUP($F106,'⚙️ Setelan'!$A$14:$F$20,4,FALSE)/$T106,2)),"")</f>
        <v/>
      </c>
      <c r="AF106" s="61"/>
      <c r="AG106" s="61"/>
      <c r="AH106" s="61"/>
      <c r="AI106" s="61"/>
      <c r="AJ106" s="61"/>
      <c r="AK106" s="67"/>
      <c r="AL106" s="58" t="str">
        <f>IF(OR($C106="",$B106=""),"",IF(AND($Z105="Loss",$B106=$B105,MOD($C106-$D105,1)*1440&lt;'⚙️ Setelan'!$B$9),"⚠️ Revenge",""))</f>
        <v/>
      </c>
      <c r="AM106" s="68"/>
      <c r="AN106" s="58" t="str">
        <f>IF($AM106="","",IFERROR(_xlfn.IMAGE(IF(REGEXMATCH($AM106,"\.(png|jpg|jpeg|gif)$"),$AM106,"https://s3.tradingview.com/snapshots/"&amp;LOWER(MID(REGEXEXTRACT($AM106,"/x/([A-Za-z0-9]+)"),1,1))&amp;"/"&amp;REGEXEXTRACT($AM106,"/x/([A-Za-z0-9]+)")&amp;".png"),1),"⚠️ link tidak dikenali"))</f>
        <v/>
      </c>
      <c r="AO106" s="68"/>
      <c r="AP106" s="58" t="str">
        <f>IF($AO106="","",IFERROR(_xlfn.IMAGE(IF(REGEXMATCH($AO106,"\.(png|jpg|jpeg|gif)$"),$AO106,"https://s3.tradingview.com/snapshots/"&amp;LOWER(MID(REGEXEXTRACT($AO106,"/x/([A-Za-z0-9]+)"),1,1))&amp;"/"&amp;REGEXEXTRACT($AO106,"/x/([A-Za-z0-9]+)")&amp;".png"),1),"⚠️ link tidak dikenali"))</f>
        <v/>
      </c>
      <c r="AQ106" s="66">
        <f>IF($Z106="",0,IF(AND(OR('📊 Dashboard'!$B$4="(Semua)",$F106='📊 Dashboard'!$B$4),OR('📊 Dashboard'!$B$5="(Semua)",$H106='📊 Dashboard'!$B$5),OR('📊 Dashboard'!$B$6="(Semua)",$E106='📊 Dashboard'!$B$6),OR('📊 Dashboard'!$B$7="(Semua)",$AF106='📊 Dashboard'!$B$7),OR('📊 Dashboard'!$B$8="(Semua)",$AG106='📊 Dashboard'!$B$8),OR('📊 Dashboard'!$B$9="(Semua)",$K106='📊 Dashboard'!$B$9)),1,0))</f>
        <v>0</v>
      </c>
      <c r="AR106" s="69"/>
    </row>
    <row r="107" ht="58" customHeight="1" spans="1:44">
      <c r="A107" s="58" t="str">
        <f t="shared" si="7"/>
        <v/>
      </c>
      <c r="B107" s="59"/>
      <c r="C107" s="60"/>
      <c r="D107" s="60"/>
      <c r="E107" s="58" t="str">
        <f t="shared" si="8"/>
        <v/>
      </c>
      <c r="F107" s="61"/>
      <c r="G107" s="61"/>
      <c r="H107" s="61"/>
      <c r="I107" s="61"/>
      <c r="J107" s="61"/>
      <c r="K107" s="61"/>
      <c r="L107" s="61"/>
      <c r="M107" s="61"/>
      <c r="N107" s="62"/>
      <c r="O107" s="62"/>
      <c r="P107" s="62"/>
      <c r="Q107" s="62"/>
      <c r="R107" s="63" t="str">
        <f>IFERROR(IF(OR($N107="",$O107="",$F107=""),"",ROUND(('⚙️ Setelan'!$B$3*'⚙️ Setelan'!$B$4/100)/(ABS($N107-$O107)*VLOOKUP($F107,'⚙️ Setelan'!$A$14:$F$20,4,FALSE)),2)),"")</f>
        <v/>
      </c>
      <c r="S107" s="64"/>
      <c r="T107" s="65" t="str">
        <f>IFERROR(IF(OR($N107="",$O107="",$S107=""),"",ABS($N107-$O107)*$S107*VLOOKUP($F107,'⚙️ Setelan'!$A$14:$F$20,4,FALSE)),"")</f>
        <v/>
      </c>
      <c r="U107" s="63" t="str">
        <f t="shared" si="9"/>
        <v/>
      </c>
      <c r="V107" s="65" t="str">
        <f>IFERROR(IF(OR($Q107="",$N107="",$S107=""),"",($Q107-$N107)*IF($G107="Buy",1,-1)*$S107*VLOOKUP($F107,'⚙️ Setelan'!$A$14:$F$20,4,FALSE)),"")</f>
        <v/>
      </c>
      <c r="W107" s="65" t="str">
        <f>IFERROR(IF(OR($S107="",$F107=""),"",$S107*VLOOKUP($F107,'⚙️ Setelan'!$A$14:$F$20,5,FALSE)),"")</f>
        <v/>
      </c>
      <c r="X107" s="65" t="str">
        <f t="shared" si="10"/>
        <v/>
      </c>
      <c r="Y107" s="63" t="str">
        <f t="shared" si="11"/>
        <v/>
      </c>
      <c r="Z107" s="58" t="str">
        <f t="shared" si="12"/>
        <v/>
      </c>
      <c r="AA107" s="66" t="str">
        <f t="shared" si="13"/>
        <v/>
      </c>
      <c r="AB107" s="62"/>
      <c r="AC107" s="62"/>
      <c r="AD107" s="63" t="str">
        <f>IFERROR(IF(OR($AB107="",$T107="",$T107=0),"",ROUND(ABS($N107-$AB107)*$S107*VLOOKUP($F107,'⚙️ Setelan'!$A$14:$F$20,4,FALSE)/$T107,2)),"")</f>
        <v/>
      </c>
      <c r="AE107" s="63" t="str">
        <f>IFERROR(IF(OR($AC107="",$T107="",$T107=0),"",ROUND(ABS($AC107-$N107)*$S107*VLOOKUP($F107,'⚙️ Setelan'!$A$14:$F$20,4,FALSE)/$T107,2)),"")</f>
        <v/>
      </c>
      <c r="AF107" s="61"/>
      <c r="AG107" s="61"/>
      <c r="AH107" s="61"/>
      <c r="AI107" s="61"/>
      <c r="AJ107" s="61"/>
      <c r="AK107" s="67"/>
      <c r="AL107" s="58" t="str">
        <f>IF(OR($C107="",$B107=""),"",IF(AND($Z106="Loss",$B107=$B106,MOD($C107-$D106,1)*1440&lt;'⚙️ Setelan'!$B$9),"⚠️ Revenge",""))</f>
        <v/>
      </c>
      <c r="AM107" s="68"/>
      <c r="AN107" s="58" t="str">
        <f>IF($AM107="","",IFERROR(_xlfn.IMAGE(IF(REGEXMATCH($AM107,"\.(png|jpg|jpeg|gif)$"),$AM107,"https://s3.tradingview.com/snapshots/"&amp;LOWER(MID(REGEXEXTRACT($AM107,"/x/([A-Za-z0-9]+)"),1,1))&amp;"/"&amp;REGEXEXTRACT($AM107,"/x/([A-Za-z0-9]+)")&amp;".png"),1),"⚠️ link tidak dikenali"))</f>
        <v/>
      </c>
      <c r="AO107" s="68"/>
      <c r="AP107" s="58" t="str">
        <f>IF($AO107="","",IFERROR(_xlfn.IMAGE(IF(REGEXMATCH($AO107,"\.(png|jpg|jpeg|gif)$"),$AO107,"https://s3.tradingview.com/snapshots/"&amp;LOWER(MID(REGEXEXTRACT($AO107,"/x/([A-Za-z0-9]+)"),1,1))&amp;"/"&amp;REGEXEXTRACT($AO107,"/x/([A-Za-z0-9]+)")&amp;".png"),1),"⚠️ link tidak dikenali"))</f>
        <v/>
      </c>
      <c r="AQ107" s="66">
        <f>IF($Z107="",0,IF(AND(OR('📊 Dashboard'!$B$4="(Semua)",$F107='📊 Dashboard'!$B$4),OR('📊 Dashboard'!$B$5="(Semua)",$H107='📊 Dashboard'!$B$5),OR('📊 Dashboard'!$B$6="(Semua)",$E107='📊 Dashboard'!$B$6),OR('📊 Dashboard'!$B$7="(Semua)",$AF107='📊 Dashboard'!$B$7),OR('📊 Dashboard'!$B$8="(Semua)",$AG107='📊 Dashboard'!$B$8),OR('📊 Dashboard'!$B$9="(Semua)",$K107='📊 Dashboard'!$B$9)),1,0))</f>
        <v>0</v>
      </c>
      <c r="AR107" s="69"/>
    </row>
    <row r="108" ht="58" customHeight="1" spans="1:44">
      <c r="A108" s="58" t="str">
        <f t="shared" si="7"/>
        <v/>
      </c>
      <c r="B108" s="59"/>
      <c r="C108" s="60"/>
      <c r="D108" s="60"/>
      <c r="E108" s="58" t="str">
        <f t="shared" si="8"/>
        <v/>
      </c>
      <c r="F108" s="61"/>
      <c r="G108" s="61"/>
      <c r="H108" s="61"/>
      <c r="I108" s="61"/>
      <c r="J108" s="61"/>
      <c r="K108" s="61"/>
      <c r="L108" s="61"/>
      <c r="M108" s="61"/>
      <c r="N108" s="62"/>
      <c r="O108" s="62"/>
      <c r="P108" s="62"/>
      <c r="Q108" s="62"/>
      <c r="R108" s="63" t="str">
        <f>IFERROR(IF(OR($N108="",$O108="",$F108=""),"",ROUND(('⚙️ Setelan'!$B$3*'⚙️ Setelan'!$B$4/100)/(ABS($N108-$O108)*VLOOKUP($F108,'⚙️ Setelan'!$A$14:$F$20,4,FALSE)),2)),"")</f>
        <v/>
      </c>
      <c r="S108" s="64"/>
      <c r="T108" s="65" t="str">
        <f>IFERROR(IF(OR($N108="",$O108="",$S108=""),"",ABS($N108-$O108)*$S108*VLOOKUP($F108,'⚙️ Setelan'!$A$14:$F$20,4,FALSE)),"")</f>
        <v/>
      </c>
      <c r="U108" s="63" t="str">
        <f t="shared" si="9"/>
        <v/>
      </c>
      <c r="V108" s="65" t="str">
        <f>IFERROR(IF(OR($Q108="",$N108="",$S108=""),"",($Q108-$N108)*IF($G108="Buy",1,-1)*$S108*VLOOKUP($F108,'⚙️ Setelan'!$A$14:$F$20,4,FALSE)),"")</f>
        <v/>
      </c>
      <c r="W108" s="65" t="str">
        <f>IFERROR(IF(OR($S108="",$F108=""),"",$S108*VLOOKUP($F108,'⚙️ Setelan'!$A$14:$F$20,5,FALSE)),"")</f>
        <v/>
      </c>
      <c r="X108" s="65" t="str">
        <f t="shared" si="10"/>
        <v/>
      </c>
      <c r="Y108" s="63" t="str">
        <f t="shared" si="11"/>
        <v/>
      </c>
      <c r="Z108" s="58" t="str">
        <f t="shared" si="12"/>
        <v/>
      </c>
      <c r="AA108" s="66" t="str">
        <f t="shared" si="13"/>
        <v/>
      </c>
      <c r="AB108" s="62"/>
      <c r="AC108" s="62"/>
      <c r="AD108" s="63" t="str">
        <f>IFERROR(IF(OR($AB108="",$T108="",$T108=0),"",ROUND(ABS($N108-$AB108)*$S108*VLOOKUP($F108,'⚙️ Setelan'!$A$14:$F$20,4,FALSE)/$T108,2)),"")</f>
        <v/>
      </c>
      <c r="AE108" s="63" t="str">
        <f>IFERROR(IF(OR($AC108="",$T108="",$T108=0),"",ROUND(ABS($AC108-$N108)*$S108*VLOOKUP($F108,'⚙️ Setelan'!$A$14:$F$20,4,FALSE)/$T108,2)),"")</f>
        <v/>
      </c>
      <c r="AF108" s="61"/>
      <c r="AG108" s="61"/>
      <c r="AH108" s="61"/>
      <c r="AI108" s="61"/>
      <c r="AJ108" s="61"/>
      <c r="AK108" s="67"/>
      <c r="AL108" s="58" t="str">
        <f>IF(OR($C108="",$B108=""),"",IF(AND($Z107="Loss",$B108=$B107,MOD($C108-$D107,1)*1440&lt;'⚙️ Setelan'!$B$9),"⚠️ Revenge",""))</f>
        <v/>
      </c>
      <c r="AM108" s="68"/>
      <c r="AN108" s="58" t="str">
        <f>IF($AM108="","",IFERROR(_xlfn.IMAGE(IF(REGEXMATCH($AM108,"\.(png|jpg|jpeg|gif)$"),$AM108,"https://s3.tradingview.com/snapshots/"&amp;LOWER(MID(REGEXEXTRACT($AM108,"/x/([A-Za-z0-9]+)"),1,1))&amp;"/"&amp;REGEXEXTRACT($AM108,"/x/([A-Za-z0-9]+)")&amp;".png"),1),"⚠️ link tidak dikenali"))</f>
        <v/>
      </c>
      <c r="AO108" s="68"/>
      <c r="AP108" s="58" t="str">
        <f>IF($AO108="","",IFERROR(_xlfn.IMAGE(IF(REGEXMATCH($AO108,"\.(png|jpg|jpeg|gif)$"),$AO108,"https://s3.tradingview.com/snapshots/"&amp;LOWER(MID(REGEXEXTRACT($AO108,"/x/([A-Za-z0-9]+)"),1,1))&amp;"/"&amp;REGEXEXTRACT($AO108,"/x/([A-Za-z0-9]+)")&amp;".png"),1),"⚠️ link tidak dikenali"))</f>
        <v/>
      </c>
      <c r="AQ108" s="66">
        <f>IF($Z108="",0,IF(AND(OR('📊 Dashboard'!$B$4="(Semua)",$F108='📊 Dashboard'!$B$4),OR('📊 Dashboard'!$B$5="(Semua)",$H108='📊 Dashboard'!$B$5),OR('📊 Dashboard'!$B$6="(Semua)",$E108='📊 Dashboard'!$B$6),OR('📊 Dashboard'!$B$7="(Semua)",$AF108='📊 Dashboard'!$B$7),OR('📊 Dashboard'!$B$8="(Semua)",$AG108='📊 Dashboard'!$B$8),OR('📊 Dashboard'!$B$9="(Semua)",$K108='📊 Dashboard'!$B$9)),1,0))</f>
        <v>0</v>
      </c>
      <c r="AR108" s="69"/>
    </row>
    <row r="109" ht="58" customHeight="1" spans="1:44">
      <c r="A109" s="58" t="str">
        <f t="shared" si="7"/>
        <v/>
      </c>
      <c r="B109" s="59"/>
      <c r="C109" s="60"/>
      <c r="D109" s="60"/>
      <c r="E109" s="58" t="str">
        <f t="shared" si="8"/>
        <v/>
      </c>
      <c r="F109" s="61"/>
      <c r="G109" s="61"/>
      <c r="H109" s="61"/>
      <c r="I109" s="61"/>
      <c r="J109" s="61"/>
      <c r="K109" s="61"/>
      <c r="L109" s="61"/>
      <c r="M109" s="61"/>
      <c r="N109" s="62"/>
      <c r="O109" s="62"/>
      <c r="P109" s="62"/>
      <c r="Q109" s="62"/>
      <c r="R109" s="63" t="str">
        <f>IFERROR(IF(OR($N109="",$O109="",$F109=""),"",ROUND(('⚙️ Setelan'!$B$3*'⚙️ Setelan'!$B$4/100)/(ABS($N109-$O109)*VLOOKUP($F109,'⚙️ Setelan'!$A$14:$F$20,4,FALSE)),2)),"")</f>
        <v/>
      </c>
      <c r="S109" s="64"/>
      <c r="T109" s="65" t="str">
        <f>IFERROR(IF(OR($N109="",$O109="",$S109=""),"",ABS($N109-$O109)*$S109*VLOOKUP($F109,'⚙️ Setelan'!$A$14:$F$20,4,FALSE)),"")</f>
        <v/>
      </c>
      <c r="U109" s="63" t="str">
        <f t="shared" si="9"/>
        <v/>
      </c>
      <c r="V109" s="65" t="str">
        <f>IFERROR(IF(OR($Q109="",$N109="",$S109=""),"",($Q109-$N109)*IF($G109="Buy",1,-1)*$S109*VLOOKUP($F109,'⚙️ Setelan'!$A$14:$F$20,4,FALSE)),"")</f>
        <v/>
      </c>
      <c r="W109" s="65" t="str">
        <f>IFERROR(IF(OR($S109="",$F109=""),"",$S109*VLOOKUP($F109,'⚙️ Setelan'!$A$14:$F$20,5,FALSE)),"")</f>
        <v/>
      </c>
      <c r="X109" s="65" t="str">
        <f t="shared" si="10"/>
        <v/>
      </c>
      <c r="Y109" s="63" t="str">
        <f t="shared" si="11"/>
        <v/>
      </c>
      <c r="Z109" s="58" t="str">
        <f t="shared" si="12"/>
        <v/>
      </c>
      <c r="AA109" s="66" t="str">
        <f t="shared" si="13"/>
        <v/>
      </c>
      <c r="AB109" s="62"/>
      <c r="AC109" s="62"/>
      <c r="AD109" s="63" t="str">
        <f>IFERROR(IF(OR($AB109="",$T109="",$T109=0),"",ROUND(ABS($N109-$AB109)*$S109*VLOOKUP($F109,'⚙️ Setelan'!$A$14:$F$20,4,FALSE)/$T109,2)),"")</f>
        <v/>
      </c>
      <c r="AE109" s="63" t="str">
        <f>IFERROR(IF(OR($AC109="",$T109="",$T109=0),"",ROUND(ABS($AC109-$N109)*$S109*VLOOKUP($F109,'⚙️ Setelan'!$A$14:$F$20,4,FALSE)/$T109,2)),"")</f>
        <v/>
      </c>
      <c r="AF109" s="61"/>
      <c r="AG109" s="61"/>
      <c r="AH109" s="61"/>
      <c r="AI109" s="61"/>
      <c r="AJ109" s="61"/>
      <c r="AK109" s="67"/>
      <c r="AL109" s="58" t="str">
        <f>IF(OR($C109="",$B109=""),"",IF(AND($Z108="Loss",$B109=$B108,MOD($C109-$D108,1)*1440&lt;'⚙️ Setelan'!$B$9),"⚠️ Revenge",""))</f>
        <v/>
      </c>
      <c r="AM109" s="68"/>
      <c r="AN109" s="58" t="str">
        <f>IF($AM109="","",IFERROR(_xlfn.IMAGE(IF(REGEXMATCH($AM109,"\.(png|jpg|jpeg|gif)$"),$AM109,"https://s3.tradingview.com/snapshots/"&amp;LOWER(MID(REGEXEXTRACT($AM109,"/x/([A-Za-z0-9]+)"),1,1))&amp;"/"&amp;REGEXEXTRACT($AM109,"/x/([A-Za-z0-9]+)")&amp;".png"),1),"⚠️ link tidak dikenali"))</f>
        <v/>
      </c>
      <c r="AO109" s="68"/>
      <c r="AP109" s="58" t="str">
        <f>IF($AO109="","",IFERROR(_xlfn.IMAGE(IF(REGEXMATCH($AO109,"\.(png|jpg|jpeg|gif)$"),$AO109,"https://s3.tradingview.com/snapshots/"&amp;LOWER(MID(REGEXEXTRACT($AO109,"/x/([A-Za-z0-9]+)"),1,1))&amp;"/"&amp;REGEXEXTRACT($AO109,"/x/([A-Za-z0-9]+)")&amp;".png"),1),"⚠️ link tidak dikenali"))</f>
        <v/>
      </c>
      <c r="AQ109" s="66">
        <f>IF($Z109="",0,IF(AND(OR('📊 Dashboard'!$B$4="(Semua)",$F109='📊 Dashboard'!$B$4),OR('📊 Dashboard'!$B$5="(Semua)",$H109='📊 Dashboard'!$B$5),OR('📊 Dashboard'!$B$6="(Semua)",$E109='📊 Dashboard'!$B$6),OR('📊 Dashboard'!$B$7="(Semua)",$AF109='📊 Dashboard'!$B$7),OR('📊 Dashboard'!$B$8="(Semua)",$AG109='📊 Dashboard'!$B$8),OR('📊 Dashboard'!$B$9="(Semua)",$K109='📊 Dashboard'!$B$9)),1,0))</f>
        <v>0</v>
      </c>
      <c r="AR109" s="69"/>
    </row>
    <row r="110" ht="58" customHeight="1" spans="1:44">
      <c r="A110" s="58" t="str">
        <f t="shared" si="7"/>
        <v/>
      </c>
      <c r="B110" s="59"/>
      <c r="C110" s="60"/>
      <c r="D110" s="60"/>
      <c r="E110" s="58" t="str">
        <f t="shared" si="8"/>
        <v/>
      </c>
      <c r="F110" s="61"/>
      <c r="G110" s="61"/>
      <c r="H110" s="61"/>
      <c r="I110" s="61"/>
      <c r="J110" s="61"/>
      <c r="K110" s="61"/>
      <c r="L110" s="61"/>
      <c r="M110" s="61"/>
      <c r="N110" s="62"/>
      <c r="O110" s="62"/>
      <c r="P110" s="62"/>
      <c r="Q110" s="62"/>
      <c r="R110" s="63" t="str">
        <f>IFERROR(IF(OR($N110="",$O110="",$F110=""),"",ROUND(('⚙️ Setelan'!$B$3*'⚙️ Setelan'!$B$4/100)/(ABS($N110-$O110)*VLOOKUP($F110,'⚙️ Setelan'!$A$14:$F$20,4,FALSE)),2)),"")</f>
        <v/>
      </c>
      <c r="S110" s="64"/>
      <c r="T110" s="65" t="str">
        <f>IFERROR(IF(OR($N110="",$O110="",$S110=""),"",ABS($N110-$O110)*$S110*VLOOKUP($F110,'⚙️ Setelan'!$A$14:$F$20,4,FALSE)),"")</f>
        <v/>
      </c>
      <c r="U110" s="63" t="str">
        <f t="shared" si="9"/>
        <v/>
      </c>
      <c r="V110" s="65" t="str">
        <f>IFERROR(IF(OR($Q110="",$N110="",$S110=""),"",($Q110-$N110)*IF($G110="Buy",1,-1)*$S110*VLOOKUP($F110,'⚙️ Setelan'!$A$14:$F$20,4,FALSE)),"")</f>
        <v/>
      </c>
      <c r="W110" s="65" t="str">
        <f>IFERROR(IF(OR($S110="",$F110=""),"",$S110*VLOOKUP($F110,'⚙️ Setelan'!$A$14:$F$20,5,FALSE)),"")</f>
        <v/>
      </c>
      <c r="X110" s="65" t="str">
        <f t="shared" si="10"/>
        <v/>
      </c>
      <c r="Y110" s="63" t="str">
        <f t="shared" si="11"/>
        <v/>
      </c>
      <c r="Z110" s="58" t="str">
        <f t="shared" si="12"/>
        <v/>
      </c>
      <c r="AA110" s="66" t="str">
        <f t="shared" si="13"/>
        <v/>
      </c>
      <c r="AB110" s="62"/>
      <c r="AC110" s="62"/>
      <c r="AD110" s="63" t="str">
        <f>IFERROR(IF(OR($AB110="",$T110="",$T110=0),"",ROUND(ABS($N110-$AB110)*$S110*VLOOKUP($F110,'⚙️ Setelan'!$A$14:$F$20,4,FALSE)/$T110,2)),"")</f>
        <v/>
      </c>
      <c r="AE110" s="63" t="str">
        <f>IFERROR(IF(OR($AC110="",$T110="",$T110=0),"",ROUND(ABS($AC110-$N110)*$S110*VLOOKUP($F110,'⚙️ Setelan'!$A$14:$F$20,4,FALSE)/$T110,2)),"")</f>
        <v/>
      </c>
      <c r="AF110" s="61"/>
      <c r="AG110" s="61"/>
      <c r="AH110" s="61"/>
      <c r="AI110" s="61"/>
      <c r="AJ110" s="61"/>
      <c r="AK110" s="67"/>
      <c r="AL110" s="58" t="str">
        <f>IF(OR($C110="",$B110=""),"",IF(AND($Z109="Loss",$B110=$B109,MOD($C110-$D109,1)*1440&lt;'⚙️ Setelan'!$B$9),"⚠️ Revenge",""))</f>
        <v/>
      </c>
      <c r="AM110" s="68"/>
      <c r="AN110" s="58" t="str">
        <f>IF($AM110="","",IFERROR(_xlfn.IMAGE(IF(REGEXMATCH($AM110,"\.(png|jpg|jpeg|gif)$"),$AM110,"https://s3.tradingview.com/snapshots/"&amp;LOWER(MID(REGEXEXTRACT($AM110,"/x/([A-Za-z0-9]+)"),1,1))&amp;"/"&amp;REGEXEXTRACT($AM110,"/x/([A-Za-z0-9]+)")&amp;".png"),1),"⚠️ link tidak dikenali"))</f>
        <v/>
      </c>
      <c r="AO110" s="68"/>
      <c r="AP110" s="58" t="str">
        <f>IF($AO110="","",IFERROR(_xlfn.IMAGE(IF(REGEXMATCH($AO110,"\.(png|jpg|jpeg|gif)$"),$AO110,"https://s3.tradingview.com/snapshots/"&amp;LOWER(MID(REGEXEXTRACT($AO110,"/x/([A-Za-z0-9]+)"),1,1))&amp;"/"&amp;REGEXEXTRACT($AO110,"/x/([A-Za-z0-9]+)")&amp;".png"),1),"⚠️ link tidak dikenali"))</f>
        <v/>
      </c>
      <c r="AQ110" s="66">
        <f>IF($Z110="",0,IF(AND(OR('📊 Dashboard'!$B$4="(Semua)",$F110='📊 Dashboard'!$B$4),OR('📊 Dashboard'!$B$5="(Semua)",$H110='📊 Dashboard'!$B$5),OR('📊 Dashboard'!$B$6="(Semua)",$E110='📊 Dashboard'!$B$6),OR('📊 Dashboard'!$B$7="(Semua)",$AF110='📊 Dashboard'!$B$7),OR('📊 Dashboard'!$B$8="(Semua)",$AG110='📊 Dashboard'!$B$8),OR('📊 Dashboard'!$B$9="(Semua)",$K110='📊 Dashboard'!$B$9)),1,0))</f>
        <v>0</v>
      </c>
      <c r="AR110" s="69"/>
    </row>
    <row r="111" ht="58" customHeight="1" spans="1:44">
      <c r="A111" s="58" t="str">
        <f t="shared" si="7"/>
        <v/>
      </c>
      <c r="B111" s="59"/>
      <c r="C111" s="60"/>
      <c r="D111" s="60"/>
      <c r="E111" s="58" t="str">
        <f t="shared" si="8"/>
        <v/>
      </c>
      <c r="F111" s="61"/>
      <c r="G111" s="61"/>
      <c r="H111" s="61"/>
      <c r="I111" s="61"/>
      <c r="J111" s="61"/>
      <c r="K111" s="61"/>
      <c r="L111" s="61"/>
      <c r="M111" s="61"/>
      <c r="N111" s="62"/>
      <c r="O111" s="62"/>
      <c r="P111" s="62"/>
      <c r="Q111" s="62"/>
      <c r="R111" s="63" t="str">
        <f>IFERROR(IF(OR($N111="",$O111="",$F111=""),"",ROUND(('⚙️ Setelan'!$B$3*'⚙️ Setelan'!$B$4/100)/(ABS($N111-$O111)*VLOOKUP($F111,'⚙️ Setelan'!$A$14:$F$20,4,FALSE)),2)),"")</f>
        <v/>
      </c>
      <c r="S111" s="64"/>
      <c r="T111" s="65" t="str">
        <f>IFERROR(IF(OR($N111="",$O111="",$S111=""),"",ABS($N111-$O111)*$S111*VLOOKUP($F111,'⚙️ Setelan'!$A$14:$F$20,4,FALSE)),"")</f>
        <v/>
      </c>
      <c r="U111" s="63" t="str">
        <f t="shared" si="9"/>
        <v/>
      </c>
      <c r="V111" s="65" t="str">
        <f>IFERROR(IF(OR($Q111="",$N111="",$S111=""),"",($Q111-$N111)*IF($G111="Buy",1,-1)*$S111*VLOOKUP($F111,'⚙️ Setelan'!$A$14:$F$20,4,FALSE)),"")</f>
        <v/>
      </c>
      <c r="W111" s="65" t="str">
        <f>IFERROR(IF(OR($S111="",$F111=""),"",$S111*VLOOKUP($F111,'⚙️ Setelan'!$A$14:$F$20,5,FALSE)),"")</f>
        <v/>
      </c>
      <c r="X111" s="65" t="str">
        <f t="shared" si="10"/>
        <v/>
      </c>
      <c r="Y111" s="63" t="str">
        <f t="shared" si="11"/>
        <v/>
      </c>
      <c r="Z111" s="58" t="str">
        <f t="shared" si="12"/>
        <v/>
      </c>
      <c r="AA111" s="66" t="str">
        <f t="shared" si="13"/>
        <v/>
      </c>
      <c r="AB111" s="62"/>
      <c r="AC111" s="62"/>
      <c r="AD111" s="63" t="str">
        <f>IFERROR(IF(OR($AB111="",$T111="",$T111=0),"",ROUND(ABS($N111-$AB111)*$S111*VLOOKUP($F111,'⚙️ Setelan'!$A$14:$F$20,4,FALSE)/$T111,2)),"")</f>
        <v/>
      </c>
      <c r="AE111" s="63" t="str">
        <f>IFERROR(IF(OR($AC111="",$T111="",$T111=0),"",ROUND(ABS($AC111-$N111)*$S111*VLOOKUP($F111,'⚙️ Setelan'!$A$14:$F$20,4,FALSE)/$T111,2)),"")</f>
        <v/>
      </c>
      <c r="AF111" s="61"/>
      <c r="AG111" s="61"/>
      <c r="AH111" s="61"/>
      <c r="AI111" s="61"/>
      <c r="AJ111" s="61"/>
      <c r="AK111" s="67"/>
      <c r="AL111" s="58" t="str">
        <f>IF(OR($C111="",$B111=""),"",IF(AND($Z110="Loss",$B111=$B110,MOD($C111-$D110,1)*1440&lt;'⚙️ Setelan'!$B$9),"⚠️ Revenge",""))</f>
        <v/>
      </c>
      <c r="AM111" s="68"/>
      <c r="AN111" s="58" t="str">
        <f>IF($AM111="","",IFERROR(_xlfn.IMAGE(IF(REGEXMATCH($AM111,"\.(png|jpg|jpeg|gif)$"),$AM111,"https://s3.tradingview.com/snapshots/"&amp;LOWER(MID(REGEXEXTRACT($AM111,"/x/([A-Za-z0-9]+)"),1,1))&amp;"/"&amp;REGEXEXTRACT($AM111,"/x/([A-Za-z0-9]+)")&amp;".png"),1),"⚠️ link tidak dikenali"))</f>
        <v/>
      </c>
      <c r="AO111" s="68"/>
      <c r="AP111" s="58" t="str">
        <f>IF($AO111="","",IFERROR(_xlfn.IMAGE(IF(REGEXMATCH($AO111,"\.(png|jpg|jpeg|gif)$"),$AO111,"https://s3.tradingview.com/snapshots/"&amp;LOWER(MID(REGEXEXTRACT($AO111,"/x/([A-Za-z0-9]+)"),1,1))&amp;"/"&amp;REGEXEXTRACT($AO111,"/x/([A-Za-z0-9]+)")&amp;".png"),1),"⚠️ link tidak dikenali"))</f>
        <v/>
      </c>
      <c r="AQ111" s="66">
        <f>IF($Z111="",0,IF(AND(OR('📊 Dashboard'!$B$4="(Semua)",$F111='📊 Dashboard'!$B$4),OR('📊 Dashboard'!$B$5="(Semua)",$H111='📊 Dashboard'!$B$5),OR('📊 Dashboard'!$B$6="(Semua)",$E111='📊 Dashboard'!$B$6),OR('📊 Dashboard'!$B$7="(Semua)",$AF111='📊 Dashboard'!$B$7),OR('📊 Dashboard'!$B$8="(Semua)",$AG111='📊 Dashboard'!$B$8),OR('📊 Dashboard'!$B$9="(Semua)",$K111='📊 Dashboard'!$B$9)),1,0))</f>
        <v>0</v>
      </c>
      <c r="AR111" s="69"/>
    </row>
    <row r="112" ht="58" customHeight="1" spans="1:44">
      <c r="A112" s="58" t="str">
        <f t="shared" si="7"/>
        <v/>
      </c>
      <c r="B112" s="59"/>
      <c r="C112" s="60"/>
      <c r="D112" s="60"/>
      <c r="E112" s="58" t="str">
        <f t="shared" si="8"/>
        <v/>
      </c>
      <c r="F112" s="61"/>
      <c r="G112" s="61"/>
      <c r="H112" s="61"/>
      <c r="I112" s="61"/>
      <c r="J112" s="61"/>
      <c r="K112" s="61"/>
      <c r="L112" s="61"/>
      <c r="M112" s="61"/>
      <c r="N112" s="62"/>
      <c r="O112" s="62"/>
      <c r="P112" s="62"/>
      <c r="Q112" s="62"/>
      <c r="R112" s="63" t="str">
        <f>IFERROR(IF(OR($N112="",$O112="",$F112=""),"",ROUND(('⚙️ Setelan'!$B$3*'⚙️ Setelan'!$B$4/100)/(ABS($N112-$O112)*VLOOKUP($F112,'⚙️ Setelan'!$A$14:$F$20,4,FALSE)),2)),"")</f>
        <v/>
      </c>
      <c r="S112" s="64"/>
      <c r="T112" s="65" t="str">
        <f>IFERROR(IF(OR($N112="",$O112="",$S112=""),"",ABS($N112-$O112)*$S112*VLOOKUP($F112,'⚙️ Setelan'!$A$14:$F$20,4,FALSE)),"")</f>
        <v/>
      </c>
      <c r="U112" s="63" t="str">
        <f t="shared" si="9"/>
        <v/>
      </c>
      <c r="V112" s="65" t="str">
        <f>IFERROR(IF(OR($Q112="",$N112="",$S112=""),"",($Q112-$N112)*IF($G112="Buy",1,-1)*$S112*VLOOKUP($F112,'⚙️ Setelan'!$A$14:$F$20,4,FALSE)),"")</f>
        <v/>
      </c>
      <c r="W112" s="65" t="str">
        <f>IFERROR(IF(OR($S112="",$F112=""),"",$S112*VLOOKUP($F112,'⚙️ Setelan'!$A$14:$F$20,5,FALSE)),"")</f>
        <v/>
      </c>
      <c r="X112" s="65" t="str">
        <f t="shared" si="10"/>
        <v/>
      </c>
      <c r="Y112" s="63" t="str">
        <f t="shared" si="11"/>
        <v/>
      </c>
      <c r="Z112" s="58" t="str">
        <f t="shared" si="12"/>
        <v/>
      </c>
      <c r="AA112" s="66" t="str">
        <f t="shared" si="13"/>
        <v/>
      </c>
      <c r="AB112" s="62"/>
      <c r="AC112" s="62"/>
      <c r="AD112" s="63" t="str">
        <f>IFERROR(IF(OR($AB112="",$T112="",$T112=0),"",ROUND(ABS($N112-$AB112)*$S112*VLOOKUP($F112,'⚙️ Setelan'!$A$14:$F$20,4,FALSE)/$T112,2)),"")</f>
        <v/>
      </c>
      <c r="AE112" s="63" t="str">
        <f>IFERROR(IF(OR($AC112="",$T112="",$T112=0),"",ROUND(ABS($AC112-$N112)*$S112*VLOOKUP($F112,'⚙️ Setelan'!$A$14:$F$20,4,FALSE)/$T112,2)),"")</f>
        <v/>
      </c>
      <c r="AF112" s="61"/>
      <c r="AG112" s="61"/>
      <c r="AH112" s="61"/>
      <c r="AI112" s="61"/>
      <c r="AJ112" s="61"/>
      <c r="AK112" s="67"/>
      <c r="AL112" s="58" t="str">
        <f>IF(OR($C112="",$B112=""),"",IF(AND($Z111="Loss",$B112=$B111,MOD($C112-$D111,1)*1440&lt;'⚙️ Setelan'!$B$9),"⚠️ Revenge",""))</f>
        <v/>
      </c>
      <c r="AM112" s="68"/>
      <c r="AN112" s="58" t="str">
        <f>IF($AM112="","",IFERROR(_xlfn.IMAGE(IF(REGEXMATCH($AM112,"\.(png|jpg|jpeg|gif)$"),$AM112,"https://s3.tradingview.com/snapshots/"&amp;LOWER(MID(REGEXEXTRACT($AM112,"/x/([A-Za-z0-9]+)"),1,1))&amp;"/"&amp;REGEXEXTRACT($AM112,"/x/([A-Za-z0-9]+)")&amp;".png"),1),"⚠️ link tidak dikenali"))</f>
        <v/>
      </c>
      <c r="AO112" s="68"/>
      <c r="AP112" s="58" t="str">
        <f>IF($AO112="","",IFERROR(_xlfn.IMAGE(IF(REGEXMATCH($AO112,"\.(png|jpg|jpeg|gif)$"),$AO112,"https://s3.tradingview.com/snapshots/"&amp;LOWER(MID(REGEXEXTRACT($AO112,"/x/([A-Za-z0-9]+)"),1,1))&amp;"/"&amp;REGEXEXTRACT($AO112,"/x/([A-Za-z0-9]+)")&amp;".png"),1),"⚠️ link tidak dikenali"))</f>
        <v/>
      </c>
      <c r="AQ112" s="66">
        <f>IF($Z112="",0,IF(AND(OR('📊 Dashboard'!$B$4="(Semua)",$F112='📊 Dashboard'!$B$4),OR('📊 Dashboard'!$B$5="(Semua)",$H112='📊 Dashboard'!$B$5),OR('📊 Dashboard'!$B$6="(Semua)",$E112='📊 Dashboard'!$B$6),OR('📊 Dashboard'!$B$7="(Semua)",$AF112='📊 Dashboard'!$B$7),OR('📊 Dashboard'!$B$8="(Semua)",$AG112='📊 Dashboard'!$B$8),OR('📊 Dashboard'!$B$9="(Semua)",$K112='📊 Dashboard'!$B$9)),1,0))</f>
        <v>0</v>
      </c>
      <c r="AR112" s="69"/>
    </row>
    <row r="113" ht="58" customHeight="1" spans="1:44">
      <c r="A113" s="58" t="str">
        <f t="shared" si="7"/>
        <v/>
      </c>
      <c r="B113" s="59"/>
      <c r="C113" s="60"/>
      <c r="D113" s="60"/>
      <c r="E113" s="58" t="str">
        <f t="shared" si="8"/>
        <v/>
      </c>
      <c r="F113" s="61"/>
      <c r="G113" s="61"/>
      <c r="H113" s="61"/>
      <c r="I113" s="61"/>
      <c r="J113" s="61"/>
      <c r="K113" s="61"/>
      <c r="L113" s="61"/>
      <c r="M113" s="61"/>
      <c r="N113" s="62"/>
      <c r="O113" s="62"/>
      <c r="P113" s="62"/>
      <c r="Q113" s="62"/>
      <c r="R113" s="63" t="str">
        <f>IFERROR(IF(OR($N113="",$O113="",$F113=""),"",ROUND(('⚙️ Setelan'!$B$3*'⚙️ Setelan'!$B$4/100)/(ABS($N113-$O113)*VLOOKUP($F113,'⚙️ Setelan'!$A$14:$F$20,4,FALSE)),2)),"")</f>
        <v/>
      </c>
      <c r="S113" s="64"/>
      <c r="T113" s="65" t="str">
        <f>IFERROR(IF(OR($N113="",$O113="",$S113=""),"",ABS($N113-$O113)*$S113*VLOOKUP($F113,'⚙️ Setelan'!$A$14:$F$20,4,FALSE)),"")</f>
        <v/>
      </c>
      <c r="U113" s="63" t="str">
        <f t="shared" si="9"/>
        <v/>
      </c>
      <c r="V113" s="65" t="str">
        <f>IFERROR(IF(OR($Q113="",$N113="",$S113=""),"",($Q113-$N113)*IF($G113="Buy",1,-1)*$S113*VLOOKUP($F113,'⚙️ Setelan'!$A$14:$F$20,4,FALSE)),"")</f>
        <v/>
      </c>
      <c r="W113" s="65" t="str">
        <f>IFERROR(IF(OR($S113="",$F113=""),"",$S113*VLOOKUP($F113,'⚙️ Setelan'!$A$14:$F$20,5,FALSE)),"")</f>
        <v/>
      </c>
      <c r="X113" s="65" t="str">
        <f t="shared" si="10"/>
        <v/>
      </c>
      <c r="Y113" s="63" t="str">
        <f t="shared" si="11"/>
        <v/>
      </c>
      <c r="Z113" s="58" t="str">
        <f t="shared" si="12"/>
        <v/>
      </c>
      <c r="AA113" s="66" t="str">
        <f t="shared" si="13"/>
        <v/>
      </c>
      <c r="AB113" s="62"/>
      <c r="AC113" s="62"/>
      <c r="AD113" s="63" t="str">
        <f>IFERROR(IF(OR($AB113="",$T113="",$T113=0),"",ROUND(ABS($N113-$AB113)*$S113*VLOOKUP($F113,'⚙️ Setelan'!$A$14:$F$20,4,FALSE)/$T113,2)),"")</f>
        <v/>
      </c>
      <c r="AE113" s="63" t="str">
        <f>IFERROR(IF(OR($AC113="",$T113="",$T113=0),"",ROUND(ABS($AC113-$N113)*$S113*VLOOKUP($F113,'⚙️ Setelan'!$A$14:$F$20,4,FALSE)/$T113,2)),"")</f>
        <v/>
      </c>
      <c r="AF113" s="61"/>
      <c r="AG113" s="61"/>
      <c r="AH113" s="61"/>
      <c r="AI113" s="61"/>
      <c r="AJ113" s="61"/>
      <c r="AK113" s="67"/>
      <c r="AL113" s="58" t="str">
        <f>IF(OR($C113="",$B113=""),"",IF(AND($Z112="Loss",$B113=$B112,MOD($C113-$D112,1)*1440&lt;'⚙️ Setelan'!$B$9),"⚠️ Revenge",""))</f>
        <v/>
      </c>
      <c r="AM113" s="68"/>
      <c r="AN113" s="58" t="str">
        <f>IF($AM113="","",IFERROR(_xlfn.IMAGE(IF(REGEXMATCH($AM113,"\.(png|jpg|jpeg|gif)$"),$AM113,"https://s3.tradingview.com/snapshots/"&amp;LOWER(MID(REGEXEXTRACT($AM113,"/x/([A-Za-z0-9]+)"),1,1))&amp;"/"&amp;REGEXEXTRACT($AM113,"/x/([A-Za-z0-9]+)")&amp;".png"),1),"⚠️ link tidak dikenali"))</f>
        <v/>
      </c>
      <c r="AO113" s="68"/>
      <c r="AP113" s="58" t="str">
        <f>IF($AO113="","",IFERROR(_xlfn.IMAGE(IF(REGEXMATCH($AO113,"\.(png|jpg|jpeg|gif)$"),$AO113,"https://s3.tradingview.com/snapshots/"&amp;LOWER(MID(REGEXEXTRACT($AO113,"/x/([A-Za-z0-9]+)"),1,1))&amp;"/"&amp;REGEXEXTRACT($AO113,"/x/([A-Za-z0-9]+)")&amp;".png"),1),"⚠️ link tidak dikenali"))</f>
        <v/>
      </c>
      <c r="AQ113" s="66">
        <f>IF($Z113="",0,IF(AND(OR('📊 Dashboard'!$B$4="(Semua)",$F113='📊 Dashboard'!$B$4),OR('📊 Dashboard'!$B$5="(Semua)",$H113='📊 Dashboard'!$B$5),OR('📊 Dashboard'!$B$6="(Semua)",$E113='📊 Dashboard'!$B$6),OR('📊 Dashboard'!$B$7="(Semua)",$AF113='📊 Dashboard'!$B$7),OR('📊 Dashboard'!$B$8="(Semua)",$AG113='📊 Dashboard'!$B$8),OR('📊 Dashboard'!$B$9="(Semua)",$K113='📊 Dashboard'!$B$9)),1,0))</f>
        <v>0</v>
      </c>
      <c r="AR113" s="69"/>
    </row>
    <row r="114" ht="58" customHeight="1" spans="1:44">
      <c r="A114" s="58" t="str">
        <f t="shared" si="7"/>
        <v/>
      </c>
      <c r="B114" s="59"/>
      <c r="C114" s="60"/>
      <c r="D114" s="60"/>
      <c r="E114" s="58" t="str">
        <f t="shared" si="8"/>
        <v/>
      </c>
      <c r="F114" s="61"/>
      <c r="G114" s="61"/>
      <c r="H114" s="61"/>
      <c r="I114" s="61"/>
      <c r="J114" s="61"/>
      <c r="K114" s="61"/>
      <c r="L114" s="61"/>
      <c r="M114" s="61"/>
      <c r="N114" s="62"/>
      <c r="O114" s="62"/>
      <c r="P114" s="62"/>
      <c r="Q114" s="62"/>
      <c r="R114" s="63" t="str">
        <f>IFERROR(IF(OR($N114="",$O114="",$F114=""),"",ROUND(('⚙️ Setelan'!$B$3*'⚙️ Setelan'!$B$4/100)/(ABS($N114-$O114)*VLOOKUP($F114,'⚙️ Setelan'!$A$14:$F$20,4,FALSE)),2)),"")</f>
        <v/>
      </c>
      <c r="S114" s="64"/>
      <c r="T114" s="65" t="str">
        <f>IFERROR(IF(OR($N114="",$O114="",$S114=""),"",ABS($N114-$O114)*$S114*VLOOKUP($F114,'⚙️ Setelan'!$A$14:$F$20,4,FALSE)),"")</f>
        <v/>
      </c>
      <c r="U114" s="63" t="str">
        <f t="shared" si="9"/>
        <v/>
      </c>
      <c r="V114" s="65" t="str">
        <f>IFERROR(IF(OR($Q114="",$N114="",$S114=""),"",($Q114-$N114)*IF($G114="Buy",1,-1)*$S114*VLOOKUP($F114,'⚙️ Setelan'!$A$14:$F$20,4,FALSE)),"")</f>
        <v/>
      </c>
      <c r="W114" s="65" t="str">
        <f>IFERROR(IF(OR($S114="",$F114=""),"",$S114*VLOOKUP($F114,'⚙️ Setelan'!$A$14:$F$20,5,FALSE)),"")</f>
        <v/>
      </c>
      <c r="X114" s="65" t="str">
        <f t="shared" si="10"/>
        <v/>
      </c>
      <c r="Y114" s="63" t="str">
        <f t="shared" si="11"/>
        <v/>
      </c>
      <c r="Z114" s="58" t="str">
        <f t="shared" si="12"/>
        <v/>
      </c>
      <c r="AA114" s="66" t="str">
        <f t="shared" si="13"/>
        <v/>
      </c>
      <c r="AB114" s="62"/>
      <c r="AC114" s="62"/>
      <c r="AD114" s="63" t="str">
        <f>IFERROR(IF(OR($AB114="",$T114="",$T114=0),"",ROUND(ABS($N114-$AB114)*$S114*VLOOKUP($F114,'⚙️ Setelan'!$A$14:$F$20,4,FALSE)/$T114,2)),"")</f>
        <v/>
      </c>
      <c r="AE114" s="63" t="str">
        <f>IFERROR(IF(OR($AC114="",$T114="",$T114=0),"",ROUND(ABS($AC114-$N114)*$S114*VLOOKUP($F114,'⚙️ Setelan'!$A$14:$F$20,4,FALSE)/$T114,2)),"")</f>
        <v/>
      </c>
      <c r="AF114" s="61"/>
      <c r="AG114" s="61"/>
      <c r="AH114" s="61"/>
      <c r="AI114" s="61"/>
      <c r="AJ114" s="61"/>
      <c r="AK114" s="67"/>
      <c r="AL114" s="58" t="str">
        <f>IF(OR($C114="",$B114=""),"",IF(AND($Z113="Loss",$B114=$B113,MOD($C114-$D113,1)*1440&lt;'⚙️ Setelan'!$B$9),"⚠️ Revenge",""))</f>
        <v/>
      </c>
      <c r="AM114" s="68"/>
      <c r="AN114" s="58" t="str">
        <f>IF($AM114="","",IFERROR(_xlfn.IMAGE(IF(REGEXMATCH($AM114,"\.(png|jpg|jpeg|gif)$"),$AM114,"https://s3.tradingview.com/snapshots/"&amp;LOWER(MID(REGEXEXTRACT($AM114,"/x/([A-Za-z0-9]+)"),1,1))&amp;"/"&amp;REGEXEXTRACT($AM114,"/x/([A-Za-z0-9]+)")&amp;".png"),1),"⚠️ link tidak dikenali"))</f>
        <v/>
      </c>
      <c r="AO114" s="68"/>
      <c r="AP114" s="58" t="str">
        <f>IF($AO114="","",IFERROR(_xlfn.IMAGE(IF(REGEXMATCH($AO114,"\.(png|jpg|jpeg|gif)$"),$AO114,"https://s3.tradingview.com/snapshots/"&amp;LOWER(MID(REGEXEXTRACT($AO114,"/x/([A-Za-z0-9]+)"),1,1))&amp;"/"&amp;REGEXEXTRACT($AO114,"/x/([A-Za-z0-9]+)")&amp;".png"),1),"⚠️ link tidak dikenali"))</f>
        <v/>
      </c>
      <c r="AQ114" s="66">
        <f>IF($Z114="",0,IF(AND(OR('📊 Dashboard'!$B$4="(Semua)",$F114='📊 Dashboard'!$B$4),OR('📊 Dashboard'!$B$5="(Semua)",$H114='📊 Dashboard'!$B$5),OR('📊 Dashboard'!$B$6="(Semua)",$E114='📊 Dashboard'!$B$6),OR('📊 Dashboard'!$B$7="(Semua)",$AF114='📊 Dashboard'!$B$7),OR('📊 Dashboard'!$B$8="(Semua)",$AG114='📊 Dashboard'!$B$8),OR('📊 Dashboard'!$B$9="(Semua)",$K114='📊 Dashboard'!$B$9)),1,0))</f>
        <v>0</v>
      </c>
      <c r="AR114" s="69"/>
    </row>
    <row r="115" ht="58" customHeight="1" spans="1:44">
      <c r="A115" s="58" t="str">
        <f t="shared" si="7"/>
        <v/>
      </c>
      <c r="B115" s="59"/>
      <c r="C115" s="60"/>
      <c r="D115" s="60"/>
      <c r="E115" s="58" t="str">
        <f t="shared" si="8"/>
        <v/>
      </c>
      <c r="F115" s="61"/>
      <c r="G115" s="61"/>
      <c r="H115" s="61"/>
      <c r="I115" s="61"/>
      <c r="J115" s="61"/>
      <c r="K115" s="61"/>
      <c r="L115" s="61"/>
      <c r="M115" s="61"/>
      <c r="N115" s="62"/>
      <c r="O115" s="62"/>
      <c r="P115" s="62"/>
      <c r="Q115" s="62"/>
      <c r="R115" s="63" t="str">
        <f>IFERROR(IF(OR($N115="",$O115="",$F115=""),"",ROUND(('⚙️ Setelan'!$B$3*'⚙️ Setelan'!$B$4/100)/(ABS($N115-$O115)*VLOOKUP($F115,'⚙️ Setelan'!$A$14:$F$20,4,FALSE)),2)),"")</f>
        <v/>
      </c>
      <c r="S115" s="64"/>
      <c r="T115" s="65" t="str">
        <f>IFERROR(IF(OR($N115="",$O115="",$S115=""),"",ABS($N115-$O115)*$S115*VLOOKUP($F115,'⚙️ Setelan'!$A$14:$F$20,4,FALSE)),"")</f>
        <v/>
      </c>
      <c r="U115" s="63" t="str">
        <f t="shared" si="9"/>
        <v/>
      </c>
      <c r="V115" s="65" t="str">
        <f>IFERROR(IF(OR($Q115="",$N115="",$S115=""),"",($Q115-$N115)*IF($G115="Buy",1,-1)*$S115*VLOOKUP($F115,'⚙️ Setelan'!$A$14:$F$20,4,FALSE)),"")</f>
        <v/>
      </c>
      <c r="W115" s="65" t="str">
        <f>IFERROR(IF(OR($S115="",$F115=""),"",$S115*VLOOKUP($F115,'⚙️ Setelan'!$A$14:$F$20,5,FALSE)),"")</f>
        <v/>
      </c>
      <c r="X115" s="65" t="str">
        <f t="shared" si="10"/>
        <v/>
      </c>
      <c r="Y115" s="63" t="str">
        <f t="shared" si="11"/>
        <v/>
      </c>
      <c r="Z115" s="58" t="str">
        <f t="shared" si="12"/>
        <v/>
      </c>
      <c r="AA115" s="66" t="str">
        <f t="shared" si="13"/>
        <v/>
      </c>
      <c r="AB115" s="62"/>
      <c r="AC115" s="62"/>
      <c r="AD115" s="63" t="str">
        <f>IFERROR(IF(OR($AB115="",$T115="",$T115=0),"",ROUND(ABS($N115-$AB115)*$S115*VLOOKUP($F115,'⚙️ Setelan'!$A$14:$F$20,4,FALSE)/$T115,2)),"")</f>
        <v/>
      </c>
      <c r="AE115" s="63" t="str">
        <f>IFERROR(IF(OR($AC115="",$T115="",$T115=0),"",ROUND(ABS($AC115-$N115)*$S115*VLOOKUP($F115,'⚙️ Setelan'!$A$14:$F$20,4,FALSE)/$T115,2)),"")</f>
        <v/>
      </c>
      <c r="AF115" s="61"/>
      <c r="AG115" s="61"/>
      <c r="AH115" s="61"/>
      <c r="AI115" s="61"/>
      <c r="AJ115" s="61"/>
      <c r="AK115" s="67"/>
      <c r="AL115" s="58" t="str">
        <f>IF(OR($C115="",$B115=""),"",IF(AND($Z114="Loss",$B115=$B114,MOD($C115-$D114,1)*1440&lt;'⚙️ Setelan'!$B$9),"⚠️ Revenge",""))</f>
        <v/>
      </c>
      <c r="AM115" s="68"/>
      <c r="AN115" s="58" t="str">
        <f>IF($AM115="","",IFERROR(_xlfn.IMAGE(IF(REGEXMATCH($AM115,"\.(png|jpg|jpeg|gif)$"),$AM115,"https://s3.tradingview.com/snapshots/"&amp;LOWER(MID(REGEXEXTRACT($AM115,"/x/([A-Za-z0-9]+)"),1,1))&amp;"/"&amp;REGEXEXTRACT($AM115,"/x/([A-Za-z0-9]+)")&amp;".png"),1),"⚠️ link tidak dikenali"))</f>
        <v/>
      </c>
      <c r="AO115" s="68"/>
      <c r="AP115" s="58" t="str">
        <f>IF($AO115="","",IFERROR(_xlfn.IMAGE(IF(REGEXMATCH($AO115,"\.(png|jpg|jpeg|gif)$"),$AO115,"https://s3.tradingview.com/snapshots/"&amp;LOWER(MID(REGEXEXTRACT($AO115,"/x/([A-Za-z0-9]+)"),1,1))&amp;"/"&amp;REGEXEXTRACT($AO115,"/x/([A-Za-z0-9]+)")&amp;".png"),1),"⚠️ link tidak dikenali"))</f>
        <v/>
      </c>
      <c r="AQ115" s="66">
        <f>IF($Z115="",0,IF(AND(OR('📊 Dashboard'!$B$4="(Semua)",$F115='📊 Dashboard'!$B$4),OR('📊 Dashboard'!$B$5="(Semua)",$H115='📊 Dashboard'!$B$5),OR('📊 Dashboard'!$B$6="(Semua)",$E115='📊 Dashboard'!$B$6),OR('📊 Dashboard'!$B$7="(Semua)",$AF115='📊 Dashboard'!$B$7),OR('📊 Dashboard'!$B$8="(Semua)",$AG115='📊 Dashboard'!$B$8),OR('📊 Dashboard'!$B$9="(Semua)",$K115='📊 Dashboard'!$B$9)),1,0))</f>
        <v>0</v>
      </c>
      <c r="AR115" s="69"/>
    </row>
    <row r="116" ht="58" customHeight="1" spans="1:44">
      <c r="A116" s="58" t="str">
        <f t="shared" si="7"/>
        <v/>
      </c>
      <c r="B116" s="59"/>
      <c r="C116" s="60"/>
      <c r="D116" s="60"/>
      <c r="E116" s="58" t="str">
        <f t="shared" si="8"/>
        <v/>
      </c>
      <c r="F116" s="61"/>
      <c r="G116" s="61"/>
      <c r="H116" s="61"/>
      <c r="I116" s="61"/>
      <c r="J116" s="61"/>
      <c r="K116" s="61"/>
      <c r="L116" s="61"/>
      <c r="M116" s="61"/>
      <c r="N116" s="62"/>
      <c r="O116" s="62"/>
      <c r="P116" s="62"/>
      <c r="Q116" s="62"/>
      <c r="R116" s="63" t="str">
        <f>IFERROR(IF(OR($N116="",$O116="",$F116=""),"",ROUND(('⚙️ Setelan'!$B$3*'⚙️ Setelan'!$B$4/100)/(ABS($N116-$O116)*VLOOKUP($F116,'⚙️ Setelan'!$A$14:$F$20,4,FALSE)),2)),"")</f>
        <v/>
      </c>
      <c r="S116" s="64"/>
      <c r="T116" s="65" t="str">
        <f>IFERROR(IF(OR($N116="",$O116="",$S116=""),"",ABS($N116-$O116)*$S116*VLOOKUP($F116,'⚙️ Setelan'!$A$14:$F$20,4,FALSE)),"")</f>
        <v/>
      </c>
      <c r="U116" s="63" t="str">
        <f t="shared" si="9"/>
        <v/>
      </c>
      <c r="V116" s="65" t="str">
        <f>IFERROR(IF(OR($Q116="",$N116="",$S116=""),"",($Q116-$N116)*IF($G116="Buy",1,-1)*$S116*VLOOKUP($F116,'⚙️ Setelan'!$A$14:$F$20,4,FALSE)),"")</f>
        <v/>
      </c>
      <c r="W116" s="65" t="str">
        <f>IFERROR(IF(OR($S116="",$F116=""),"",$S116*VLOOKUP($F116,'⚙️ Setelan'!$A$14:$F$20,5,FALSE)),"")</f>
        <v/>
      </c>
      <c r="X116" s="65" t="str">
        <f t="shared" si="10"/>
        <v/>
      </c>
      <c r="Y116" s="63" t="str">
        <f t="shared" si="11"/>
        <v/>
      </c>
      <c r="Z116" s="58" t="str">
        <f t="shared" si="12"/>
        <v/>
      </c>
      <c r="AA116" s="66" t="str">
        <f t="shared" si="13"/>
        <v/>
      </c>
      <c r="AB116" s="62"/>
      <c r="AC116" s="62"/>
      <c r="AD116" s="63" t="str">
        <f>IFERROR(IF(OR($AB116="",$T116="",$T116=0),"",ROUND(ABS($N116-$AB116)*$S116*VLOOKUP($F116,'⚙️ Setelan'!$A$14:$F$20,4,FALSE)/$T116,2)),"")</f>
        <v/>
      </c>
      <c r="AE116" s="63" t="str">
        <f>IFERROR(IF(OR($AC116="",$T116="",$T116=0),"",ROUND(ABS($AC116-$N116)*$S116*VLOOKUP($F116,'⚙️ Setelan'!$A$14:$F$20,4,FALSE)/$T116,2)),"")</f>
        <v/>
      </c>
      <c r="AF116" s="61"/>
      <c r="AG116" s="61"/>
      <c r="AH116" s="61"/>
      <c r="AI116" s="61"/>
      <c r="AJ116" s="61"/>
      <c r="AK116" s="67"/>
      <c r="AL116" s="58" t="str">
        <f>IF(OR($C116="",$B116=""),"",IF(AND($Z115="Loss",$B116=$B115,MOD($C116-$D115,1)*1440&lt;'⚙️ Setelan'!$B$9),"⚠️ Revenge",""))</f>
        <v/>
      </c>
      <c r="AM116" s="68"/>
      <c r="AN116" s="58" t="str">
        <f>IF($AM116="","",IFERROR(_xlfn.IMAGE(IF(REGEXMATCH($AM116,"\.(png|jpg|jpeg|gif)$"),$AM116,"https://s3.tradingview.com/snapshots/"&amp;LOWER(MID(REGEXEXTRACT($AM116,"/x/([A-Za-z0-9]+)"),1,1))&amp;"/"&amp;REGEXEXTRACT($AM116,"/x/([A-Za-z0-9]+)")&amp;".png"),1),"⚠️ link tidak dikenali"))</f>
        <v/>
      </c>
      <c r="AO116" s="68"/>
      <c r="AP116" s="58" t="str">
        <f>IF($AO116="","",IFERROR(_xlfn.IMAGE(IF(REGEXMATCH($AO116,"\.(png|jpg|jpeg|gif)$"),$AO116,"https://s3.tradingview.com/snapshots/"&amp;LOWER(MID(REGEXEXTRACT($AO116,"/x/([A-Za-z0-9]+)"),1,1))&amp;"/"&amp;REGEXEXTRACT($AO116,"/x/([A-Za-z0-9]+)")&amp;".png"),1),"⚠️ link tidak dikenali"))</f>
        <v/>
      </c>
      <c r="AQ116" s="66">
        <f>IF($Z116="",0,IF(AND(OR('📊 Dashboard'!$B$4="(Semua)",$F116='📊 Dashboard'!$B$4),OR('📊 Dashboard'!$B$5="(Semua)",$H116='📊 Dashboard'!$B$5),OR('📊 Dashboard'!$B$6="(Semua)",$E116='📊 Dashboard'!$B$6),OR('📊 Dashboard'!$B$7="(Semua)",$AF116='📊 Dashboard'!$B$7),OR('📊 Dashboard'!$B$8="(Semua)",$AG116='📊 Dashboard'!$B$8),OR('📊 Dashboard'!$B$9="(Semua)",$K116='📊 Dashboard'!$B$9)),1,0))</f>
        <v>0</v>
      </c>
      <c r="AR116" s="69"/>
    </row>
    <row r="117" ht="58" customHeight="1" spans="1:44">
      <c r="A117" s="58" t="str">
        <f t="shared" si="7"/>
        <v/>
      </c>
      <c r="B117" s="59"/>
      <c r="C117" s="60"/>
      <c r="D117" s="60"/>
      <c r="E117" s="58" t="str">
        <f t="shared" si="8"/>
        <v/>
      </c>
      <c r="F117" s="61"/>
      <c r="G117" s="61"/>
      <c r="H117" s="61"/>
      <c r="I117" s="61"/>
      <c r="J117" s="61"/>
      <c r="K117" s="61"/>
      <c r="L117" s="61"/>
      <c r="M117" s="61"/>
      <c r="N117" s="62"/>
      <c r="O117" s="62"/>
      <c r="P117" s="62"/>
      <c r="Q117" s="62"/>
      <c r="R117" s="63" t="str">
        <f>IFERROR(IF(OR($N117="",$O117="",$F117=""),"",ROUND(('⚙️ Setelan'!$B$3*'⚙️ Setelan'!$B$4/100)/(ABS($N117-$O117)*VLOOKUP($F117,'⚙️ Setelan'!$A$14:$F$20,4,FALSE)),2)),"")</f>
        <v/>
      </c>
      <c r="S117" s="64"/>
      <c r="T117" s="65" t="str">
        <f>IFERROR(IF(OR($N117="",$O117="",$S117=""),"",ABS($N117-$O117)*$S117*VLOOKUP($F117,'⚙️ Setelan'!$A$14:$F$20,4,FALSE)),"")</f>
        <v/>
      </c>
      <c r="U117" s="63" t="str">
        <f t="shared" si="9"/>
        <v/>
      </c>
      <c r="V117" s="65" t="str">
        <f>IFERROR(IF(OR($Q117="",$N117="",$S117=""),"",($Q117-$N117)*IF($G117="Buy",1,-1)*$S117*VLOOKUP($F117,'⚙️ Setelan'!$A$14:$F$20,4,FALSE)),"")</f>
        <v/>
      </c>
      <c r="W117" s="65" t="str">
        <f>IFERROR(IF(OR($S117="",$F117=""),"",$S117*VLOOKUP($F117,'⚙️ Setelan'!$A$14:$F$20,5,FALSE)),"")</f>
        <v/>
      </c>
      <c r="X117" s="65" t="str">
        <f t="shared" si="10"/>
        <v/>
      </c>
      <c r="Y117" s="63" t="str">
        <f t="shared" si="11"/>
        <v/>
      </c>
      <c r="Z117" s="58" t="str">
        <f t="shared" si="12"/>
        <v/>
      </c>
      <c r="AA117" s="66" t="str">
        <f t="shared" si="13"/>
        <v/>
      </c>
      <c r="AB117" s="62"/>
      <c r="AC117" s="62"/>
      <c r="AD117" s="63" t="str">
        <f>IFERROR(IF(OR($AB117="",$T117="",$T117=0),"",ROUND(ABS($N117-$AB117)*$S117*VLOOKUP($F117,'⚙️ Setelan'!$A$14:$F$20,4,FALSE)/$T117,2)),"")</f>
        <v/>
      </c>
      <c r="AE117" s="63" t="str">
        <f>IFERROR(IF(OR($AC117="",$T117="",$T117=0),"",ROUND(ABS($AC117-$N117)*$S117*VLOOKUP($F117,'⚙️ Setelan'!$A$14:$F$20,4,FALSE)/$T117,2)),"")</f>
        <v/>
      </c>
      <c r="AF117" s="61"/>
      <c r="AG117" s="61"/>
      <c r="AH117" s="61"/>
      <c r="AI117" s="61"/>
      <c r="AJ117" s="61"/>
      <c r="AK117" s="67"/>
      <c r="AL117" s="58" t="str">
        <f>IF(OR($C117="",$B117=""),"",IF(AND($Z116="Loss",$B117=$B116,MOD($C117-$D116,1)*1440&lt;'⚙️ Setelan'!$B$9),"⚠️ Revenge",""))</f>
        <v/>
      </c>
      <c r="AM117" s="68"/>
      <c r="AN117" s="58" t="str">
        <f>IF($AM117="","",IFERROR(_xlfn.IMAGE(IF(REGEXMATCH($AM117,"\.(png|jpg|jpeg|gif)$"),$AM117,"https://s3.tradingview.com/snapshots/"&amp;LOWER(MID(REGEXEXTRACT($AM117,"/x/([A-Za-z0-9]+)"),1,1))&amp;"/"&amp;REGEXEXTRACT($AM117,"/x/([A-Za-z0-9]+)")&amp;".png"),1),"⚠️ link tidak dikenali"))</f>
        <v/>
      </c>
      <c r="AO117" s="68"/>
      <c r="AP117" s="58" t="str">
        <f>IF($AO117="","",IFERROR(_xlfn.IMAGE(IF(REGEXMATCH($AO117,"\.(png|jpg|jpeg|gif)$"),$AO117,"https://s3.tradingview.com/snapshots/"&amp;LOWER(MID(REGEXEXTRACT($AO117,"/x/([A-Za-z0-9]+)"),1,1))&amp;"/"&amp;REGEXEXTRACT($AO117,"/x/([A-Za-z0-9]+)")&amp;".png"),1),"⚠️ link tidak dikenali"))</f>
        <v/>
      </c>
      <c r="AQ117" s="66">
        <f>IF($Z117="",0,IF(AND(OR('📊 Dashboard'!$B$4="(Semua)",$F117='📊 Dashboard'!$B$4),OR('📊 Dashboard'!$B$5="(Semua)",$H117='📊 Dashboard'!$B$5),OR('📊 Dashboard'!$B$6="(Semua)",$E117='📊 Dashboard'!$B$6),OR('📊 Dashboard'!$B$7="(Semua)",$AF117='📊 Dashboard'!$B$7),OR('📊 Dashboard'!$B$8="(Semua)",$AG117='📊 Dashboard'!$B$8),OR('📊 Dashboard'!$B$9="(Semua)",$K117='📊 Dashboard'!$B$9)),1,0))</f>
        <v>0</v>
      </c>
      <c r="AR117" s="69"/>
    </row>
    <row r="118" ht="58" customHeight="1" spans="1:44">
      <c r="A118" s="58" t="str">
        <f t="shared" si="7"/>
        <v/>
      </c>
      <c r="B118" s="59"/>
      <c r="C118" s="60"/>
      <c r="D118" s="60"/>
      <c r="E118" s="58" t="str">
        <f t="shared" si="8"/>
        <v/>
      </c>
      <c r="F118" s="61"/>
      <c r="G118" s="61"/>
      <c r="H118" s="61"/>
      <c r="I118" s="61"/>
      <c r="J118" s="61"/>
      <c r="K118" s="61"/>
      <c r="L118" s="61"/>
      <c r="M118" s="61"/>
      <c r="N118" s="62"/>
      <c r="O118" s="62"/>
      <c r="P118" s="62"/>
      <c r="Q118" s="62"/>
      <c r="R118" s="63" t="str">
        <f>IFERROR(IF(OR($N118="",$O118="",$F118=""),"",ROUND(('⚙️ Setelan'!$B$3*'⚙️ Setelan'!$B$4/100)/(ABS($N118-$O118)*VLOOKUP($F118,'⚙️ Setelan'!$A$14:$F$20,4,FALSE)),2)),"")</f>
        <v/>
      </c>
      <c r="S118" s="64"/>
      <c r="T118" s="65" t="str">
        <f>IFERROR(IF(OR($N118="",$O118="",$S118=""),"",ABS($N118-$O118)*$S118*VLOOKUP($F118,'⚙️ Setelan'!$A$14:$F$20,4,FALSE)),"")</f>
        <v/>
      </c>
      <c r="U118" s="63" t="str">
        <f t="shared" si="9"/>
        <v/>
      </c>
      <c r="V118" s="65" t="str">
        <f>IFERROR(IF(OR($Q118="",$N118="",$S118=""),"",($Q118-$N118)*IF($G118="Buy",1,-1)*$S118*VLOOKUP($F118,'⚙️ Setelan'!$A$14:$F$20,4,FALSE)),"")</f>
        <v/>
      </c>
      <c r="W118" s="65" t="str">
        <f>IFERROR(IF(OR($S118="",$F118=""),"",$S118*VLOOKUP($F118,'⚙️ Setelan'!$A$14:$F$20,5,FALSE)),"")</f>
        <v/>
      </c>
      <c r="X118" s="65" t="str">
        <f t="shared" si="10"/>
        <v/>
      </c>
      <c r="Y118" s="63" t="str">
        <f t="shared" si="11"/>
        <v/>
      </c>
      <c r="Z118" s="58" t="str">
        <f t="shared" si="12"/>
        <v/>
      </c>
      <c r="AA118" s="66" t="str">
        <f t="shared" si="13"/>
        <v/>
      </c>
      <c r="AB118" s="62"/>
      <c r="AC118" s="62"/>
      <c r="AD118" s="63" t="str">
        <f>IFERROR(IF(OR($AB118="",$T118="",$T118=0),"",ROUND(ABS($N118-$AB118)*$S118*VLOOKUP($F118,'⚙️ Setelan'!$A$14:$F$20,4,FALSE)/$T118,2)),"")</f>
        <v/>
      </c>
      <c r="AE118" s="63" t="str">
        <f>IFERROR(IF(OR($AC118="",$T118="",$T118=0),"",ROUND(ABS($AC118-$N118)*$S118*VLOOKUP($F118,'⚙️ Setelan'!$A$14:$F$20,4,FALSE)/$T118,2)),"")</f>
        <v/>
      </c>
      <c r="AF118" s="61"/>
      <c r="AG118" s="61"/>
      <c r="AH118" s="61"/>
      <c r="AI118" s="61"/>
      <c r="AJ118" s="61"/>
      <c r="AK118" s="67"/>
      <c r="AL118" s="58" t="str">
        <f>IF(OR($C118="",$B118=""),"",IF(AND($Z117="Loss",$B118=$B117,MOD($C118-$D117,1)*1440&lt;'⚙️ Setelan'!$B$9),"⚠️ Revenge",""))</f>
        <v/>
      </c>
      <c r="AM118" s="68"/>
      <c r="AN118" s="58" t="str">
        <f>IF($AM118="","",IFERROR(_xlfn.IMAGE(IF(REGEXMATCH($AM118,"\.(png|jpg|jpeg|gif)$"),$AM118,"https://s3.tradingview.com/snapshots/"&amp;LOWER(MID(REGEXEXTRACT($AM118,"/x/([A-Za-z0-9]+)"),1,1))&amp;"/"&amp;REGEXEXTRACT($AM118,"/x/([A-Za-z0-9]+)")&amp;".png"),1),"⚠️ link tidak dikenali"))</f>
        <v/>
      </c>
      <c r="AO118" s="68"/>
      <c r="AP118" s="58" t="str">
        <f>IF($AO118="","",IFERROR(_xlfn.IMAGE(IF(REGEXMATCH($AO118,"\.(png|jpg|jpeg|gif)$"),$AO118,"https://s3.tradingview.com/snapshots/"&amp;LOWER(MID(REGEXEXTRACT($AO118,"/x/([A-Za-z0-9]+)"),1,1))&amp;"/"&amp;REGEXEXTRACT($AO118,"/x/([A-Za-z0-9]+)")&amp;".png"),1),"⚠️ link tidak dikenali"))</f>
        <v/>
      </c>
      <c r="AQ118" s="66">
        <f>IF($Z118="",0,IF(AND(OR('📊 Dashboard'!$B$4="(Semua)",$F118='📊 Dashboard'!$B$4),OR('📊 Dashboard'!$B$5="(Semua)",$H118='📊 Dashboard'!$B$5),OR('📊 Dashboard'!$B$6="(Semua)",$E118='📊 Dashboard'!$B$6),OR('📊 Dashboard'!$B$7="(Semua)",$AF118='📊 Dashboard'!$B$7),OR('📊 Dashboard'!$B$8="(Semua)",$AG118='📊 Dashboard'!$B$8),OR('📊 Dashboard'!$B$9="(Semua)",$K118='📊 Dashboard'!$B$9)),1,0))</f>
        <v>0</v>
      </c>
      <c r="AR118" s="69"/>
    </row>
    <row r="119" ht="58" customHeight="1" spans="1:44">
      <c r="A119" s="58" t="str">
        <f t="shared" si="7"/>
        <v/>
      </c>
      <c r="B119" s="59"/>
      <c r="C119" s="60"/>
      <c r="D119" s="60"/>
      <c r="E119" s="58" t="str">
        <f t="shared" si="8"/>
        <v/>
      </c>
      <c r="F119" s="61"/>
      <c r="G119" s="61"/>
      <c r="H119" s="61"/>
      <c r="I119" s="61"/>
      <c r="J119" s="61"/>
      <c r="K119" s="61"/>
      <c r="L119" s="61"/>
      <c r="M119" s="61"/>
      <c r="N119" s="62"/>
      <c r="O119" s="62"/>
      <c r="P119" s="62"/>
      <c r="Q119" s="62"/>
      <c r="R119" s="63" t="str">
        <f>IFERROR(IF(OR($N119="",$O119="",$F119=""),"",ROUND(('⚙️ Setelan'!$B$3*'⚙️ Setelan'!$B$4/100)/(ABS($N119-$O119)*VLOOKUP($F119,'⚙️ Setelan'!$A$14:$F$20,4,FALSE)),2)),"")</f>
        <v/>
      </c>
      <c r="S119" s="64"/>
      <c r="T119" s="65" t="str">
        <f>IFERROR(IF(OR($N119="",$O119="",$S119=""),"",ABS($N119-$O119)*$S119*VLOOKUP($F119,'⚙️ Setelan'!$A$14:$F$20,4,FALSE)),"")</f>
        <v/>
      </c>
      <c r="U119" s="63" t="str">
        <f t="shared" si="9"/>
        <v/>
      </c>
      <c r="V119" s="65" t="str">
        <f>IFERROR(IF(OR($Q119="",$N119="",$S119=""),"",($Q119-$N119)*IF($G119="Buy",1,-1)*$S119*VLOOKUP($F119,'⚙️ Setelan'!$A$14:$F$20,4,FALSE)),"")</f>
        <v/>
      </c>
      <c r="W119" s="65" t="str">
        <f>IFERROR(IF(OR($S119="",$F119=""),"",$S119*VLOOKUP($F119,'⚙️ Setelan'!$A$14:$F$20,5,FALSE)),"")</f>
        <v/>
      </c>
      <c r="X119" s="65" t="str">
        <f t="shared" si="10"/>
        <v/>
      </c>
      <c r="Y119" s="63" t="str">
        <f t="shared" si="11"/>
        <v/>
      </c>
      <c r="Z119" s="58" t="str">
        <f t="shared" si="12"/>
        <v/>
      </c>
      <c r="AA119" s="66" t="str">
        <f t="shared" si="13"/>
        <v/>
      </c>
      <c r="AB119" s="62"/>
      <c r="AC119" s="62"/>
      <c r="AD119" s="63" t="str">
        <f>IFERROR(IF(OR($AB119="",$T119="",$T119=0),"",ROUND(ABS($N119-$AB119)*$S119*VLOOKUP($F119,'⚙️ Setelan'!$A$14:$F$20,4,FALSE)/$T119,2)),"")</f>
        <v/>
      </c>
      <c r="AE119" s="63" t="str">
        <f>IFERROR(IF(OR($AC119="",$T119="",$T119=0),"",ROUND(ABS($AC119-$N119)*$S119*VLOOKUP($F119,'⚙️ Setelan'!$A$14:$F$20,4,FALSE)/$T119,2)),"")</f>
        <v/>
      </c>
      <c r="AF119" s="61"/>
      <c r="AG119" s="61"/>
      <c r="AH119" s="61"/>
      <c r="AI119" s="61"/>
      <c r="AJ119" s="61"/>
      <c r="AK119" s="67"/>
      <c r="AL119" s="58" t="str">
        <f>IF(OR($C119="",$B119=""),"",IF(AND($Z118="Loss",$B119=$B118,MOD($C119-$D118,1)*1440&lt;'⚙️ Setelan'!$B$9),"⚠️ Revenge",""))</f>
        <v/>
      </c>
      <c r="AM119" s="68"/>
      <c r="AN119" s="58" t="str">
        <f>IF($AM119="","",IFERROR(_xlfn.IMAGE(IF(REGEXMATCH($AM119,"\.(png|jpg|jpeg|gif)$"),$AM119,"https://s3.tradingview.com/snapshots/"&amp;LOWER(MID(REGEXEXTRACT($AM119,"/x/([A-Za-z0-9]+)"),1,1))&amp;"/"&amp;REGEXEXTRACT($AM119,"/x/([A-Za-z0-9]+)")&amp;".png"),1),"⚠️ link tidak dikenali"))</f>
        <v/>
      </c>
      <c r="AO119" s="68"/>
      <c r="AP119" s="58" t="str">
        <f>IF($AO119="","",IFERROR(_xlfn.IMAGE(IF(REGEXMATCH($AO119,"\.(png|jpg|jpeg|gif)$"),$AO119,"https://s3.tradingview.com/snapshots/"&amp;LOWER(MID(REGEXEXTRACT($AO119,"/x/([A-Za-z0-9]+)"),1,1))&amp;"/"&amp;REGEXEXTRACT($AO119,"/x/([A-Za-z0-9]+)")&amp;".png"),1),"⚠️ link tidak dikenali"))</f>
        <v/>
      </c>
      <c r="AQ119" s="66">
        <f>IF($Z119="",0,IF(AND(OR('📊 Dashboard'!$B$4="(Semua)",$F119='📊 Dashboard'!$B$4),OR('📊 Dashboard'!$B$5="(Semua)",$H119='📊 Dashboard'!$B$5),OR('📊 Dashboard'!$B$6="(Semua)",$E119='📊 Dashboard'!$B$6),OR('📊 Dashboard'!$B$7="(Semua)",$AF119='📊 Dashboard'!$B$7),OR('📊 Dashboard'!$B$8="(Semua)",$AG119='📊 Dashboard'!$B$8),OR('📊 Dashboard'!$B$9="(Semua)",$K119='📊 Dashboard'!$B$9)),1,0))</f>
        <v>0</v>
      </c>
      <c r="AR119" s="69"/>
    </row>
    <row r="120" ht="58" customHeight="1" spans="1:44">
      <c r="A120" s="58" t="str">
        <f t="shared" si="7"/>
        <v/>
      </c>
      <c r="B120" s="59"/>
      <c r="C120" s="60"/>
      <c r="D120" s="60"/>
      <c r="E120" s="58" t="str">
        <f t="shared" si="8"/>
        <v/>
      </c>
      <c r="F120" s="61"/>
      <c r="G120" s="61"/>
      <c r="H120" s="61"/>
      <c r="I120" s="61"/>
      <c r="J120" s="61"/>
      <c r="K120" s="61"/>
      <c r="L120" s="61"/>
      <c r="M120" s="61"/>
      <c r="N120" s="62"/>
      <c r="O120" s="62"/>
      <c r="P120" s="62"/>
      <c r="Q120" s="62"/>
      <c r="R120" s="63" t="str">
        <f>IFERROR(IF(OR($N120="",$O120="",$F120=""),"",ROUND(('⚙️ Setelan'!$B$3*'⚙️ Setelan'!$B$4/100)/(ABS($N120-$O120)*VLOOKUP($F120,'⚙️ Setelan'!$A$14:$F$20,4,FALSE)),2)),"")</f>
        <v/>
      </c>
      <c r="S120" s="64"/>
      <c r="T120" s="65" t="str">
        <f>IFERROR(IF(OR($N120="",$O120="",$S120=""),"",ABS($N120-$O120)*$S120*VLOOKUP($F120,'⚙️ Setelan'!$A$14:$F$20,4,FALSE)),"")</f>
        <v/>
      </c>
      <c r="U120" s="63" t="str">
        <f t="shared" si="9"/>
        <v/>
      </c>
      <c r="V120" s="65" t="str">
        <f>IFERROR(IF(OR($Q120="",$N120="",$S120=""),"",($Q120-$N120)*IF($G120="Buy",1,-1)*$S120*VLOOKUP($F120,'⚙️ Setelan'!$A$14:$F$20,4,FALSE)),"")</f>
        <v/>
      </c>
      <c r="W120" s="65" t="str">
        <f>IFERROR(IF(OR($S120="",$F120=""),"",$S120*VLOOKUP($F120,'⚙️ Setelan'!$A$14:$F$20,5,FALSE)),"")</f>
        <v/>
      </c>
      <c r="X120" s="65" t="str">
        <f t="shared" si="10"/>
        <v/>
      </c>
      <c r="Y120" s="63" t="str">
        <f t="shared" si="11"/>
        <v/>
      </c>
      <c r="Z120" s="58" t="str">
        <f t="shared" si="12"/>
        <v/>
      </c>
      <c r="AA120" s="66" t="str">
        <f t="shared" si="13"/>
        <v/>
      </c>
      <c r="AB120" s="62"/>
      <c r="AC120" s="62"/>
      <c r="AD120" s="63" t="str">
        <f>IFERROR(IF(OR($AB120="",$T120="",$T120=0),"",ROUND(ABS($N120-$AB120)*$S120*VLOOKUP($F120,'⚙️ Setelan'!$A$14:$F$20,4,FALSE)/$T120,2)),"")</f>
        <v/>
      </c>
      <c r="AE120" s="63" t="str">
        <f>IFERROR(IF(OR($AC120="",$T120="",$T120=0),"",ROUND(ABS($AC120-$N120)*$S120*VLOOKUP($F120,'⚙️ Setelan'!$A$14:$F$20,4,FALSE)/$T120,2)),"")</f>
        <v/>
      </c>
      <c r="AF120" s="61"/>
      <c r="AG120" s="61"/>
      <c r="AH120" s="61"/>
      <c r="AI120" s="61"/>
      <c r="AJ120" s="61"/>
      <c r="AK120" s="67"/>
      <c r="AL120" s="58" t="str">
        <f>IF(OR($C120="",$B120=""),"",IF(AND($Z119="Loss",$B120=$B119,MOD($C120-$D119,1)*1440&lt;'⚙️ Setelan'!$B$9),"⚠️ Revenge",""))</f>
        <v/>
      </c>
      <c r="AM120" s="68"/>
      <c r="AN120" s="58" t="str">
        <f>IF($AM120="","",IFERROR(_xlfn.IMAGE(IF(REGEXMATCH($AM120,"\.(png|jpg|jpeg|gif)$"),$AM120,"https://s3.tradingview.com/snapshots/"&amp;LOWER(MID(REGEXEXTRACT($AM120,"/x/([A-Za-z0-9]+)"),1,1))&amp;"/"&amp;REGEXEXTRACT($AM120,"/x/([A-Za-z0-9]+)")&amp;".png"),1),"⚠️ link tidak dikenali"))</f>
        <v/>
      </c>
      <c r="AO120" s="68"/>
      <c r="AP120" s="58" t="str">
        <f>IF($AO120="","",IFERROR(_xlfn.IMAGE(IF(REGEXMATCH($AO120,"\.(png|jpg|jpeg|gif)$"),$AO120,"https://s3.tradingview.com/snapshots/"&amp;LOWER(MID(REGEXEXTRACT($AO120,"/x/([A-Za-z0-9]+)"),1,1))&amp;"/"&amp;REGEXEXTRACT($AO120,"/x/([A-Za-z0-9]+)")&amp;".png"),1),"⚠️ link tidak dikenali"))</f>
        <v/>
      </c>
      <c r="AQ120" s="66">
        <f>IF($Z120="",0,IF(AND(OR('📊 Dashboard'!$B$4="(Semua)",$F120='📊 Dashboard'!$B$4),OR('📊 Dashboard'!$B$5="(Semua)",$H120='📊 Dashboard'!$B$5),OR('📊 Dashboard'!$B$6="(Semua)",$E120='📊 Dashboard'!$B$6),OR('📊 Dashboard'!$B$7="(Semua)",$AF120='📊 Dashboard'!$B$7),OR('📊 Dashboard'!$B$8="(Semua)",$AG120='📊 Dashboard'!$B$8),OR('📊 Dashboard'!$B$9="(Semua)",$K120='📊 Dashboard'!$B$9)),1,0))</f>
        <v>0</v>
      </c>
      <c r="AR120" s="69"/>
    </row>
    <row r="121" ht="58" customHeight="1" spans="1:44">
      <c r="A121" s="58" t="str">
        <f t="shared" si="7"/>
        <v/>
      </c>
      <c r="B121" s="59"/>
      <c r="C121" s="60"/>
      <c r="D121" s="60"/>
      <c r="E121" s="58" t="str">
        <f t="shared" si="8"/>
        <v/>
      </c>
      <c r="F121" s="61"/>
      <c r="G121" s="61"/>
      <c r="H121" s="61"/>
      <c r="I121" s="61"/>
      <c r="J121" s="61"/>
      <c r="K121" s="61"/>
      <c r="L121" s="61"/>
      <c r="M121" s="61"/>
      <c r="N121" s="62"/>
      <c r="O121" s="62"/>
      <c r="P121" s="62"/>
      <c r="Q121" s="62"/>
      <c r="R121" s="63" t="str">
        <f>IFERROR(IF(OR($N121="",$O121="",$F121=""),"",ROUND(('⚙️ Setelan'!$B$3*'⚙️ Setelan'!$B$4/100)/(ABS($N121-$O121)*VLOOKUP($F121,'⚙️ Setelan'!$A$14:$F$20,4,FALSE)),2)),"")</f>
        <v/>
      </c>
      <c r="S121" s="64"/>
      <c r="T121" s="65" t="str">
        <f>IFERROR(IF(OR($N121="",$O121="",$S121=""),"",ABS($N121-$O121)*$S121*VLOOKUP($F121,'⚙️ Setelan'!$A$14:$F$20,4,FALSE)),"")</f>
        <v/>
      </c>
      <c r="U121" s="63" t="str">
        <f t="shared" si="9"/>
        <v/>
      </c>
      <c r="V121" s="65" t="str">
        <f>IFERROR(IF(OR($Q121="",$N121="",$S121=""),"",($Q121-$N121)*IF($G121="Buy",1,-1)*$S121*VLOOKUP($F121,'⚙️ Setelan'!$A$14:$F$20,4,FALSE)),"")</f>
        <v/>
      </c>
      <c r="W121" s="65" t="str">
        <f>IFERROR(IF(OR($S121="",$F121=""),"",$S121*VLOOKUP($F121,'⚙️ Setelan'!$A$14:$F$20,5,FALSE)),"")</f>
        <v/>
      </c>
      <c r="X121" s="65" t="str">
        <f t="shared" si="10"/>
        <v/>
      </c>
      <c r="Y121" s="63" t="str">
        <f t="shared" si="11"/>
        <v/>
      </c>
      <c r="Z121" s="58" t="str">
        <f t="shared" si="12"/>
        <v/>
      </c>
      <c r="AA121" s="66" t="str">
        <f t="shared" si="13"/>
        <v/>
      </c>
      <c r="AB121" s="62"/>
      <c r="AC121" s="62"/>
      <c r="AD121" s="63" t="str">
        <f>IFERROR(IF(OR($AB121="",$T121="",$T121=0),"",ROUND(ABS($N121-$AB121)*$S121*VLOOKUP($F121,'⚙️ Setelan'!$A$14:$F$20,4,FALSE)/$T121,2)),"")</f>
        <v/>
      </c>
      <c r="AE121" s="63" t="str">
        <f>IFERROR(IF(OR($AC121="",$T121="",$T121=0),"",ROUND(ABS($AC121-$N121)*$S121*VLOOKUP($F121,'⚙️ Setelan'!$A$14:$F$20,4,FALSE)/$T121,2)),"")</f>
        <v/>
      </c>
      <c r="AF121" s="61"/>
      <c r="AG121" s="61"/>
      <c r="AH121" s="61"/>
      <c r="AI121" s="61"/>
      <c r="AJ121" s="61"/>
      <c r="AK121" s="67"/>
      <c r="AL121" s="58" t="str">
        <f>IF(OR($C121="",$B121=""),"",IF(AND($Z120="Loss",$B121=$B120,MOD($C121-$D120,1)*1440&lt;'⚙️ Setelan'!$B$9),"⚠️ Revenge",""))</f>
        <v/>
      </c>
      <c r="AM121" s="68"/>
      <c r="AN121" s="58" t="str">
        <f>IF($AM121="","",IFERROR(_xlfn.IMAGE(IF(REGEXMATCH($AM121,"\.(png|jpg|jpeg|gif)$"),$AM121,"https://s3.tradingview.com/snapshots/"&amp;LOWER(MID(REGEXEXTRACT($AM121,"/x/([A-Za-z0-9]+)"),1,1))&amp;"/"&amp;REGEXEXTRACT($AM121,"/x/([A-Za-z0-9]+)")&amp;".png"),1),"⚠️ link tidak dikenali"))</f>
        <v/>
      </c>
      <c r="AO121" s="68"/>
      <c r="AP121" s="58" t="str">
        <f>IF($AO121="","",IFERROR(_xlfn.IMAGE(IF(REGEXMATCH($AO121,"\.(png|jpg|jpeg|gif)$"),$AO121,"https://s3.tradingview.com/snapshots/"&amp;LOWER(MID(REGEXEXTRACT($AO121,"/x/([A-Za-z0-9]+)"),1,1))&amp;"/"&amp;REGEXEXTRACT($AO121,"/x/([A-Za-z0-9]+)")&amp;".png"),1),"⚠️ link tidak dikenali"))</f>
        <v/>
      </c>
      <c r="AQ121" s="66">
        <f>IF($Z121="",0,IF(AND(OR('📊 Dashboard'!$B$4="(Semua)",$F121='📊 Dashboard'!$B$4),OR('📊 Dashboard'!$B$5="(Semua)",$H121='📊 Dashboard'!$B$5),OR('📊 Dashboard'!$B$6="(Semua)",$E121='📊 Dashboard'!$B$6),OR('📊 Dashboard'!$B$7="(Semua)",$AF121='📊 Dashboard'!$B$7),OR('📊 Dashboard'!$B$8="(Semua)",$AG121='📊 Dashboard'!$B$8),OR('📊 Dashboard'!$B$9="(Semua)",$K121='📊 Dashboard'!$B$9)),1,0))</f>
        <v>0</v>
      </c>
      <c r="AR121" s="69"/>
    </row>
    <row r="122" ht="58" customHeight="1" spans="1:44">
      <c r="A122" s="58" t="str">
        <f t="shared" si="7"/>
        <v/>
      </c>
      <c r="B122" s="59"/>
      <c r="C122" s="60"/>
      <c r="D122" s="60"/>
      <c r="E122" s="58" t="str">
        <f t="shared" si="8"/>
        <v/>
      </c>
      <c r="F122" s="61"/>
      <c r="G122" s="61"/>
      <c r="H122" s="61"/>
      <c r="I122" s="61"/>
      <c r="J122" s="61"/>
      <c r="K122" s="61"/>
      <c r="L122" s="61"/>
      <c r="M122" s="61"/>
      <c r="N122" s="62"/>
      <c r="O122" s="62"/>
      <c r="P122" s="62"/>
      <c r="Q122" s="62"/>
      <c r="R122" s="63" t="str">
        <f>IFERROR(IF(OR($N122="",$O122="",$F122=""),"",ROUND(('⚙️ Setelan'!$B$3*'⚙️ Setelan'!$B$4/100)/(ABS($N122-$O122)*VLOOKUP($F122,'⚙️ Setelan'!$A$14:$F$20,4,FALSE)),2)),"")</f>
        <v/>
      </c>
      <c r="S122" s="64"/>
      <c r="T122" s="65" t="str">
        <f>IFERROR(IF(OR($N122="",$O122="",$S122=""),"",ABS($N122-$O122)*$S122*VLOOKUP($F122,'⚙️ Setelan'!$A$14:$F$20,4,FALSE)),"")</f>
        <v/>
      </c>
      <c r="U122" s="63" t="str">
        <f t="shared" si="9"/>
        <v/>
      </c>
      <c r="V122" s="65" t="str">
        <f>IFERROR(IF(OR($Q122="",$N122="",$S122=""),"",($Q122-$N122)*IF($G122="Buy",1,-1)*$S122*VLOOKUP($F122,'⚙️ Setelan'!$A$14:$F$20,4,FALSE)),"")</f>
        <v/>
      </c>
      <c r="W122" s="65" t="str">
        <f>IFERROR(IF(OR($S122="",$F122=""),"",$S122*VLOOKUP($F122,'⚙️ Setelan'!$A$14:$F$20,5,FALSE)),"")</f>
        <v/>
      </c>
      <c r="X122" s="65" t="str">
        <f t="shared" si="10"/>
        <v/>
      </c>
      <c r="Y122" s="63" t="str">
        <f t="shared" si="11"/>
        <v/>
      </c>
      <c r="Z122" s="58" t="str">
        <f t="shared" si="12"/>
        <v/>
      </c>
      <c r="AA122" s="66" t="str">
        <f t="shared" si="13"/>
        <v/>
      </c>
      <c r="AB122" s="62"/>
      <c r="AC122" s="62"/>
      <c r="AD122" s="63" t="str">
        <f>IFERROR(IF(OR($AB122="",$T122="",$T122=0),"",ROUND(ABS($N122-$AB122)*$S122*VLOOKUP($F122,'⚙️ Setelan'!$A$14:$F$20,4,FALSE)/$T122,2)),"")</f>
        <v/>
      </c>
      <c r="AE122" s="63" t="str">
        <f>IFERROR(IF(OR($AC122="",$T122="",$T122=0),"",ROUND(ABS($AC122-$N122)*$S122*VLOOKUP($F122,'⚙️ Setelan'!$A$14:$F$20,4,FALSE)/$T122,2)),"")</f>
        <v/>
      </c>
      <c r="AF122" s="61"/>
      <c r="AG122" s="61"/>
      <c r="AH122" s="61"/>
      <c r="AI122" s="61"/>
      <c r="AJ122" s="61"/>
      <c r="AK122" s="67"/>
      <c r="AL122" s="58" t="str">
        <f>IF(OR($C122="",$B122=""),"",IF(AND($Z121="Loss",$B122=$B121,MOD($C122-$D121,1)*1440&lt;'⚙️ Setelan'!$B$9),"⚠️ Revenge",""))</f>
        <v/>
      </c>
      <c r="AM122" s="68"/>
      <c r="AN122" s="58" t="str">
        <f>IF($AM122="","",IFERROR(_xlfn.IMAGE(IF(REGEXMATCH($AM122,"\.(png|jpg|jpeg|gif)$"),$AM122,"https://s3.tradingview.com/snapshots/"&amp;LOWER(MID(REGEXEXTRACT($AM122,"/x/([A-Za-z0-9]+)"),1,1))&amp;"/"&amp;REGEXEXTRACT($AM122,"/x/([A-Za-z0-9]+)")&amp;".png"),1),"⚠️ link tidak dikenali"))</f>
        <v/>
      </c>
      <c r="AO122" s="68"/>
      <c r="AP122" s="58" t="str">
        <f>IF($AO122="","",IFERROR(_xlfn.IMAGE(IF(REGEXMATCH($AO122,"\.(png|jpg|jpeg|gif)$"),$AO122,"https://s3.tradingview.com/snapshots/"&amp;LOWER(MID(REGEXEXTRACT($AO122,"/x/([A-Za-z0-9]+)"),1,1))&amp;"/"&amp;REGEXEXTRACT($AO122,"/x/([A-Za-z0-9]+)")&amp;".png"),1),"⚠️ link tidak dikenali"))</f>
        <v/>
      </c>
      <c r="AQ122" s="66">
        <f>IF($Z122="",0,IF(AND(OR('📊 Dashboard'!$B$4="(Semua)",$F122='📊 Dashboard'!$B$4),OR('📊 Dashboard'!$B$5="(Semua)",$H122='📊 Dashboard'!$B$5),OR('📊 Dashboard'!$B$6="(Semua)",$E122='📊 Dashboard'!$B$6),OR('📊 Dashboard'!$B$7="(Semua)",$AF122='📊 Dashboard'!$B$7),OR('📊 Dashboard'!$B$8="(Semua)",$AG122='📊 Dashboard'!$B$8),OR('📊 Dashboard'!$B$9="(Semua)",$K122='📊 Dashboard'!$B$9)),1,0))</f>
        <v>0</v>
      </c>
      <c r="AR122" s="69"/>
    </row>
    <row r="123" ht="58" customHeight="1" spans="1:44">
      <c r="A123" s="58" t="str">
        <f t="shared" si="7"/>
        <v/>
      </c>
      <c r="B123" s="59"/>
      <c r="C123" s="60"/>
      <c r="D123" s="60"/>
      <c r="E123" s="58" t="str">
        <f t="shared" si="8"/>
        <v/>
      </c>
      <c r="F123" s="61"/>
      <c r="G123" s="61"/>
      <c r="H123" s="61"/>
      <c r="I123" s="61"/>
      <c r="J123" s="61"/>
      <c r="K123" s="61"/>
      <c r="L123" s="61"/>
      <c r="M123" s="61"/>
      <c r="N123" s="62"/>
      <c r="O123" s="62"/>
      <c r="P123" s="62"/>
      <c r="Q123" s="62"/>
      <c r="R123" s="63" t="str">
        <f>IFERROR(IF(OR($N123="",$O123="",$F123=""),"",ROUND(('⚙️ Setelan'!$B$3*'⚙️ Setelan'!$B$4/100)/(ABS($N123-$O123)*VLOOKUP($F123,'⚙️ Setelan'!$A$14:$F$20,4,FALSE)),2)),"")</f>
        <v/>
      </c>
      <c r="S123" s="64"/>
      <c r="T123" s="65" t="str">
        <f>IFERROR(IF(OR($N123="",$O123="",$S123=""),"",ABS($N123-$O123)*$S123*VLOOKUP($F123,'⚙️ Setelan'!$A$14:$F$20,4,FALSE)),"")</f>
        <v/>
      </c>
      <c r="U123" s="63" t="str">
        <f t="shared" si="9"/>
        <v/>
      </c>
      <c r="V123" s="65" t="str">
        <f>IFERROR(IF(OR($Q123="",$N123="",$S123=""),"",($Q123-$N123)*IF($G123="Buy",1,-1)*$S123*VLOOKUP($F123,'⚙️ Setelan'!$A$14:$F$20,4,FALSE)),"")</f>
        <v/>
      </c>
      <c r="W123" s="65" t="str">
        <f>IFERROR(IF(OR($S123="",$F123=""),"",$S123*VLOOKUP($F123,'⚙️ Setelan'!$A$14:$F$20,5,FALSE)),"")</f>
        <v/>
      </c>
      <c r="X123" s="65" t="str">
        <f t="shared" si="10"/>
        <v/>
      </c>
      <c r="Y123" s="63" t="str">
        <f t="shared" si="11"/>
        <v/>
      </c>
      <c r="Z123" s="58" t="str">
        <f t="shared" si="12"/>
        <v/>
      </c>
      <c r="AA123" s="66" t="str">
        <f t="shared" si="13"/>
        <v/>
      </c>
      <c r="AB123" s="62"/>
      <c r="AC123" s="62"/>
      <c r="AD123" s="63" t="str">
        <f>IFERROR(IF(OR($AB123="",$T123="",$T123=0),"",ROUND(ABS($N123-$AB123)*$S123*VLOOKUP($F123,'⚙️ Setelan'!$A$14:$F$20,4,FALSE)/$T123,2)),"")</f>
        <v/>
      </c>
      <c r="AE123" s="63" t="str">
        <f>IFERROR(IF(OR($AC123="",$T123="",$T123=0),"",ROUND(ABS($AC123-$N123)*$S123*VLOOKUP($F123,'⚙️ Setelan'!$A$14:$F$20,4,FALSE)/$T123,2)),"")</f>
        <v/>
      </c>
      <c r="AF123" s="61"/>
      <c r="AG123" s="61"/>
      <c r="AH123" s="61"/>
      <c r="AI123" s="61"/>
      <c r="AJ123" s="61"/>
      <c r="AK123" s="67"/>
      <c r="AL123" s="58" t="str">
        <f>IF(OR($C123="",$B123=""),"",IF(AND($Z122="Loss",$B123=$B122,MOD($C123-$D122,1)*1440&lt;'⚙️ Setelan'!$B$9),"⚠️ Revenge",""))</f>
        <v/>
      </c>
      <c r="AM123" s="68"/>
      <c r="AN123" s="58" t="str">
        <f>IF($AM123="","",IFERROR(_xlfn.IMAGE(IF(REGEXMATCH($AM123,"\.(png|jpg|jpeg|gif)$"),$AM123,"https://s3.tradingview.com/snapshots/"&amp;LOWER(MID(REGEXEXTRACT($AM123,"/x/([A-Za-z0-9]+)"),1,1))&amp;"/"&amp;REGEXEXTRACT($AM123,"/x/([A-Za-z0-9]+)")&amp;".png"),1),"⚠️ link tidak dikenali"))</f>
        <v/>
      </c>
      <c r="AO123" s="68"/>
      <c r="AP123" s="58" t="str">
        <f>IF($AO123="","",IFERROR(_xlfn.IMAGE(IF(REGEXMATCH($AO123,"\.(png|jpg|jpeg|gif)$"),$AO123,"https://s3.tradingview.com/snapshots/"&amp;LOWER(MID(REGEXEXTRACT($AO123,"/x/([A-Za-z0-9]+)"),1,1))&amp;"/"&amp;REGEXEXTRACT($AO123,"/x/([A-Za-z0-9]+)")&amp;".png"),1),"⚠️ link tidak dikenali"))</f>
        <v/>
      </c>
      <c r="AQ123" s="66">
        <f>IF($Z123="",0,IF(AND(OR('📊 Dashboard'!$B$4="(Semua)",$F123='📊 Dashboard'!$B$4),OR('📊 Dashboard'!$B$5="(Semua)",$H123='📊 Dashboard'!$B$5),OR('📊 Dashboard'!$B$6="(Semua)",$E123='📊 Dashboard'!$B$6),OR('📊 Dashboard'!$B$7="(Semua)",$AF123='📊 Dashboard'!$B$7),OR('📊 Dashboard'!$B$8="(Semua)",$AG123='📊 Dashboard'!$B$8),OR('📊 Dashboard'!$B$9="(Semua)",$K123='📊 Dashboard'!$B$9)),1,0))</f>
        <v>0</v>
      </c>
      <c r="AR123" s="69"/>
    </row>
    <row r="124" ht="58" customHeight="1" spans="1:44">
      <c r="A124" s="58" t="str">
        <f t="shared" si="7"/>
        <v/>
      </c>
      <c r="B124" s="59"/>
      <c r="C124" s="60"/>
      <c r="D124" s="60"/>
      <c r="E124" s="58" t="str">
        <f t="shared" si="8"/>
        <v/>
      </c>
      <c r="F124" s="61"/>
      <c r="G124" s="61"/>
      <c r="H124" s="61"/>
      <c r="I124" s="61"/>
      <c r="J124" s="61"/>
      <c r="K124" s="61"/>
      <c r="L124" s="61"/>
      <c r="M124" s="61"/>
      <c r="N124" s="62"/>
      <c r="O124" s="62"/>
      <c r="P124" s="62"/>
      <c r="Q124" s="62"/>
      <c r="R124" s="63" t="str">
        <f>IFERROR(IF(OR($N124="",$O124="",$F124=""),"",ROUND(('⚙️ Setelan'!$B$3*'⚙️ Setelan'!$B$4/100)/(ABS($N124-$O124)*VLOOKUP($F124,'⚙️ Setelan'!$A$14:$F$20,4,FALSE)),2)),"")</f>
        <v/>
      </c>
      <c r="S124" s="64"/>
      <c r="T124" s="65" t="str">
        <f>IFERROR(IF(OR($N124="",$O124="",$S124=""),"",ABS($N124-$O124)*$S124*VLOOKUP($F124,'⚙️ Setelan'!$A$14:$F$20,4,FALSE)),"")</f>
        <v/>
      </c>
      <c r="U124" s="63" t="str">
        <f t="shared" si="9"/>
        <v/>
      </c>
      <c r="V124" s="65" t="str">
        <f>IFERROR(IF(OR($Q124="",$N124="",$S124=""),"",($Q124-$N124)*IF($G124="Buy",1,-1)*$S124*VLOOKUP($F124,'⚙️ Setelan'!$A$14:$F$20,4,FALSE)),"")</f>
        <v/>
      </c>
      <c r="W124" s="65" t="str">
        <f>IFERROR(IF(OR($S124="",$F124=""),"",$S124*VLOOKUP($F124,'⚙️ Setelan'!$A$14:$F$20,5,FALSE)),"")</f>
        <v/>
      </c>
      <c r="X124" s="65" t="str">
        <f t="shared" si="10"/>
        <v/>
      </c>
      <c r="Y124" s="63" t="str">
        <f t="shared" si="11"/>
        <v/>
      </c>
      <c r="Z124" s="58" t="str">
        <f t="shared" si="12"/>
        <v/>
      </c>
      <c r="AA124" s="66" t="str">
        <f t="shared" si="13"/>
        <v/>
      </c>
      <c r="AB124" s="62"/>
      <c r="AC124" s="62"/>
      <c r="AD124" s="63" t="str">
        <f>IFERROR(IF(OR($AB124="",$T124="",$T124=0),"",ROUND(ABS($N124-$AB124)*$S124*VLOOKUP($F124,'⚙️ Setelan'!$A$14:$F$20,4,FALSE)/$T124,2)),"")</f>
        <v/>
      </c>
      <c r="AE124" s="63" t="str">
        <f>IFERROR(IF(OR($AC124="",$T124="",$T124=0),"",ROUND(ABS($AC124-$N124)*$S124*VLOOKUP($F124,'⚙️ Setelan'!$A$14:$F$20,4,FALSE)/$T124,2)),"")</f>
        <v/>
      </c>
      <c r="AF124" s="61"/>
      <c r="AG124" s="61"/>
      <c r="AH124" s="61"/>
      <c r="AI124" s="61"/>
      <c r="AJ124" s="61"/>
      <c r="AK124" s="67"/>
      <c r="AL124" s="58" t="str">
        <f>IF(OR($C124="",$B124=""),"",IF(AND($Z123="Loss",$B124=$B123,MOD($C124-$D123,1)*1440&lt;'⚙️ Setelan'!$B$9),"⚠️ Revenge",""))</f>
        <v/>
      </c>
      <c r="AM124" s="68"/>
      <c r="AN124" s="58" t="str">
        <f>IF($AM124="","",IFERROR(_xlfn.IMAGE(IF(REGEXMATCH($AM124,"\.(png|jpg|jpeg|gif)$"),$AM124,"https://s3.tradingview.com/snapshots/"&amp;LOWER(MID(REGEXEXTRACT($AM124,"/x/([A-Za-z0-9]+)"),1,1))&amp;"/"&amp;REGEXEXTRACT($AM124,"/x/([A-Za-z0-9]+)")&amp;".png"),1),"⚠️ link tidak dikenali"))</f>
        <v/>
      </c>
      <c r="AO124" s="68"/>
      <c r="AP124" s="58" t="str">
        <f>IF($AO124="","",IFERROR(_xlfn.IMAGE(IF(REGEXMATCH($AO124,"\.(png|jpg|jpeg|gif)$"),$AO124,"https://s3.tradingview.com/snapshots/"&amp;LOWER(MID(REGEXEXTRACT($AO124,"/x/([A-Za-z0-9]+)"),1,1))&amp;"/"&amp;REGEXEXTRACT($AO124,"/x/([A-Za-z0-9]+)")&amp;".png"),1),"⚠️ link tidak dikenali"))</f>
        <v/>
      </c>
      <c r="AQ124" s="66">
        <f>IF($Z124="",0,IF(AND(OR('📊 Dashboard'!$B$4="(Semua)",$F124='📊 Dashboard'!$B$4),OR('📊 Dashboard'!$B$5="(Semua)",$H124='📊 Dashboard'!$B$5),OR('📊 Dashboard'!$B$6="(Semua)",$E124='📊 Dashboard'!$B$6),OR('📊 Dashboard'!$B$7="(Semua)",$AF124='📊 Dashboard'!$B$7),OR('📊 Dashboard'!$B$8="(Semua)",$AG124='📊 Dashboard'!$B$8),OR('📊 Dashboard'!$B$9="(Semua)",$K124='📊 Dashboard'!$B$9)),1,0))</f>
        <v>0</v>
      </c>
      <c r="AR124" s="69"/>
    </row>
    <row r="125" ht="58" customHeight="1" spans="1:44">
      <c r="A125" s="58" t="str">
        <f t="shared" si="7"/>
        <v/>
      </c>
      <c r="B125" s="59"/>
      <c r="C125" s="60"/>
      <c r="D125" s="60"/>
      <c r="E125" s="58" t="str">
        <f t="shared" si="8"/>
        <v/>
      </c>
      <c r="F125" s="61"/>
      <c r="G125" s="61"/>
      <c r="H125" s="61"/>
      <c r="I125" s="61"/>
      <c r="J125" s="61"/>
      <c r="K125" s="61"/>
      <c r="L125" s="61"/>
      <c r="M125" s="61"/>
      <c r="N125" s="62"/>
      <c r="O125" s="62"/>
      <c r="P125" s="62"/>
      <c r="Q125" s="62"/>
      <c r="R125" s="63" t="str">
        <f>IFERROR(IF(OR($N125="",$O125="",$F125=""),"",ROUND(('⚙️ Setelan'!$B$3*'⚙️ Setelan'!$B$4/100)/(ABS($N125-$O125)*VLOOKUP($F125,'⚙️ Setelan'!$A$14:$F$20,4,FALSE)),2)),"")</f>
        <v/>
      </c>
      <c r="S125" s="64"/>
      <c r="T125" s="65" t="str">
        <f>IFERROR(IF(OR($N125="",$O125="",$S125=""),"",ABS($N125-$O125)*$S125*VLOOKUP($F125,'⚙️ Setelan'!$A$14:$F$20,4,FALSE)),"")</f>
        <v/>
      </c>
      <c r="U125" s="63" t="str">
        <f t="shared" si="9"/>
        <v/>
      </c>
      <c r="V125" s="65" t="str">
        <f>IFERROR(IF(OR($Q125="",$N125="",$S125=""),"",($Q125-$N125)*IF($G125="Buy",1,-1)*$S125*VLOOKUP($F125,'⚙️ Setelan'!$A$14:$F$20,4,FALSE)),"")</f>
        <v/>
      </c>
      <c r="W125" s="65" t="str">
        <f>IFERROR(IF(OR($S125="",$F125=""),"",$S125*VLOOKUP($F125,'⚙️ Setelan'!$A$14:$F$20,5,FALSE)),"")</f>
        <v/>
      </c>
      <c r="X125" s="65" t="str">
        <f t="shared" si="10"/>
        <v/>
      </c>
      <c r="Y125" s="63" t="str">
        <f t="shared" si="11"/>
        <v/>
      </c>
      <c r="Z125" s="58" t="str">
        <f t="shared" si="12"/>
        <v/>
      </c>
      <c r="AA125" s="66" t="str">
        <f t="shared" si="13"/>
        <v/>
      </c>
      <c r="AB125" s="62"/>
      <c r="AC125" s="62"/>
      <c r="AD125" s="63" t="str">
        <f>IFERROR(IF(OR($AB125="",$T125="",$T125=0),"",ROUND(ABS($N125-$AB125)*$S125*VLOOKUP($F125,'⚙️ Setelan'!$A$14:$F$20,4,FALSE)/$T125,2)),"")</f>
        <v/>
      </c>
      <c r="AE125" s="63" t="str">
        <f>IFERROR(IF(OR($AC125="",$T125="",$T125=0),"",ROUND(ABS($AC125-$N125)*$S125*VLOOKUP($F125,'⚙️ Setelan'!$A$14:$F$20,4,FALSE)/$T125,2)),"")</f>
        <v/>
      </c>
      <c r="AF125" s="61"/>
      <c r="AG125" s="61"/>
      <c r="AH125" s="61"/>
      <c r="AI125" s="61"/>
      <c r="AJ125" s="61"/>
      <c r="AK125" s="67"/>
      <c r="AL125" s="58" t="str">
        <f>IF(OR($C125="",$B125=""),"",IF(AND($Z124="Loss",$B125=$B124,MOD($C125-$D124,1)*1440&lt;'⚙️ Setelan'!$B$9),"⚠️ Revenge",""))</f>
        <v/>
      </c>
      <c r="AM125" s="68"/>
      <c r="AN125" s="58" t="str">
        <f>IF($AM125="","",IFERROR(_xlfn.IMAGE(IF(REGEXMATCH($AM125,"\.(png|jpg|jpeg|gif)$"),$AM125,"https://s3.tradingview.com/snapshots/"&amp;LOWER(MID(REGEXEXTRACT($AM125,"/x/([A-Za-z0-9]+)"),1,1))&amp;"/"&amp;REGEXEXTRACT($AM125,"/x/([A-Za-z0-9]+)")&amp;".png"),1),"⚠️ link tidak dikenali"))</f>
        <v/>
      </c>
      <c r="AO125" s="68"/>
      <c r="AP125" s="58" t="str">
        <f>IF($AO125="","",IFERROR(_xlfn.IMAGE(IF(REGEXMATCH($AO125,"\.(png|jpg|jpeg|gif)$"),$AO125,"https://s3.tradingview.com/snapshots/"&amp;LOWER(MID(REGEXEXTRACT($AO125,"/x/([A-Za-z0-9]+)"),1,1))&amp;"/"&amp;REGEXEXTRACT($AO125,"/x/([A-Za-z0-9]+)")&amp;".png"),1),"⚠️ link tidak dikenali"))</f>
        <v/>
      </c>
      <c r="AQ125" s="66">
        <f>IF($Z125="",0,IF(AND(OR('📊 Dashboard'!$B$4="(Semua)",$F125='📊 Dashboard'!$B$4),OR('📊 Dashboard'!$B$5="(Semua)",$H125='📊 Dashboard'!$B$5),OR('📊 Dashboard'!$B$6="(Semua)",$E125='📊 Dashboard'!$B$6),OR('📊 Dashboard'!$B$7="(Semua)",$AF125='📊 Dashboard'!$B$7),OR('📊 Dashboard'!$B$8="(Semua)",$AG125='📊 Dashboard'!$B$8),OR('📊 Dashboard'!$B$9="(Semua)",$K125='📊 Dashboard'!$B$9)),1,0))</f>
        <v>0</v>
      </c>
      <c r="AR125" s="69"/>
    </row>
    <row r="126" ht="58" customHeight="1" spans="1:44">
      <c r="A126" s="58" t="str">
        <f t="shared" si="7"/>
        <v/>
      </c>
      <c r="B126" s="59"/>
      <c r="C126" s="60"/>
      <c r="D126" s="60"/>
      <c r="E126" s="58" t="str">
        <f t="shared" si="8"/>
        <v/>
      </c>
      <c r="F126" s="61"/>
      <c r="G126" s="61"/>
      <c r="H126" s="61"/>
      <c r="I126" s="61"/>
      <c r="J126" s="61"/>
      <c r="K126" s="61"/>
      <c r="L126" s="61"/>
      <c r="M126" s="61"/>
      <c r="N126" s="62"/>
      <c r="O126" s="62"/>
      <c r="P126" s="62"/>
      <c r="Q126" s="62"/>
      <c r="R126" s="63" t="str">
        <f>IFERROR(IF(OR($N126="",$O126="",$F126=""),"",ROUND(('⚙️ Setelan'!$B$3*'⚙️ Setelan'!$B$4/100)/(ABS($N126-$O126)*VLOOKUP($F126,'⚙️ Setelan'!$A$14:$F$20,4,FALSE)),2)),"")</f>
        <v/>
      </c>
      <c r="S126" s="64"/>
      <c r="T126" s="65" t="str">
        <f>IFERROR(IF(OR($N126="",$O126="",$S126=""),"",ABS($N126-$O126)*$S126*VLOOKUP($F126,'⚙️ Setelan'!$A$14:$F$20,4,FALSE)),"")</f>
        <v/>
      </c>
      <c r="U126" s="63" t="str">
        <f t="shared" si="9"/>
        <v/>
      </c>
      <c r="V126" s="65" t="str">
        <f>IFERROR(IF(OR($Q126="",$N126="",$S126=""),"",($Q126-$N126)*IF($G126="Buy",1,-1)*$S126*VLOOKUP($F126,'⚙️ Setelan'!$A$14:$F$20,4,FALSE)),"")</f>
        <v/>
      </c>
      <c r="W126" s="65" t="str">
        <f>IFERROR(IF(OR($S126="",$F126=""),"",$S126*VLOOKUP($F126,'⚙️ Setelan'!$A$14:$F$20,5,FALSE)),"")</f>
        <v/>
      </c>
      <c r="X126" s="65" t="str">
        <f t="shared" si="10"/>
        <v/>
      </c>
      <c r="Y126" s="63" t="str">
        <f t="shared" si="11"/>
        <v/>
      </c>
      <c r="Z126" s="58" t="str">
        <f t="shared" si="12"/>
        <v/>
      </c>
      <c r="AA126" s="66" t="str">
        <f t="shared" si="13"/>
        <v/>
      </c>
      <c r="AB126" s="62"/>
      <c r="AC126" s="62"/>
      <c r="AD126" s="63" t="str">
        <f>IFERROR(IF(OR($AB126="",$T126="",$T126=0),"",ROUND(ABS($N126-$AB126)*$S126*VLOOKUP($F126,'⚙️ Setelan'!$A$14:$F$20,4,FALSE)/$T126,2)),"")</f>
        <v/>
      </c>
      <c r="AE126" s="63" t="str">
        <f>IFERROR(IF(OR($AC126="",$T126="",$T126=0),"",ROUND(ABS($AC126-$N126)*$S126*VLOOKUP($F126,'⚙️ Setelan'!$A$14:$F$20,4,FALSE)/$T126,2)),"")</f>
        <v/>
      </c>
      <c r="AF126" s="61"/>
      <c r="AG126" s="61"/>
      <c r="AH126" s="61"/>
      <c r="AI126" s="61"/>
      <c r="AJ126" s="61"/>
      <c r="AK126" s="67"/>
      <c r="AL126" s="58" t="str">
        <f>IF(OR($C126="",$B126=""),"",IF(AND($Z125="Loss",$B126=$B125,MOD($C126-$D125,1)*1440&lt;'⚙️ Setelan'!$B$9),"⚠️ Revenge",""))</f>
        <v/>
      </c>
      <c r="AM126" s="68"/>
      <c r="AN126" s="58" t="str">
        <f>IF($AM126="","",IFERROR(_xlfn.IMAGE(IF(REGEXMATCH($AM126,"\.(png|jpg|jpeg|gif)$"),$AM126,"https://s3.tradingview.com/snapshots/"&amp;LOWER(MID(REGEXEXTRACT($AM126,"/x/([A-Za-z0-9]+)"),1,1))&amp;"/"&amp;REGEXEXTRACT($AM126,"/x/([A-Za-z0-9]+)")&amp;".png"),1),"⚠️ link tidak dikenali"))</f>
        <v/>
      </c>
      <c r="AO126" s="68"/>
      <c r="AP126" s="58" t="str">
        <f>IF($AO126="","",IFERROR(_xlfn.IMAGE(IF(REGEXMATCH($AO126,"\.(png|jpg|jpeg|gif)$"),$AO126,"https://s3.tradingview.com/snapshots/"&amp;LOWER(MID(REGEXEXTRACT($AO126,"/x/([A-Za-z0-9]+)"),1,1))&amp;"/"&amp;REGEXEXTRACT($AO126,"/x/([A-Za-z0-9]+)")&amp;".png"),1),"⚠️ link tidak dikenali"))</f>
        <v/>
      </c>
      <c r="AQ126" s="66">
        <f>IF($Z126="",0,IF(AND(OR('📊 Dashboard'!$B$4="(Semua)",$F126='📊 Dashboard'!$B$4),OR('📊 Dashboard'!$B$5="(Semua)",$H126='📊 Dashboard'!$B$5),OR('📊 Dashboard'!$B$6="(Semua)",$E126='📊 Dashboard'!$B$6),OR('📊 Dashboard'!$B$7="(Semua)",$AF126='📊 Dashboard'!$B$7),OR('📊 Dashboard'!$B$8="(Semua)",$AG126='📊 Dashboard'!$B$8),OR('📊 Dashboard'!$B$9="(Semua)",$K126='📊 Dashboard'!$B$9)),1,0))</f>
        <v>0</v>
      </c>
      <c r="AR126" s="69"/>
    </row>
    <row r="127" ht="58" customHeight="1" spans="1:44">
      <c r="A127" s="58" t="str">
        <f t="shared" si="7"/>
        <v/>
      </c>
      <c r="B127" s="59"/>
      <c r="C127" s="60"/>
      <c r="D127" s="60"/>
      <c r="E127" s="58" t="str">
        <f t="shared" si="8"/>
        <v/>
      </c>
      <c r="F127" s="61"/>
      <c r="G127" s="61"/>
      <c r="H127" s="61"/>
      <c r="I127" s="61"/>
      <c r="J127" s="61"/>
      <c r="K127" s="61"/>
      <c r="L127" s="61"/>
      <c r="M127" s="61"/>
      <c r="N127" s="62"/>
      <c r="O127" s="62"/>
      <c r="P127" s="62"/>
      <c r="Q127" s="62"/>
      <c r="R127" s="63" t="str">
        <f>IFERROR(IF(OR($N127="",$O127="",$F127=""),"",ROUND(('⚙️ Setelan'!$B$3*'⚙️ Setelan'!$B$4/100)/(ABS($N127-$O127)*VLOOKUP($F127,'⚙️ Setelan'!$A$14:$F$20,4,FALSE)),2)),"")</f>
        <v/>
      </c>
      <c r="S127" s="64"/>
      <c r="T127" s="65" t="str">
        <f>IFERROR(IF(OR($N127="",$O127="",$S127=""),"",ABS($N127-$O127)*$S127*VLOOKUP($F127,'⚙️ Setelan'!$A$14:$F$20,4,FALSE)),"")</f>
        <v/>
      </c>
      <c r="U127" s="63" t="str">
        <f t="shared" si="9"/>
        <v/>
      </c>
      <c r="V127" s="65" t="str">
        <f>IFERROR(IF(OR($Q127="",$N127="",$S127=""),"",($Q127-$N127)*IF($G127="Buy",1,-1)*$S127*VLOOKUP($F127,'⚙️ Setelan'!$A$14:$F$20,4,FALSE)),"")</f>
        <v/>
      </c>
      <c r="W127" s="65" t="str">
        <f>IFERROR(IF(OR($S127="",$F127=""),"",$S127*VLOOKUP($F127,'⚙️ Setelan'!$A$14:$F$20,5,FALSE)),"")</f>
        <v/>
      </c>
      <c r="X127" s="65" t="str">
        <f t="shared" si="10"/>
        <v/>
      </c>
      <c r="Y127" s="63" t="str">
        <f t="shared" si="11"/>
        <v/>
      </c>
      <c r="Z127" s="58" t="str">
        <f t="shared" si="12"/>
        <v/>
      </c>
      <c r="AA127" s="66" t="str">
        <f t="shared" si="13"/>
        <v/>
      </c>
      <c r="AB127" s="62"/>
      <c r="AC127" s="62"/>
      <c r="AD127" s="63" t="str">
        <f>IFERROR(IF(OR($AB127="",$T127="",$T127=0),"",ROUND(ABS($N127-$AB127)*$S127*VLOOKUP($F127,'⚙️ Setelan'!$A$14:$F$20,4,FALSE)/$T127,2)),"")</f>
        <v/>
      </c>
      <c r="AE127" s="63" t="str">
        <f>IFERROR(IF(OR($AC127="",$T127="",$T127=0),"",ROUND(ABS($AC127-$N127)*$S127*VLOOKUP($F127,'⚙️ Setelan'!$A$14:$F$20,4,FALSE)/$T127,2)),"")</f>
        <v/>
      </c>
      <c r="AF127" s="61"/>
      <c r="AG127" s="61"/>
      <c r="AH127" s="61"/>
      <c r="AI127" s="61"/>
      <c r="AJ127" s="61"/>
      <c r="AK127" s="67"/>
      <c r="AL127" s="58" t="str">
        <f>IF(OR($C127="",$B127=""),"",IF(AND($Z126="Loss",$B127=$B126,MOD($C127-$D126,1)*1440&lt;'⚙️ Setelan'!$B$9),"⚠️ Revenge",""))</f>
        <v/>
      </c>
      <c r="AM127" s="68"/>
      <c r="AN127" s="58" t="str">
        <f>IF($AM127="","",IFERROR(_xlfn.IMAGE(IF(REGEXMATCH($AM127,"\.(png|jpg|jpeg|gif)$"),$AM127,"https://s3.tradingview.com/snapshots/"&amp;LOWER(MID(REGEXEXTRACT($AM127,"/x/([A-Za-z0-9]+)"),1,1))&amp;"/"&amp;REGEXEXTRACT($AM127,"/x/([A-Za-z0-9]+)")&amp;".png"),1),"⚠️ link tidak dikenali"))</f>
        <v/>
      </c>
      <c r="AO127" s="68"/>
      <c r="AP127" s="58" t="str">
        <f>IF($AO127="","",IFERROR(_xlfn.IMAGE(IF(REGEXMATCH($AO127,"\.(png|jpg|jpeg|gif)$"),$AO127,"https://s3.tradingview.com/snapshots/"&amp;LOWER(MID(REGEXEXTRACT($AO127,"/x/([A-Za-z0-9]+)"),1,1))&amp;"/"&amp;REGEXEXTRACT($AO127,"/x/([A-Za-z0-9]+)")&amp;".png"),1),"⚠️ link tidak dikenali"))</f>
        <v/>
      </c>
      <c r="AQ127" s="66">
        <f>IF($Z127="",0,IF(AND(OR('📊 Dashboard'!$B$4="(Semua)",$F127='📊 Dashboard'!$B$4),OR('📊 Dashboard'!$B$5="(Semua)",$H127='📊 Dashboard'!$B$5),OR('📊 Dashboard'!$B$6="(Semua)",$E127='📊 Dashboard'!$B$6),OR('📊 Dashboard'!$B$7="(Semua)",$AF127='📊 Dashboard'!$B$7),OR('📊 Dashboard'!$B$8="(Semua)",$AG127='📊 Dashboard'!$B$8),OR('📊 Dashboard'!$B$9="(Semua)",$K127='📊 Dashboard'!$B$9)),1,0))</f>
        <v>0</v>
      </c>
      <c r="AR127" s="69"/>
    </row>
    <row r="128" ht="58" customHeight="1" spans="1:44">
      <c r="A128" s="58" t="str">
        <f t="shared" si="7"/>
        <v/>
      </c>
      <c r="B128" s="59"/>
      <c r="C128" s="60"/>
      <c r="D128" s="60"/>
      <c r="E128" s="58" t="str">
        <f t="shared" si="8"/>
        <v/>
      </c>
      <c r="F128" s="61"/>
      <c r="G128" s="61"/>
      <c r="H128" s="61"/>
      <c r="I128" s="61"/>
      <c r="J128" s="61"/>
      <c r="K128" s="61"/>
      <c r="L128" s="61"/>
      <c r="M128" s="61"/>
      <c r="N128" s="62"/>
      <c r="O128" s="62"/>
      <c r="P128" s="62"/>
      <c r="Q128" s="62"/>
      <c r="R128" s="63" t="str">
        <f>IFERROR(IF(OR($N128="",$O128="",$F128=""),"",ROUND(('⚙️ Setelan'!$B$3*'⚙️ Setelan'!$B$4/100)/(ABS($N128-$O128)*VLOOKUP($F128,'⚙️ Setelan'!$A$14:$F$20,4,FALSE)),2)),"")</f>
        <v/>
      </c>
      <c r="S128" s="64"/>
      <c r="T128" s="65" t="str">
        <f>IFERROR(IF(OR($N128="",$O128="",$S128=""),"",ABS($N128-$O128)*$S128*VLOOKUP($F128,'⚙️ Setelan'!$A$14:$F$20,4,FALSE)),"")</f>
        <v/>
      </c>
      <c r="U128" s="63" t="str">
        <f t="shared" si="9"/>
        <v/>
      </c>
      <c r="V128" s="65" t="str">
        <f>IFERROR(IF(OR($Q128="",$N128="",$S128=""),"",($Q128-$N128)*IF($G128="Buy",1,-1)*$S128*VLOOKUP($F128,'⚙️ Setelan'!$A$14:$F$20,4,FALSE)),"")</f>
        <v/>
      </c>
      <c r="W128" s="65" t="str">
        <f>IFERROR(IF(OR($S128="",$F128=""),"",$S128*VLOOKUP($F128,'⚙️ Setelan'!$A$14:$F$20,5,FALSE)),"")</f>
        <v/>
      </c>
      <c r="X128" s="65" t="str">
        <f t="shared" si="10"/>
        <v/>
      </c>
      <c r="Y128" s="63" t="str">
        <f t="shared" si="11"/>
        <v/>
      </c>
      <c r="Z128" s="58" t="str">
        <f t="shared" si="12"/>
        <v/>
      </c>
      <c r="AA128" s="66" t="str">
        <f t="shared" si="13"/>
        <v/>
      </c>
      <c r="AB128" s="62"/>
      <c r="AC128" s="62"/>
      <c r="AD128" s="63" t="str">
        <f>IFERROR(IF(OR($AB128="",$T128="",$T128=0),"",ROUND(ABS($N128-$AB128)*$S128*VLOOKUP($F128,'⚙️ Setelan'!$A$14:$F$20,4,FALSE)/$T128,2)),"")</f>
        <v/>
      </c>
      <c r="AE128" s="63" t="str">
        <f>IFERROR(IF(OR($AC128="",$T128="",$T128=0),"",ROUND(ABS($AC128-$N128)*$S128*VLOOKUP($F128,'⚙️ Setelan'!$A$14:$F$20,4,FALSE)/$T128,2)),"")</f>
        <v/>
      </c>
      <c r="AF128" s="61"/>
      <c r="AG128" s="61"/>
      <c r="AH128" s="61"/>
      <c r="AI128" s="61"/>
      <c r="AJ128" s="61"/>
      <c r="AK128" s="67"/>
      <c r="AL128" s="58" t="str">
        <f>IF(OR($C128="",$B128=""),"",IF(AND($Z127="Loss",$B128=$B127,MOD($C128-$D127,1)*1440&lt;'⚙️ Setelan'!$B$9),"⚠️ Revenge",""))</f>
        <v/>
      </c>
      <c r="AM128" s="68"/>
      <c r="AN128" s="58" t="str">
        <f>IF($AM128="","",IFERROR(_xlfn.IMAGE(IF(REGEXMATCH($AM128,"\.(png|jpg|jpeg|gif)$"),$AM128,"https://s3.tradingview.com/snapshots/"&amp;LOWER(MID(REGEXEXTRACT($AM128,"/x/([A-Za-z0-9]+)"),1,1))&amp;"/"&amp;REGEXEXTRACT($AM128,"/x/([A-Za-z0-9]+)")&amp;".png"),1),"⚠️ link tidak dikenali"))</f>
        <v/>
      </c>
      <c r="AO128" s="68"/>
      <c r="AP128" s="58" t="str">
        <f>IF($AO128="","",IFERROR(_xlfn.IMAGE(IF(REGEXMATCH($AO128,"\.(png|jpg|jpeg|gif)$"),$AO128,"https://s3.tradingview.com/snapshots/"&amp;LOWER(MID(REGEXEXTRACT($AO128,"/x/([A-Za-z0-9]+)"),1,1))&amp;"/"&amp;REGEXEXTRACT($AO128,"/x/([A-Za-z0-9]+)")&amp;".png"),1),"⚠️ link tidak dikenali"))</f>
        <v/>
      </c>
      <c r="AQ128" s="66">
        <f>IF($Z128="",0,IF(AND(OR('📊 Dashboard'!$B$4="(Semua)",$F128='📊 Dashboard'!$B$4),OR('📊 Dashboard'!$B$5="(Semua)",$H128='📊 Dashboard'!$B$5),OR('📊 Dashboard'!$B$6="(Semua)",$E128='📊 Dashboard'!$B$6),OR('📊 Dashboard'!$B$7="(Semua)",$AF128='📊 Dashboard'!$B$7),OR('📊 Dashboard'!$B$8="(Semua)",$AG128='📊 Dashboard'!$B$8),OR('📊 Dashboard'!$B$9="(Semua)",$K128='📊 Dashboard'!$B$9)),1,0))</f>
        <v>0</v>
      </c>
      <c r="AR128" s="69"/>
    </row>
    <row r="129" ht="58" customHeight="1" spans="1:44">
      <c r="A129" s="58" t="str">
        <f t="shared" si="7"/>
        <v/>
      </c>
      <c r="B129" s="59"/>
      <c r="C129" s="60"/>
      <c r="D129" s="60"/>
      <c r="E129" s="58" t="str">
        <f t="shared" si="8"/>
        <v/>
      </c>
      <c r="F129" s="61"/>
      <c r="G129" s="61"/>
      <c r="H129" s="61"/>
      <c r="I129" s="61"/>
      <c r="J129" s="61"/>
      <c r="K129" s="61"/>
      <c r="L129" s="61"/>
      <c r="M129" s="61"/>
      <c r="N129" s="62"/>
      <c r="O129" s="62"/>
      <c r="P129" s="62"/>
      <c r="Q129" s="62"/>
      <c r="R129" s="63" t="str">
        <f>IFERROR(IF(OR($N129="",$O129="",$F129=""),"",ROUND(('⚙️ Setelan'!$B$3*'⚙️ Setelan'!$B$4/100)/(ABS($N129-$O129)*VLOOKUP($F129,'⚙️ Setelan'!$A$14:$F$20,4,FALSE)),2)),"")</f>
        <v/>
      </c>
      <c r="S129" s="64"/>
      <c r="T129" s="65" t="str">
        <f>IFERROR(IF(OR($N129="",$O129="",$S129=""),"",ABS($N129-$O129)*$S129*VLOOKUP($F129,'⚙️ Setelan'!$A$14:$F$20,4,FALSE)),"")</f>
        <v/>
      </c>
      <c r="U129" s="63" t="str">
        <f t="shared" si="9"/>
        <v/>
      </c>
      <c r="V129" s="65" t="str">
        <f>IFERROR(IF(OR($Q129="",$N129="",$S129=""),"",($Q129-$N129)*IF($G129="Buy",1,-1)*$S129*VLOOKUP($F129,'⚙️ Setelan'!$A$14:$F$20,4,FALSE)),"")</f>
        <v/>
      </c>
      <c r="W129" s="65" t="str">
        <f>IFERROR(IF(OR($S129="",$F129=""),"",$S129*VLOOKUP($F129,'⚙️ Setelan'!$A$14:$F$20,5,FALSE)),"")</f>
        <v/>
      </c>
      <c r="X129" s="65" t="str">
        <f t="shared" si="10"/>
        <v/>
      </c>
      <c r="Y129" s="63" t="str">
        <f t="shared" si="11"/>
        <v/>
      </c>
      <c r="Z129" s="58" t="str">
        <f t="shared" si="12"/>
        <v/>
      </c>
      <c r="AA129" s="66" t="str">
        <f t="shared" si="13"/>
        <v/>
      </c>
      <c r="AB129" s="62"/>
      <c r="AC129" s="62"/>
      <c r="AD129" s="63" t="str">
        <f>IFERROR(IF(OR($AB129="",$T129="",$T129=0),"",ROUND(ABS($N129-$AB129)*$S129*VLOOKUP($F129,'⚙️ Setelan'!$A$14:$F$20,4,FALSE)/$T129,2)),"")</f>
        <v/>
      </c>
      <c r="AE129" s="63" t="str">
        <f>IFERROR(IF(OR($AC129="",$T129="",$T129=0),"",ROUND(ABS($AC129-$N129)*$S129*VLOOKUP($F129,'⚙️ Setelan'!$A$14:$F$20,4,FALSE)/$T129,2)),"")</f>
        <v/>
      </c>
      <c r="AF129" s="61"/>
      <c r="AG129" s="61"/>
      <c r="AH129" s="61"/>
      <c r="AI129" s="61"/>
      <c r="AJ129" s="61"/>
      <c r="AK129" s="67"/>
      <c r="AL129" s="58" t="str">
        <f>IF(OR($C129="",$B129=""),"",IF(AND($Z128="Loss",$B129=$B128,MOD($C129-$D128,1)*1440&lt;'⚙️ Setelan'!$B$9),"⚠️ Revenge",""))</f>
        <v/>
      </c>
      <c r="AM129" s="68"/>
      <c r="AN129" s="58" t="str">
        <f>IF($AM129="","",IFERROR(_xlfn.IMAGE(IF(REGEXMATCH($AM129,"\.(png|jpg|jpeg|gif)$"),$AM129,"https://s3.tradingview.com/snapshots/"&amp;LOWER(MID(REGEXEXTRACT($AM129,"/x/([A-Za-z0-9]+)"),1,1))&amp;"/"&amp;REGEXEXTRACT($AM129,"/x/([A-Za-z0-9]+)")&amp;".png"),1),"⚠️ link tidak dikenali"))</f>
        <v/>
      </c>
      <c r="AO129" s="68"/>
      <c r="AP129" s="58" t="str">
        <f>IF($AO129="","",IFERROR(_xlfn.IMAGE(IF(REGEXMATCH($AO129,"\.(png|jpg|jpeg|gif)$"),$AO129,"https://s3.tradingview.com/snapshots/"&amp;LOWER(MID(REGEXEXTRACT($AO129,"/x/([A-Za-z0-9]+)"),1,1))&amp;"/"&amp;REGEXEXTRACT($AO129,"/x/([A-Za-z0-9]+)")&amp;".png"),1),"⚠️ link tidak dikenali"))</f>
        <v/>
      </c>
      <c r="AQ129" s="66">
        <f>IF($Z129="",0,IF(AND(OR('📊 Dashboard'!$B$4="(Semua)",$F129='📊 Dashboard'!$B$4),OR('📊 Dashboard'!$B$5="(Semua)",$H129='📊 Dashboard'!$B$5),OR('📊 Dashboard'!$B$6="(Semua)",$E129='📊 Dashboard'!$B$6),OR('📊 Dashboard'!$B$7="(Semua)",$AF129='📊 Dashboard'!$B$7),OR('📊 Dashboard'!$B$8="(Semua)",$AG129='📊 Dashboard'!$B$8),OR('📊 Dashboard'!$B$9="(Semua)",$K129='📊 Dashboard'!$B$9)),1,0))</f>
        <v>0</v>
      </c>
      <c r="AR129" s="69"/>
    </row>
    <row r="130" ht="58" customHeight="1" spans="1:44">
      <c r="A130" s="58" t="str">
        <f t="shared" si="7"/>
        <v/>
      </c>
      <c r="B130" s="59"/>
      <c r="C130" s="60"/>
      <c r="D130" s="60"/>
      <c r="E130" s="58" t="str">
        <f t="shared" si="8"/>
        <v/>
      </c>
      <c r="F130" s="61"/>
      <c r="G130" s="61"/>
      <c r="H130" s="61"/>
      <c r="I130" s="61"/>
      <c r="J130" s="61"/>
      <c r="K130" s="61"/>
      <c r="L130" s="61"/>
      <c r="M130" s="61"/>
      <c r="N130" s="62"/>
      <c r="O130" s="62"/>
      <c r="P130" s="62"/>
      <c r="Q130" s="62"/>
      <c r="R130" s="63" t="str">
        <f>IFERROR(IF(OR($N130="",$O130="",$F130=""),"",ROUND(('⚙️ Setelan'!$B$3*'⚙️ Setelan'!$B$4/100)/(ABS($N130-$O130)*VLOOKUP($F130,'⚙️ Setelan'!$A$14:$F$20,4,FALSE)),2)),"")</f>
        <v/>
      </c>
      <c r="S130" s="64"/>
      <c r="T130" s="65" t="str">
        <f>IFERROR(IF(OR($N130="",$O130="",$S130=""),"",ABS($N130-$O130)*$S130*VLOOKUP($F130,'⚙️ Setelan'!$A$14:$F$20,4,FALSE)),"")</f>
        <v/>
      </c>
      <c r="U130" s="63" t="str">
        <f t="shared" si="9"/>
        <v/>
      </c>
      <c r="V130" s="65" t="str">
        <f>IFERROR(IF(OR($Q130="",$N130="",$S130=""),"",($Q130-$N130)*IF($G130="Buy",1,-1)*$S130*VLOOKUP($F130,'⚙️ Setelan'!$A$14:$F$20,4,FALSE)),"")</f>
        <v/>
      </c>
      <c r="W130" s="65" t="str">
        <f>IFERROR(IF(OR($S130="",$F130=""),"",$S130*VLOOKUP($F130,'⚙️ Setelan'!$A$14:$F$20,5,FALSE)),"")</f>
        <v/>
      </c>
      <c r="X130" s="65" t="str">
        <f t="shared" si="10"/>
        <v/>
      </c>
      <c r="Y130" s="63" t="str">
        <f t="shared" si="11"/>
        <v/>
      </c>
      <c r="Z130" s="58" t="str">
        <f t="shared" si="12"/>
        <v/>
      </c>
      <c r="AA130" s="66" t="str">
        <f t="shared" si="13"/>
        <v/>
      </c>
      <c r="AB130" s="62"/>
      <c r="AC130" s="62"/>
      <c r="AD130" s="63" t="str">
        <f>IFERROR(IF(OR($AB130="",$T130="",$T130=0),"",ROUND(ABS($N130-$AB130)*$S130*VLOOKUP($F130,'⚙️ Setelan'!$A$14:$F$20,4,FALSE)/$T130,2)),"")</f>
        <v/>
      </c>
      <c r="AE130" s="63" t="str">
        <f>IFERROR(IF(OR($AC130="",$T130="",$T130=0),"",ROUND(ABS($AC130-$N130)*$S130*VLOOKUP($F130,'⚙️ Setelan'!$A$14:$F$20,4,FALSE)/$T130,2)),"")</f>
        <v/>
      </c>
      <c r="AF130" s="61"/>
      <c r="AG130" s="61"/>
      <c r="AH130" s="61"/>
      <c r="AI130" s="61"/>
      <c r="AJ130" s="61"/>
      <c r="AK130" s="67"/>
      <c r="AL130" s="58" t="str">
        <f>IF(OR($C130="",$B130=""),"",IF(AND($Z129="Loss",$B130=$B129,MOD($C130-$D129,1)*1440&lt;'⚙️ Setelan'!$B$9),"⚠️ Revenge",""))</f>
        <v/>
      </c>
      <c r="AM130" s="68"/>
      <c r="AN130" s="58" t="str">
        <f>IF($AM130="","",IFERROR(_xlfn.IMAGE(IF(REGEXMATCH($AM130,"\.(png|jpg|jpeg|gif)$"),$AM130,"https://s3.tradingview.com/snapshots/"&amp;LOWER(MID(REGEXEXTRACT($AM130,"/x/([A-Za-z0-9]+)"),1,1))&amp;"/"&amp;REGEXEXTRACT($AM130,"/x/([A-Za-z0-9]+)")&amp;".png"),1),"⚠️ link tidak dikenali"))</f>
        <v/>
      </c>
      <c r="AO130" s="68"/>
      <c r="AP130" s="58" t="str">
        <f>IF($AO130="","",IFERROR(_xlfn.IMAGE(IF(REGEXMATCH($AO130,"\.(png|jpg|jpeg|gif)$"),$AO130,"https://s3.tradingview.com/snapshots/"&amp;LOWER(MID(REGEXEXTRACT($AO130,"/x/([A-Za-z0-9]+)"),1,1))&amp;"/"&amp;REGEXEXTRACT($AO130,"/x/([A-Za-z0-9]+)")&amp;".png"),1),"⚠️ link tidak dikenali"))</f>
        <v/>
      </c>
      <c r="AQ130" s="66">
        <f>IF($Z130="",0,IF(AND(OR('📊 Dashboard'!$B$4="(Semua)",$F130='📊 Dashboard'!$B$4),OR('📊 Dashboard'!$B$5="(Semua)",$H130='📊 Dashboard'!$B$5),OR('📊 Dashboard'!$B$6="(Semua)",$E130='📊 Dashboard'!$B$6),OR('📊 Dashboard'!$B$7="(Semua)",$AF130='📊 Dashboard'!$B$7),OR('📊 Dashboard'!$B$8="(Semua)",$AG130='📊 Dashboard'!$B$8),OR('📊 Dashboard'!$B$9="(Semua)",$K130='📊 Dashboard'!$B$9)),1,0))</f>
        <v>0</v>
      </c>
      <c r="AR130" s="69"/>
    </row>
    <row r="131" ht="58" customHeight="1" spans="1:44">
      <c r="A131" s="58" t="str">
        <f t="shared" ref="A131:A194" si="14">IF($B131="","",ROW()-2)</f>
        <v/>
      </c>
      <c r="B131" s="59"/>
      <c r="C131" s="60"/>
      <c r="D131" s="60"/>
      <c r="E131" s="58" t="str">
        <f t="shared" ref="E131:E194" si="15">IF($C131="","",IF(AND($C131&gt;=TIME(14,0,0),$C131&lt;TIME(19,30,0)),"London",IF(AND($C131&gt;=TIME(19,30,0),$C131&lt;TIME(23,0,0)),"Overlap LDN+NY",IF(OR($C131&gt;=TIME(23,0,0),$C131&lt;TIME(4,0,0)),"New York","Asia"))))</f>
        <v/>
      </c>
      <c r="F131" s="61"/>
      <c r="G131" s="61"/>
      <c r="H131" s="61"/>
      <c r="I131" s="61"/>
      <c r="J131" s="61"/>
      <c r="K131" s="61"/>
      <c r="L131" s="61"/>
      <c r="M131" s="61"/>
      <c r="N131" s="62"/>
      <c r="O131" s="62"/>
      <c r="P131" s="62"/>
      <c r="Q131" s="62"/>
      <c r="R131" s="63" t="str">
        <f>IFERROR(IF(OR($N131="",$O131="",$F131=""),"",ROUND(('⚙️ Setelan'!$B$3*'⚙️ Setelan'!$B$4/100)/(ABS($N131-$O131)*VLOOKUP($F131,'⚙️ Setelan'!$A$14:$F$20,4,FALSE)),2)),"")</f>
        <v/>
      </c>
      <c r="S131" s="64"/>
      <c r="T131" s="65" t="str">
        <f>IFERROR(IF(OR($N131="",$O131="",$S131=""),"",ABS($N131-$O131)*$S131*VLOOKUP($F131,'⚙️ Setelan'!$A$14:$F$20,4,FALSE)),"")</f>
        <v/>
      </c>
      <c r="U131" s="63" t="str">
        <f t="shared" ref="U131:U194" si="16">IFERROR(IF(OR($N131="",$O131="",$P131=""),"",ROUND(ABS($P131-$N131)/ABS($N131-$O131),2)),"")</f>
        <v/>
      </c>
      <c r="V131" s="65" t="str">
        <f>IFERROR(IF(OR($Q131="",$N131="",$S131=""),"",($Q131-$N131)*IF($G131="Buy",1,-1)*$S131*VLOOKUP($F131,'⚙️ Setelan'!$A$14:$F$20,4,FALSE)),"")</f>
        <v/>
      </c>
      <c r="W131" s="65" t="str">
        <f>IFERROR(IF(OR($S131="",$F131=""),"",$S131*VLOOKUP($F131,'⚙️ Setelan'!$A$14:$F$20,5,FALSE)),"")</f>
        <v/>
      </c>
      <c r="X131" s="65" t="str">
        <f t="shared" ref="X131:X194" si="17">IF($V131="","",$V131-IF($W131="",0,$W131))</f>
        <v/>
      </c>
      <c r="Y131" s="63" t="str">
        <f t="shared" ref="Y131:Y194" si="18">IF(OR($X131="",$T131="",$T131=0),"",ROUND($X131/$T131,2))</f>
        <v/>
      </c>
      <c r="Z131" s="58" t="str">
        <f t="shared" ref="Z131:Z194" si="19">IF($X131="","",IF($X131&gt;0,"Win",IF($X131&lt;0,"Loss","BE")))</f>
        <v/>
      </c>
      <c r="AA131" s="66" t="str">
        <f t="shared" ref="AA131:AA194" si="20">IF(OR($C131="",$D131=""),"",ROUND(MOD($D131-$C131,1)*1440,0))</f>
        <v/>
      </c>
      <c r="AB131" s="62"/>
      <c r="AC131" s="62"/>
      <c r="AD131" s="63" t="str">
        <f>IFERROR(IF(OR($AB131="",$T131="",$T131=0),"",ROUND(ABS($N131-$AB131)*$S131*VLOOKUP($F131,'⚙️ Setelan'!$A$14:$F$20,4,FALSE)/$T131,2)),"")</f>
        <v/>
      </c>
      <c r="AE131" s="63" t="str">
        <f>IFERROR(IF(OR($AC131="",$T131="",$T131=0),"",ROUND(ABS($AC131-$N131)*$S131*VLOOKUP($F131,'⚙️ Setelan'!$A$14:$F$20,4,FALSE)/$T131,2)),"")</f>
        <v/>
      </c>
      <c r="AF131" s="61"/>
      <c r="AG131" s="61"/>
      <c r="AH131" s="61"/>
      <c r="AI131" s="61"/>
      <c r="AJ131" s="61"/>
      <c r="AK131" s="67"/>
      <c r="AL131" s="58" t="str">
        <f>IF(OR($C131="",$B131=""),"",IF(AND($Z130="Loss",$B131=$B130,MOD($C131-$D130,1)*1440&lt;'⚙️ Setelan'!$B$9),"⚠️ Revenge",""))</f>
        <v/>
      </c>
      <c r="AM131" s="68"/>
      <c r="AN131" s="58" t="str">
        <f>IF($AM131="","",IFERROR(_xlfn.IMAGE(IF(REGEXMATCH($AM131,"\.(png|jpg|jpeg|gif)$"),$AM131,"https://s3.tradingview.com/snapshots/"&amp;LOWER(MID(REGEXEXTRACT($AM131,"/x/([A-Za-z0-9]+)"),1,1))&amp;"/"&amp;REGEXEXTRACT($AM131,"/x/([A-Za-z0-9]+)")&amp;".png"),1),"⚠️ link tidak dikenali"))</f>
        <v/>
      </c>
      <c r="AO131" s="68"/>
      <c r="AP131" s="58" t="str">
        <f>IF($AO131="","",IFERROR(_xlfn.IMAGE(IF(REGEXMATCH($AO131,"\.(png|jpg|jpeg|gif)$"),$AO131,"https://s3.tradingview.com/snapshots/"&amp;LOWER(MID(REGEXEXTRACT($AO131,"/x/([A-Za-z0-9]+)"),1,1))&amp;"/"&amp;REGEXEXTRACT($AO131,"/x/([A-Za-z0-9]+)")&amp;".png"),1),"⚠️ link tidak dikenali"))</f>
        <v/>
      </c>
      <c r="AQ131" s="66">
        <f>IF($Z131="",0,IF(AND(OR('📊 Dashboard'!$B$4="(Semua)",$F131='📊 Dashboard'!$B$4),OR('📊 Dashboard'!$B$5="(Semua)",$H131='📊 Dashboard'!$B$5),OR('📊 Dashboard'!$B$6="(Semua)",$E131='📊 Dashboard'!$B$6),OR('📊 Dashboard'!$B$7="(Semua)",$AF131='📊 Dashboard'!$B$7),OR('📊 Dashboard'!$B$8="(Semua)",$AG131='📊 Dashboard'!$B$8),OR('📊 Dashboard'!$B$9="(Semua)",$K131='📊 Dashboard'!$B$9)),1,0))</f>
        <v>0</v>
      </c>
      <c r="AR131" s="69"/>
    </row>
    <row r="132" ht="58" customHeight="1" spans="1:44">
      <c r="A132" s="58" t="str">
        <f t="shared" si="14"/>
        <v/>
      </c>
      <c r="B132" s="59"/>
      <c r="C132" s="60"/>
      <c r="D132" s="60"/>
      <c r="E132" s="58" t="str">
        <f t="shared" si="15"/>
        <v/>
      </c>
      <c r="F132" s="61"/>
      <c r="G132" s="61"/>
      <c r="H132" s="61"/>
      <c r="I132" s="61"/>
      <c r="J132" s="61"/>
      <c r="K132" s="61"/>
      <c r="L132" s="61"/>
      <c r="M132" s="61"/>
      <c r="N132" s="62"/>
      <c r="O132" s="62"/>
      <c r="P132" s="62"/>
      <c r="Q132" s="62"/>
      <c r="R132" s="63" t="str">
        <f>IFERROR(IF(OR($N132="",$O132="",$F132=""),"",ROUND(('⚙️ Setelan'!$B$3*'⚙️ Setelan'!$B$4/100)/(ABS($N132-$O132)*VLOOKUP($F132,'⚙️ Setelan'!$A$14:$F$20,4,FALSE)),2)),"")</f>
        <v/>
      </c>
      <c r="S132" s="64"/>
      <c r="T132" s="65" t="str">
        <f>IFERROR(IF(OR($N132="",$O132="",$S132=""),"",ABS($N132-$O132)*$S132*VLOOKUP($F132,'⚙️ Setelan'!$A$14:$F$20,4,FALSE)),"")</f>
        <v/>
      </c>
      <c r="U132" s="63" t="str">
        <f t="shared" si="16"/>
        <v/>
      </c>
      <c r="V132" s="65" t="str">
        <f>IFERROR(IF(OR($Q132="",$N132="",$S132=""),"",($Q132-$N132)*IF($G132="Buy",1,-1)*$S132*VLOOKUP($F132,'⚙️ Setelan'!$A$14:$F$20,4,FALSE)),"")</f>
        <v/>
      </c>
      <c r="W132" s="65" t="str">
        <f>IFERROR(IF(OR($S132="",$F132=""),"",$S132*VLOOKUP($F132,'⚙️ Setelan'!$A$14:$F$20,5,FALSE)),"")</f>
        <v/>
      </c>
      <c r="X132" s="65" t="str">
        <f t="shared" si="17"/>
        <v/>
      </c>
      <c r="Y132" s="63" t="str">
        <f t="shared" si="18"/>
        <v/>
      </c>
      <c r="Z132" s="58" t="str">
        <f t="shared" si="19"/>
        <v/>
      </c>
      <c r="AA132" s="66" t="str">
        <f t="shared" si="20"/>
        <v/>
      </c>
      <c r="AB132" s="62"/>
      <c r="AC132" s="62"/>
      <c r="AD132" s="63" t="str">
        <f>IFERROR(IF(OR($AB132="",$T132="",$T132=0),"",ROUND(ABS($N132-$AB132)*$S132*VLOOKUP($F132,'⚙️ Setelan'!$A$14:$F$20,4,FALSE)/$T132,2)),"")</f>
        <v/>
      </c>
      <c r="AE132" s="63" t="str">
        <f>IFERROR(IF(OR($AC132="",$T132="",$T132=0),"",ROUND(ABS($AC132-$N132)*$S132*VLOOKUP($F132,'⚙️ Setelan'!$A$14:$F$20,4,FALSE)/$T132,2)),"")</f>
        <v/>
      </c>
      <c r="AF132" s="61"/>
      <c r="AG132" s="61"/>
      <c r="AH132" s="61"/>
      <c r="AI132" s="61"/>
      <c r="AJ132" s="61"/>
      <c r="AK132" s="67"/>
      <c r="AL132" s="58" t="str">
        <f>IF(OR($C132="",$B132=""),"",IF(AND($Z131="Loss",$B132=$B131,MOD($C132-$D131,1)*1440&lt;'⚙️ Setelan'!$B$9),"⚠️ Revenge",""))</f>
        <v/>
      </c>
      <c r="AM132" s="68"/>
      <c r="AN132" s="58" t="str">
        <f>IF($AM132="","",IFERROR(_xlfn.IMAGE(IF(REGEXMATCH($AM132,"\.(png|jpg|jpeg|gif)$"),$AM132,"https://s3.tradingview.com/snapshots/"&amp;LOWER(MID(REGEXEXTRACT($AM132,"/x/([A-Za-z0-9]+)"),1,1))&amp;"/"&amp;REGEXEXTRACT($AM132,"/x/([A-Za-z0-9]+)")&amp;".png"),1),"⚠️ link tidak dikenali"))</f>
        <v/>
      </c>
      <c r="AO132" s="68"/>
      <c r="AP132" s="58" t="str">
        <f>IF($AO132="","",IFERROR(_xlfn.IMAGE(IF(REGEXMATCH($AO132,"\.(png|jpg|jpeg|gif)$"),$AO132,"https://s3.tradingview.com/snapshots/"&amp;LOWER(MID(REGEXEXTRACT($AO132,"/x/([A-Za-z0-9]+)"),1,1))&amp;"/"&amp;REGEXEXTRACT($AO132,"/x/([A-Za-z0-9]+)")&amp;".png"),1),"⚠️ link tidak dikenali"))</f>
        <v/>
      </c>
      <c r="AQ132" s="66">
        <f>IF($Z132="",0,IF(AND(OR('📊 Dashboard'!$B$4="(Semua)",$F132='📊 Dashboard'!$B$4),OR('📊 Dashboard'!$B$5="(Semua)",$H132='📊 Dashboard'!$B$5),OR('📊 Dashboard'!$B$6="(Semua)",$E132='📊 Dashboard'!$B$6),OR('📊 Dashboard'!$B$7="(Semua)",$AF132='📊 Dashboard'!$B$7),OR('📊 Dashboard'!$B$8="(Semua)",$AG132='📊 Dashboard'!$B$8),OR('📊 Dashboard'!$B$9="(Semua)",$K132='📊 Dashboard'!$B$9)),1,0))</f>
        <v>0</v>
      </c>
      <c r="AR132" s="69"/>
    </row>
    <row r="133" ht="58" customHeight="1" spans="1:44">
      <c r="A133" s="58" t="str">
        <f t="shared" si="14"/>
        <v/>
      </c>
      <c r="B133" s="59"/>
      <c r="C133" s="60"/>
      <c r="D133" s="60"/>
      <c r="E133" s="58" t="str">
        <f t="shared" si="15"/>
        <v/>
      </c>
      <c r="F133" s="61"/>
      <c r="G133" s="61"/>
      <c r="H133" s="61"/>
      <c r="I133" s="61"/>
      <c r="J133" s="61"/>
      <c r="K133" s="61"/>
      <c r="L133" s="61"/>
      <c r="M133" s="61"/>
      <c r="N133" s="62"/>
      <c r="O133" s="62"/>
      <c r="P133" s="62"/>
      <c r="Q133" s="62"/>
      <c r="R133" s="63" t="str">
        <f>IFERROR(IF(OR($N133="",$O133="",$F133=""),"",ROUND(('⚙️ Setelan'!$B$3*'⚙️ Setelan'!$B$4/100)/(ABS($N133-$O133)*VLOOKUP($F133,'⚙️ Setelan'!$A$14:$F$20,4,FALSE)),2)),"")</f>
        <v/>
      </c>
      <c r="S133" s="64"/>
      <c r="T133" s="65" t="str">
        <f>IFERROR(IF(OR($N133="",$O133="",$S133=""),"",ABS($N133-$O133)*$S133*VLOOKUP($F133,'⚙️ Setelan'!$A$14:$F$20,4,FALSE)),"")</f>
        <v/>
      </c>
      <c r="U133" s="63" t="str">
        <f t="shared" si="16"/>
        <v/>
      </c>
      <c r="V133" s="65" t="str">
        <f>IFERROR(IF(OR($Q133="",$N133="",$S133=""),"",($Q133-$N133)*IF($G133="Buy",1,-1)*$S133*VLOOKUP($F133,'⚙️ Setelan'!$A$14:$F$20,4,FALSE)),"")</f>
        <v/>
      </c>
      <c r="W133" s="65" t="str">
        <f>IFERROR(IF(OR($S133="",$F133=""),"",$S133*VLOOKUP($F133,'⚙️ Setelan'!$A$14:$F$20,5,FALSE)),"")</f>
        <v/>
      </c>
      <c r="X133" s="65" t="str">
        <f t="shared" si="17"/>
        <v/>
      </c>
      <c r="Y133" s="63" t="str">
        <f t="shared" si="18"/>
        <v/>
      </c>
      <c r="Z133" s="58" t="str">
        <f t="shared" si="19"/>
        <v/>
      </c>
      <c r="AA133" s="66" t="str">
        <f t="shared" si="20"/>
        <v/>
      </c>
      <c r="AB133" s="62"/>
      <c r="AC133" s="62"/>
      <c r="AD133" s="63" t="str">
        <f>IFERROR(IF(OR($AB133="",$T133="",$T133=0),"",ROUND(ABS($N133-$AB133)*$S133*VLOOKUP($F133,'⚙️ Setelan'!$A$14:$F$20,4,FALSE)/$T133,2)),"")</f>
        <v/>
      </c>
      <c r="AE133" s="63" t="str">
        <f>IFERROR(IF(OR($AC133="",$T133="",$T133=0),"",ROUND(ABS($AC133-$N133)*$S133*VLOOKUP($F133,'⚙️ Setelan'!$A$14:$F$20,4,FALSE)/$T133,2)),"")</f>
        <v/>
      </c>
      <c r="AF133" s="61"/>
      <c r="AG133" s="61"/>
      <c r="AH133" s="61"/>
      <c r="AI133" s="61"/>
      <c r="AJ133" s="61"/>
      <c r="AK133" s="67"/>
      <c r="AL133" s="58" t="str">
        <f>IF(OR($C133="",$B133=""),"",IF(AND($Z132="Loss",$B133=$B132,MOD($C133-$D132,1)*1440&lt;'⚙️ Setelan'!$B$9),"⚠️ Revenge",""))</f>
        <v/>
      </c>
      <c r="AM133" s="68"/>
      <c r="AN133" s="58" t="str">
        <f>IF($AM133="","",IFERROR(_xlfn.IMAGE(IF(REGEXMATCH($AM133,"\.(png|jpg|jpeg|gif)$"),$AM133,"https://s3.tradingview.com/snapshots/"&amp;LOWER(MID(REGEXEXTRACT($AM133,"/x/([A-Za-z0-9]+)"),1,1))&amp;"/"&amp;REGEXEXTRACT($AM133,"/x/([A-Za-z0-9]+)")&amp;".png"),1),"⚠️ link tidak dikenali"))</f>
        <v/>
      </c>
      <c r="AO133" s="68"/>
      <c r="AP133" s="58" t="str">
        <f>IF($AO133="","",IFERROR(_xlfn.IMAGE(IF(REGEXMATCH($AO133,"\.(png|jpg|jpeg|gif)$"),$AO133,"https://s3.tradingview.com/snapshots/"&amp;LOWER(MID(REGEXEXTRACT($AO133,"/x/([A-Za-z0-9]+)"),1,1))&amp;"/"&amp;REGEXEXTRACT($AO133,"/x/([A-Za-z0-9]+)")&amp;".png"),1),"⚠️ link tidak dikenali"))</f>
        <v/>
      </c>
      <c r="AQ133" s="66">
        <f>IF($Z133="",0,IF(AND(OR('📊 Dashboard'!$B$4="(Semua)",$F133='📊 Dashboard'!$B$4),OR('📊 Dashboard'!$B$5="(Semua)",$H133='📊 Dashboard'!$B$5),OR('📊 Dashboard'!$B$6="(Semua)",$E133='📊 Dashboard'!$B$6),OR('📊 Dashboard'!$B$7="(Semua)",$AF133='📊 Dashboard'!$B$7),OR('📊 Dashboard'!$B$8="(Semua)",$AG133='📊 Dashboard'!$B$8),OR('📊 Dashboard'!$B$9="(Semua)",$K133='📊 Dashboard'!$B$9)),1,0))</f>
        <v>0</v>
      </c>
      <c r="AR133" s="69"/>
    </row>
    <row r="134" ht="58" customHeight="1" spans="1:44">
      <c r="A134" s="58" t="str">
        <f t="shared" si="14"/>
        <v/>
      </c>
      <c r="B134" s="59"/>
      <c r="C134" s="60"/>
      <c r="D134" s="60"/>
      <c r="E134" s="58" t="str">
        <f t="shared" si="15"/>
        <v/>
      </c>
      <c r="F134" s="61"/>
      <c r="G134" s="61"/>
      <c r="H134" s="61"/>
      <c r="I134" s="61"/>
      <c r="J134" s="61"/>
      <c r="K134" s="61"/>
      <c r="L134" s="61"/>
      <c r="M134" s="61"/>
      <c r="N134" s="62"/>
      <c r="O134" s="62"/>
      <c r="P134" s="62"/>
      <c r="Q134" s="62"/>
      <c r="R134" s="63" t="str">
        <f>IFERROR(IF(OR($N134="",$O134="",$F134=""),"",ROUND(('⚙️ Setelan'!$B$3*'⚙️ Setelan'!$B$4/100)/(ABS($N134-$O134)*VLOOKUP($F134,'⚙️ Setelan'!$A$14:$F$20,4,FALSE)),2)),"")</f>
        <v/>
      </c>
      <c r="S134" s="64"/>
      <c r="T134" s="65" t="str">
        <f>IFERROR(IF(OR($N134="",$O134="",$S134=""),"",ABS($N134-$O134)*$S134*VLOOKUP($F134,'⚙️ Setelan'!$A$14:$F$20,4,FALSE)),"")</f>
        <v/>
      </c>
      <c r="U134" s="63" t="str">
        <f t="shared" si="16"/>
        <v/>
      </c>
      <c r="V134" s="65" t="str">
        <f>IFERROR(IF(OR($Q134="",$N134="",$S134=""),"",($Q134-$N134)*IF($G134="Buy",1,-1)*$S134*VLOOKUP($F134,'⚙️ Setelan'!$A$14:$F$20,4,FALSE)),"")</f>
        <v/>
      </c>
      <c r="W134" s="65" t="str">
        <f>IFERROR(IF(OR($S134="",$F134=""),"",$S134*VLOOKUP($F134,'⚙️ Setelan'!$A$14:$F$20,5,FALSE)),"")</f>
        <v/>
      </c>
      <c r="X134" s="65" t="str">
        <f t="shared" si="17"/>
        <v/>
      </c>
      <c r="Y134" s="63" t="str">
        <f t="shared" si="18"/>
        <v/>
      </c>
      <c r="Z134" s="58" t="str">
        <f t="shared" si="19"/>
        <v/>
      </c>
      <c r="AA134" s="66" t="str">
        <f t="shared" si="20"/>
        <v/>
      </c>
      <c r="AB134" s="62"/>
      <c r="AC134" s="62"/>
      <c r="AD134" s="63" t="str">
        <f>IFERROR(IF(OR($AB134="",$T134="",$T134=0),"",ROUND(ABS($N134-$AB134)*$S134*VLOOKUP($F134,'⚙️ Setelan'!$A$14:$F$20,4,FALSE)/$T134,2)),"")</f>
        <v/>
      </c>
      <c r="AE134" s="63" t="str">
        <f>IFERROR(IF(OR($AC134="",$T134="",$T134=0),"",ROUND(ABS($AC134-$N134)*$S134*VLOOKUP($F134,'⚙️ Setelan'!$A$14:$F$20,4,FALSE)/$T134,2)),"")</f>
        <v/>
      </c>
      <c r="AF134" s="61"/>
      <c r="AG134" s="61"/>
      <c r="AH134" s="61"/>
      <c r="AI134" s="61"/>
      <c r="AJ134" s="61"/>
      <c r="AK134" s="67"/>
      <c r="AL134" s="58" t="str">
        <f>IF(OR($C134="",$B134=""),"",IF(AND($Z133="Loss",$B134=$B133,MOD($C134-$D133,1)*1440&lt;'⚙️ Setelan'!$B$9),"⚠️ Revenge",""))</f>
        <v/>
      </c>
      <c r="AM134" s="68"/>
      <c r="AN134" s="58" t="str">
        <f>IF($AM134="","",IFERROR(_xlfn.IMAGE(IF(REGEXMATCH($AM134,"\.(png|jpg|jpeg|gif)$"),$AM134,"https://s3.tradingview.com/snapshots/"&amp;LOWER(MID(REGEXEXTRACT($AM134,"/x/([A-Za-z0-9]+)"),1,1))&amp;"/"&amp;REGEXEXTRACT($AM134,"/x/([A-Za-z0-9]+)")&amp;".png"),1),"⚠️ link tidak dikenali"))</f>
        <v/>
      </c>
      <c r="AO134" s="68"/>
      <c r="AP134" s="58" t="str">
        <f>IF($AO134="","",IFERROR(_xlfn.IMAGE(IF(REGEXMATCH($AO134,"\.(png|jpg|jpeg|gif)$"),$AO134,"https://s3.tradingview.com/snapshots/"&amp;LOWER(MID(REGEXEXTRACT($AO134,"/x/([A-Za-z0-9]+)"),1,1))&amp;"/"&amp;REGEXEXTRACT($AO134,"/x/([A-Za-z0-9]+)")&amp;".png"),1),"⚠️ link tidak dikenali"))</f>
        <v/>
      </c>
      <c r="AQ134" s="66">
        <f>IF($Z134="",0,IF(AND(OR('📊 Dashboard'!$B$4="(Semua)",$F134='📊 Dashboard'!$B$4),OR('📊 Dashboard'!$B$5="(Semua)",$H134='📊 Dashboard'!$B$5),OR('📊 Dashboard'!$B$6="(Semua)",$E134='📊 Dashboard'!$B$6),OR('📊 Dashboard'!$B$7="(Semua)",$AF134='📊 Dashboard'!$B$7),OR('📊 Dashboard'!$B$8="(Semua)",$AG134='📊 Dashboard'!$B$8),OR('📊 Dashboard'!$B$9="(Semua)",$K134='📊 Dashboard'!$B$9)),1,0))</f>
        <v>0</v>
      </c>
      <c r="AR134" s="69"/>
    </row>
    <row r="135" ht="58" customHeight="1" spans="1:44">
      <c r="A135" s="58" t="str">
        <f t="shared" si="14"/>
        <v/>
      </c>
      <c r="B135" s="59"/>
      <c r="C135" s="60"/>
      <c r="D135" s="60"/>
      <c r="E135" s="58" t="str">
        <f t="shared" si="15"/>
        <v/>
      </c>
      <c r="F135" s="61"/>
      <c r="G135" s="61"/>
      <c r="H135" s="61"/>
      <c r="I135" s="61"/>
      <c r="J135" s="61"/>
      <c r="K135" s="61"/>
      <c r="L135" s="61"/>
      <c r="M135" s="61"/>
      <c r="N135" s="62"/>
      <c r="O135" s="62"/>
      <c r="P135" s="62"/>
      <c r="Q135" s="62"/>
      <c r="R135" s="63" t="str">
        <f>IFERROR(IF(OR($N135="",$O135="",$F135=""),"",ROUND(('⚙️ Setelan'!$B$3*'⚙️ Setelan'!$B$4/100)/(ABS($N135-$O135)*VLOOKUP($F135,'⚙️ Setelan'!$A$14:$F$20,4,FALSE)),2)),"")</f>
        <v/>
      </c>
      <c r="S135" s="64"/>
      <c r="T135" s="65" t="str">
        <f>IFERROR(IF(OR($N135="",$O135="",$S135=""),"",ABS($N135-$O135)*$S135*VLOOKUP($F135,'⚙️ Setelan'!$A$14:$F$20,4,FALSE)),"")</f>
        <v/>
      </c>
      <c r="U135" s="63" t="str">
        <f t="shared" si="16"/>
        <v/>
      </c>
      <c r="V135" s="65" t="str">
        <f>IFERROR(IF(OR($Q135="",$N135="",$S135=""),"",($Q135-$N135)*IF($G135="Buy",1,-1)*$S135*VLOOKUP($F135,'⚙️ Setelan'!$A$14:$F$20,4,FALSE)),"")</f>
        <v/>
      </c>
      <c r="W135" s="65" t="str">
        <f>IFERROR(IF(OR($S135="",$F135=""),"",$S135*VLOOKUP($F135,'⚙️ Setelan'!$A$14:$F$20,5,FALSE)),"")</f>
        <v/>
      </c>
      <c r="X135" s="65" t="str">
        <f t="shared" si="17"/>
        <v/>
      </c>
      <c r="Y135" s="63" t="str">
        <f t="shared" si="18"/>
        <v/>
      </c>
      <c r="Z135" s="58" t="str">
        <f t="shared" si="19"/>
        <v/>
      </c>
      <c r="AA135" s="66" t="str">
        <f t="shared" si="20"/>
        <v/>
      </c>
      <c r="AB135" s="62"/>
      <c r="AC135" s="62"/>
      <c r="AD135" s="63" t="str">
        <f>IFERROR(IF(OR($AB135="",$T135="",$T135=0),"",ROUND(ABS($N135-$AB135)*$S135*VLOOKUP($F135,'⚙️ Setelan'!$A$14:$F$20,4,FALSE)/$T135,2)),"")</f>
        <v/>
      </c>
      <c r="AE135" s="63" t="str">
        <f>IFERROR(IF(OR($AC135="",$T135="",$T135=0),"",ROUND(ABS($AC135-$N135)*$S135*VLOOKUP($F135,'⚙️ Setelan'!$A$14:$F$20,4,FALSE)/$T135,2)),"")</f>
        <v/>
      </c>
      <c r="AF135" s="61"/>
      <c r="AG135" s="61"/>
      <c r="AH135" s="61"/>
      <c r="AI135" s="61"/>
      <c r="AJ135" s="61"/>
      <c r="AK135" s="67"/>
      <c r="AL135" s="58" t="str">
        <f>IF(OR($C135="",$B135=""),"",IF(AND($Z134="Loss",$B135=$B134,MOD($C135-$D134,1)*1440&lt;'⚙️ Setelan'!$B$9),"⚠️ Revenge",""))</f>
        <v/>
      </c>
      <c r="AM135" s="68"/>
      <c r="AN135" s="58" t="str">
        <f>IF($AM135="","",IFERROR(_xlfn.IMAGE(IF(REGEXMATCH($AM135,"\.(png|jpg|jpeg|gif)$"),$AM135,"https://s3.tradingview.com/snapshots/"&amp;LOWER(MID(REGEXEXTRACT($AM135,"/x/([A-Za-z0-9]+)"),1,1))&amp;"/"&amp;REGEXEXTRACT($AM135,"/x/([A-Za-z0-9]+)")&amp;".png"),1),"⚠️ link tidak dikenali"))</f>
        <v/>
      </c>
      <c r="AO135" s="68"/>
      <c r="AP135" s="58" t="str">
        <f>IF($AO135="","",IFERROR(_xlfn.IMAGE(IF(REGEXMATCH($AO135,"\.(png|jpg|jpeg|gif)$"),$AO135,"https://s3.tradingview.com/snapshots/"&amp;LOWER(MID(REGEXEXTRACT($AO135,"/x/([A-Za-z0-9]+)"),1,1))&amp;"/"&amp;REGEXEXTRACT($AO135,"/x/([A-Za-z0-9]+)")&amp;".png"),1),"⚠️ link tidak dikenali"))</f>
        <v/>
      </c>
      <c r="AQ135" s="66">
        <f>IF($Z135="",0,IF(AND(OR('📊 Dashboard'!$B$4="(Semua)",$F135='📊 Dashboard'!$B$4),OR('📊 Dashboard'!$B$5="(Semua)",$H135='📊 Dashboard'!$B$5),OR('📊 Dashboard'!$B$6="(Semua)",$E135='📊 Dashboard'!$B$6),OR('📊 Dashboard'!$B$7="(Semua)",$AF135='📊 Dashboard'!$B$7),OR('📊 Dashboard'!$B$8="(Semua)",$AG135='📊 Dashboard'!$B$8),OR('📊 Dashboard'!$B$9="(Semua)",$K135='📊 Dashboard'!$B$9)),1,0))</f>
        <v>0</v>
      </c>
      <c r="AR135" s="69"/>
    </row>
    <row r="136" ht="58" customHeight="1" spans="1:44">
      <c r="A136" s="58" t="str">
        <f t="shared" si="14"/>
        <v/>
      </c>
      <c r="B136" s="59"/>
      <c r="C136" s="60"/>
      <c r="D136" s="60"/>
      <c r="E136" s="58" t="str">
        <f t="shared" si="15"/>
        <v/>
      </c>
      <c r="F136" s="61"/>
      <c r="G136" s="61"/>
      <c r="H136" s="61"/>
      <c r="I136" s="61"/>
      <c r="J136" s="61"/>
      <c r="K136" s="61"/>
      <c r="L136" s="61"/>
      <c r="M136" s="61"/>
      <c r="N136" s="62"/>
      <c r="O136" s="62"/>
      <c r="P136" s="62"/>
      <c r="Q136" s="62"/>
      <c r="R136" s="63" t="str">
        <f>IFERROR(IF(OR($N136="",$O136="",$F136=""),"",ROUND(('⚙️ Setelan'!$B$3*'⚙️ Setelan'!$B$4/100)/(ABS($N136-$O136)*VLOOKUP($F136,'⚙️ Setelan'!$A$14:$F$20,4,FALSE)),2)),"")</f>
        <v/>
      </c>
      <c r="S136" s="64"/>
      <c r="T136" s="65" t="str">
        <f>IFERROR(IF(OR($N136="",$O136="",$S136=""),"",ABS($N136-$O136)*$S136*VLOOKUP($F136,'⚙️ Setelan'!$A$14:$F$20,4,FALSE)),"")</f>
        <v/>
      </c>
      <c r="U136" s="63" t="str">
        <f t="shared" si="16"/>
        <v/>
      </c>
      <c r="V136" s="65" t="str">
        <f>IFERROR(IF(OR($Q136="",$N136="",$S136=""),"",($Q136-$N136)*IF($G136="Buy",1,-1)*$S136*VLOOKUP($F136,'⚙️ Setelan'!$A$14:$F$20,4,FALSE)),"")</f>
        <v/>
      </c>
      <c r="W136" s="65" t="str">
        <f>IFERROR(IF(OR($S136="",$F136=""),"",$S136*VLOOKUP($F136,'⚙️ Setelan'!$A$14:$F$20,5,FALSE)),"")</f>
        <v/>
      </c>
      <c r="X136" s="65" t="str">
        <f t="shared" si="17"/>
        <v/>
      </c>
      <c r="Y136" s="63" t="str">
        <f t="shared" si="18"/>
        <v/>
      </c>
      <c r="Z136" s="58" t="str">
        <f t="shared" si="19"/>
        <v/>
      </c>
      <c r="AA136" s="66" t="str">
        <f t="shared" si="20"/>
        <v/>
      </c>
      <c r="AB136" s="62"/>
      <c r="AC136" s="62"/>
      <c r="AD136" s="63" t="str">
        <f>IFERROR(IF(OR($AB136="",$T136="",$T136=0),"",ROUND(ABS($N136-$AB136)*$S136*VLOOKUP($F136,'⚙️ Setelan'!$A$14:$F$20,4,FALSE)/$T136,2)),"")</f>
        <v/>
      </c>
      <c r="AE136" s="63" t="str">
        <f>IFERROR(IF(OR($AC136="",$T136="",$T136=0),"",ROUND(ABS($AC136-$N136)*$S136*VLOOKUP($F136,'⚙️ Setelan'!$A$14:$F$20,4,FALSE)/$T136,2)),"")</f>
        <v/>
      </c>
      <c r="AF136" s="61"/>
      <c r="AG136" s="61"/>
      <c r="AH136" s="61"/>
      <c r="AI136" s="61"/>
      <c r="AJ136" s="61"/>
      <c r="AK136" s="67"/>
      <c r="AL136" s="58" t="str">
        <f>IF(OR($C136="",$B136=""),"",IF(AND($Z135="Loss",$B136=$B135,MOD($C136-$D135,1)*1440&lt;'⚙️ Setelan'!$B$9),"⚠️ Revenge",""))</f>
        <v/>
      </c>
      <c r="AM136" s="68"/>
      <c r="AN136" s="58" t="str">
        <f>IF($AM136="","",IFERROR(_xlfn.IMAGE(IF(REGEXMATCH($AM136,"\.(png|jpg|jpeg|gif)$"),$AM136,"https://s3.tradingview.com/snapshots/"&amp;LOWER(MID(REGEXEXTRACT($AM136,"/x/([A-Za-z0-9]+)"),1,1))&amp;"/"&amp;REGEXEXTRACT($AM136,"/x/([A-Za-z0-9]+)")&amp;".png"),1),"⚠️ link tidak dikenali"))</f>
        <v/>
      </c>
      <c r="AO136" s="68"/>
      <c r="AP136" s="58" t="str">
        <f>IF($AO136="","",IFERROR(_xlfn.IMAGE(IF(REGEXMATCH($AO136,"\.(png|jpg|jpeg|gif)$"),$AO136,"https://s3.tradingview.com/snapshots/"&amp;LOWER(MID(REGEXEXTRACT($AO136,"/x/([A-Za-z0-9]+)"),1,1))&amp;"/"&amp;REGEXEXTRACT($AO136,"/x/([A-Za-z0-9]+)")&amp;".png"),1),"⚠️ link tidak dikenali"))</f>
        <v/>
      </c>
      <c r="AQ136" s="66">
        <f>IF($Z136="",0,IF(AND(OR('📊 Dashboard'!$B$4="(Semua)",$F136='📊 Dashboard'!$B$4),OR('📊 Dashboard'!$B$5="(Semua)",$H136='📊 Dashboard'!$B$5),OR('📊 Dashboard'!$B$6="(Semua)",$E136='📊 Dashboard'!$B$6),OR('📊 Dashboard'!$B$7="(Semua)",$AF136='📊 Dashboard'!$B$7),OR('📊 Dashboard'!$B$8="(Semua)",$AG136='📊 Dashboard'!$B$8),OR('📊 Dashboard'!$B$9="(Semua)",$K136='📊 Dashboard'!$B$9)),1,0))</f>
        <v>0</v>
      </c>
      <c r="AR136" s="69"/>
    </row>
    <row r="137" ht="58" customHeight="1" spans="1:44">
      <c r="A137" s="58" t="str">
        <f t="shared" si="14"/>
        <v/>
      </c>
      <c r="B137" s="59"/>
      <c r="C137" s="60"/>
      <c r="D137" s="60"/>
      <c r="E137" s="58" t="str">
        <f t="shared" si="15"/>
        <v/>
      </c>
      <c r="F137" s="61"/>
      <c r="G137" s="61"/>
      <c r="H137" s="61"/>
      <c r="I137" s="61"/>
      <c r="J137" s="61"/>
      <c r="K137" s="61"/>
      <c r="L137" s="61"/>
      <c r="M137" s="61"/>
      <c r="N137" s="62"/>
      <c r="O137" s="62"/>
      <c r="P137" s="62"/>
      <c r="Q137" s="62"/>
      <c r="R137" s="63" t="str">
        <f>IFERROR(IF(OR($N137="",$O137="",$F137=""),"",ROUND(('⚙️ Setelan'!$B$3*'⚙️ Setelan'!$B$4/100)/(ABS($N137-$O137)*VLOOKUP($F137,'⚙️ Setelan'!$A$14:$F$20,4,FALSE)),2)),"")</f>
        <v/>
      </c>
      <c r="S137" s="64"/>
      <c r="T137" s="65" t="str">
        <f>IFERROR(IF(OR($N137="",$O137="",$S137=""),"",ABS($N137-$O137)*$S137*VLOOKUP($F137,'⚙️ Setelan'!$A$14:$F$20,4,FALSE)),"")</f>
        <v/>
      </c>
      <c r="U137" s="63" t="str">
        <f t="shared" si="16"/>
        <v/>
      </c>
      <c r="V137" s="65" t="str">
        <f>IFERROR(IF(OR($Q137="",$N137="",$S137=""),"",($Q137-$N137)*IF($G137="Buy",1,-1)*$S137*VLOOKUP($F137,'⚙️ Setelan'!$A$14:$F$20,4,FALSE)),"")</f>
        <v/>
      </c>
      <c r="W137" s="65" t="str">
        <f>IFERROR(IF(OR($S137="",$F137=""),"",$S137*VLOOKUP($F137,'⚙️ Setelan'!$A$14:$F$20,5,FALSE)),"")</f>
        <v/>
      </c>
      <c r="X137" s="65" t="str">
        <f t="shared" si="17"/>
        <v/>
      </c>
      <c r="Y137" s="63" t="str">
        <f t="shared" si="18"/>
        <v/>
      </c>
      <c r="Z137" s="58" t="str">
        <f t="shared" si="19"/>
        <v/>
      </c>
      <c r="AA137" s="66" t="str">
        <f t="shared" si="20"/>
        <v/>
      </c>
      <c r="AB137" s="62"/>
      <c r="AC137" s="62"/>
      <c r="AD137" s="63" t="str">
        <f>IFERROR(IF(OR($AB137="",$T137="",$T137=0),"",ROUND(ABS($N137-$AB137)*$S137*VLOOKUP($F137,'⚙️ Setelan'!$A$14:$F$20,4,FALSE)/$T137,2)),"")</f>
        <v/>
      </c>
      <c r="AE137" s="63" t="str">
        <f>IFERROR(IF(OR($AC137="",$T137="",$T137=0),"",ROUND(ABS($AC137-$N137)*$S137*VLOOKUP($F137,'⚙️ Setelan'!$A$14:$F$20,4,FALSE)/$T137,2)),"")</f>
        <v/>
      </c>
      <c r="AF137" s="61"/>
      <c r="AG137" s="61"/>
      <c r="AH137" s="61"/>
      <c r="AI137" s="61"/>
      <c r="AJ137" s="61"/>
      <c r="AK137" s="67"/>
      <c r="AL137" s="58" t="str">
        <f>IF(OR($C137="",$B137=""),"",IF(AND($Z136="Loss",$B137=$B136,MOD($C137-$D136,1)*1440&lt;'⚙️ Setelan'!$B$9),"⚠️ Revenge",""))</f>
        <v/>
      </c>
      <c r="AM137" s="68"/>
      <c r="AN137" s="58" t="str">
        <f>IF($AM137="","",IFERROR(_xlfn.IMAGE(IF(REGEXMATCH($AM137,"\.(png|jpg|jpeg|gif)$"),$AM137,"https://s3.tradingview.com/snapshots/"&amp;LOWER(MID(REGEXEXTRACT($AM137,"/x/([A-Za-z0-9]+)"),1,1))&amp;"/"&amp;REGEXEXTRACT($AM137,"/x/([A-Za-z0-9]+)")&amp;".png"),1),"⚠️ link tidak dikenali"))</f>
        <v/>
      </c>
      <c r="AO137" s="68"/>
      <c r="AP137" s="58" t="str">
        <f>IF($AO137="","",IFERROR(_xlfn.IMAGE(IF(REGEXMATCH($AO137,"\.(png|jpg|jpeg|gif)$"),$AO137,"https://s3.tradingview.com/snapshots/"&amp;LOWER(MID(REGEXEXTRACT($AO137,"/x/([A-Za-z0-9]+)"),1,1))&amp;"/"&amp;REGEXEXTRACT($AO137,"/x/([A-Za-z0-9]+)")&amp;".png"),1),"⚠️ link tidak dikenali"))</f>
        <v/>
      </c>
      <c r="AQ137" s="66">
        <f>IF($Z137="",0,IF(AND(OR('📊 Dashboard'!$B$4="(Semua)",$F137='📊 Dashboard'!$B$4),OR('📊 Dashboard'!$B$5="(Semua)",$H137='📊 Dashboard'!$B$5),OR('📊 Dashboard'!$B$6="(Semua)",$E137='📊 Dashboard'!$B$6),OR('📊 Dashboard'!$B$7="(Semua)",$AF137='📊 Dashboard'!$B$7),OR('📊 Dashboard'!$B$8="(Semua)",$AG137='📊 Dashboard'!$B$8),OR('📊 Dashboard'!$B$9="(Semua)",$K137='📊 Dashboard'!$B$9)),1,0))</f>
        <v>0</v>
      </c>
      <c r="AR137" s="69"/>
    </row>
    <row r="138" ht="58" customHeight="1" spans="1:44">
      <c r="A138" s="58" t="str">
        <f t="shared" si="14"/>
        <v/>
      </c>
      <c r="B138" s="59"/>
      <c r="C138" s="60"/>
      <c r="D138" s="60"/>
      <c r="E138" s="58" t="str">
        <f t="shared" si="15"/>
        <v/>
      </c>
      <c r="F138" s="61"/>
      <c r="G138" s="61"/>
      <c r="H138" s="61"/>
      <c r="I138" s="61"/>
      <c r="J138" s="61"/>
      <c r="K138" s="61"/>
      <c r="L138" s="61"/>
      <c r="M138" s="61"/>
      <c r="N138" s="62"/>
      <c r="O138" s="62"/>
      <c r="P138" s="62"/>
      <c r="Q138" s="62"/>
      <c r="R138" s="63" t="str">
        <f>IFERROR(IF(OR($N138="",$O138="",$F138=""),"",ROUND(('⚙️ Setelan'!$B$3*'⚙️ Setelan'!$B$4/100)/(ABS($N138-$O138)*VLOOKUP($F138,'⚙️ Setelan'!$A$14:$F$20,4,FALSE)),2)),"")</f>
        <v/>
      </c>
      <c r="S138" s="64"/>
      <c r="T138" s="65" t="str">
        <f>IFERROR(IF(OR($N138="",$O138="",$S138=""),"",ABS($N138-$O138)*$S138*VLOOKUP($F138,'⚙️ Setelan'!$A$14:$F$20,4,FALSE)),"")</f>
        <v/>
      </c>
      <c r="U138" s="63" t="str">
        <f t="shared" si="16"/>
        <v/>
      </c>
      <c r="V138" s="65" t="str">
        <f>IFERROR(IF(OR($Q138="",$N138="",$S138=""),"",($Q138-$N138)*IF($G138="Buy",1,-1)*$S138*VLOOKUP($F138,'⚙️ Setelan'!$A$14:$F$20,4,FALSE)),"")</f>
        <v/>
      </c>
      <c r="W138" s="65" t="str">
        <f>IFERROR(IF(OR($S138="",$F138=""),"",$S138*VLOOKUP($F138,'⚙️ Setelan'!$A$14:$F$20,5,FALSE)),"")</f>
        <v/>
      </c>
      <c r="X138" s="65" t="str">
        <f t="shared" si="17"/>
        <v/>
      </c>
      <c r="Y138" s="63" t="str">
        <f t="shared" si="18"/>
        <v/>
      </c>
      <c r="Z138" s="58" t="str">
        <f t="shared" si="19"/>
        <v/>
      </c>
      <c r="AA138" s="66" t="str">
        <f t="shared" si="20"/>
        <v/>
      </c>
      <c r="AB138" s="62"/>
      <c r="AC138" s="62"/>
      <c r="AD138" s="63" t="str">
        <f>IFERROR(IF(OR($AB138="",$T138="",$T138=0),"",ROUND(ABS($N138-$AB138)*$S138*VLOOKUP($F138,'⚙️ Setelan'!$A$14:$F$20,4,FALSE)/$T138,2)),"")</f>
        <v/>
      </c>
      <c r="AE138" s="63" t="str">
        <f>IFERROR(IF(OR($AC138="",$T138="",$T138=0),"",ROUND(ABS($AC138-$N138)*$S138*VLOOKUP($F138,'⚙️ Setelan'!$A$14:$F$20,4,FALSE)/$T138,2)),"")</f>
        <v/>
      </c>
      <c r="AF138" s="61"/>
      <c r="AG138" s="61"/>
      <c r="AH138" s="61"/>
      <c r="AI138" s="61"/>
      <c r="AJ138" s="61"/>
      <c r="AK138" s="67"/>
      <c r="AL138" s="58" t="str">
        <f>IF(OR($C138="",$B138=""),"",IF(AND($Z137="Loss",$B138=$B137,MOD($C138-$D137,1)*1440&lt;'⚙️ Setelan'!$B$9),"⚠️ Revenge",""))</f>
        <v/>
      </c>
      <c r="AM138" s="68"/>
      <c r="AN138" s="58" t="str">
        <f>IF($AM138="","",IFERROR(_xlfn.IMAGE(IF(REGEXMATCH($AM138,"\.(png|jpg|jpeg|gif)$"),$AM138,"https://s3.tradingview.com/snapshots/"&amp;LOWER(MID(REGEXEXTRACT($AM138,"/x/([A-Za-z0-9]+)"),1,1))&amp;"/"&amp;REGEXEXTRACT($AM138,"/x/([A-Za-z0-9]+)")&amp;".png"),1),"⚠️ link tidak dikenali"))</f>
        <v/>
      </c>
      <c r="AO138" s="68"/>
      <c r="AP138" s="58" t="str">
        <f>IF($AO138="","",IFERROR(_xlfn.IMAGE(IF(REGEXMATCH($AO138,"\.(png|jpg|jpeg|gif)$"),$AO138,"https://s3.tradingview.com/snapshots/"&amp;LOWER(MID(REGEXEXTRACT($AO138,"/x/([A-Za-z0-9]+)"),1,1))&amp;"/"&amp;REGEXEXTRACT($AO138,"/x/([A-Za-z0-9]+)")&amp;".png"),1),"⚠️ link tidak dikenali"))</f>
        <v/>
      </c>
      <c r="AQ138" s="66">
        <f>IF($Z138="",0,IF(AND(OR('📊 Dashboard'!$B$4="(Semua)",$F138='📊 Dashboard'!$B$4),OR('📊 Dashboard'!$B$5="(Semua)",$H138='📊 Dashboard'!$B$5),OR('📊 Dashboard'!$B$6="(Semua)",$E138='📊 Dashboard'!$B$6),OR('📊 Dashboard'!$B$7="(Semua)",$AF138='📊 Dashboard'!$B$7),OR('📊 Dashboard'!$B$8="(Semua)",$AG138='📊 Dashboard'!$B$8),OR('📊 Dashboard'!$B$9="(Semua)",$K138='📊 Dashboard'!$B$9)),1,0))</f>
        <v>0</v>
      </c>
      <c r="AR138" s="69"/>
    </row>
    <row r="139" ht="58" customHeight="1" spans="1:44">
      <c r="A139" s="58" t="str">
        <f t="shared" si="14"/>
        <v/>
      </c>
      <c r="B139" s="59"/>
      <c r="C139" s="60"/>
      <c r="D139" s="60"/>
      <c r="E139" s="58" t="str">
        <f t="shared" si="15"/>
        <v/>
      </c>
      <c r="F139" s="61"/>
      <c r="G139" s="61"/>
      <c r="H139" s="61"/>
      <c r="I139" s="61"/>
      <c r="J139" s="61"/>
      <c r="K139" s="61"/>
      <c r="L139" s="61"/>
      <c r="M139" s="61"/>
      <c r="N139" s="62"/>
      <c r="O139" s="62"/>
      <c r="P139" s="62"/>
      <c r="Q139" s="62"/>
      <c r="R139" s="63" t="str">
        <f>IFERROR(IF(OR($N139="",$O139="",$F139=""),"",ROUND(('⚙️ Setelan'!$B$3*'⚙️ Setelan'!$B$4/100)/(ABS($N139-$O139)*VLOOKUP($F139,'⚙️ Setelan'!$A$14:$F$20,4,FALSE)),2)),"")</f>
        <v/>
      </c>
      <c r="S139" s="64"/>
      <c r="T139" s="65" t="str">
        <f>IFERROR(IF(OR($N139="",$O139="",$S139=""),"",ABS($N139-$O139)*$S139*VLOOKUP($F139,'⚙️ Setelan'!$A$14:$F$20,4,FALSE)),"")</f>
        <v/>
      </c>
      <c r="U139" s="63" t="str">
        <f t="shared" si="16"/>
        <v/>
      </c>
      <c r="V139" s="65" t="str">
        <f>IFERROR(IF(OR($Q139="",$N139="",$S139=""),"",($Q139-$N139)*IF($G139="Buy",1,-1)*$S139*VLOOKUP($F139,'⚙️ Setelan'!$A$14:$F$20,4,FALSE)),"")</f>
        <v/>
      </c>
      <c r="W139" s="65" t="str">
        <f>IFERROR(IF(OR($S139="",$F139=""),"",$S139*VLOOKUP($F139,'⚙️ Setelan'!$A$14:$F$20,5,FALSE)),"")</f>
        <v/>
      </c>
      <c r="X139" s="65" t="str">
        <f t="shared" si="17"/>
        <v/>
      </c>
      <c r="Y139" s="63" t="str">
        <f t="shared" si="18"/>
        <v/>
      </c>
      <c r="Z139" s="58" t="str">
        <f t="shared" si="19"/>
        <v/>
      </c>
      <c r="AA139" s="66" t="str">
        <f t="shared" si="20"/>
        <v/>
      </c>
      <c r="AB139" s="62"/>
      <c r="AC139" s="62"/>
      <c r="AD139" s="63" t="str">
        <f>IFERROR(IF(OR($AB139="",$T139="",$T139=0),"",ROUND(ABS($N139-$AB139)*$S139*VLOOKUP($F139,'⚙️ Setelan'!$A$14:$F$20,4,FALSE)/$T139,2)),"")</f>
        <v/>
      </c>
      <c r="AE139" s="63" t="str">
        <f>IFERROR(IF(OR($AC139="",$T139="",$T139=0),"",ROUND(ABS($AC139-$N139)*$S139*VLOOKUP($F139,'⚙️ Setelan'!$A$14:$F$20,4,FALSE)/$T139,2)),"")</f>
        <v/>
      </c>
      <c r="AF139" s="61"/>
      <c r="AG139" s="61"/>
      <c r="AH139" s="61"/>
      <c r="AI139" s="61"/>
      <c r="AJ139" s="61"/>
      <c r="AK139" s="67"/>
      <c r="AL139" s="58" t="str">
        <f>IF(OR($C139="",$B139=""),"",IF(AND($Z138="Loss",$B139=$B138,MOD($C139-$D138,1)*1440&lt;'⚙️ Setelan'!$B$9),"⚠️ Revenge",""))</f>
        <v/>
      </c>
      <c r="AM139" s="68"/>
      <c r="AN139" s="58" t="str">
        <f>IF($AM139="","",IFERROR(_xlfn.IMAGE(IF(REGEXMATCH($AM139,"\.(png|jpg|jpeg|gif)$"),$AM139,"https://s3.tradingview.com/snapshots/"&amp;LOWER(MID(REGEXEXTRACT($AM139,"/x/([A-Za-z0-9]+)"),1,1))&amp;"/"&amp;REGEXEXTRACT($AM139,"/x/([A-Za-z0-9]+)")&amp;".png"),1),"⚠️ link tidak dikenali"))</f>
        <v/>
      </c>
      <c r="AO139" s="68"/>
      <c r="AP139" s="58" t="str">
        <f>IF($AO139="","",IFERROR(_xlfn.IMAGE(IF(REGEXMATCH($AO139,"\.(png|jpg|jpeg|gif)$"),$AO139,"https://s3.tradingview.com/snapshots/"&amp;LOWER(MID(REGEXEXTRACT($AO139,"/x/([A-Za-z0-9]+)"),1,1))&amp;"/"&amp;REGEXEXTRACT($AO139,"/x/([A-Za-z0-9]+)")&amp;".png"),1),"⚠️ link tidak dikenali"))</f>
        <v/>
      </c>
      <c r="AQ139" s="66">
        <f>IF($Z139="",0,IF(AND(OR('📊 Dashboard'!$B$4="(Semua)",$F139='📊 Dashboard'!$B$4),OR('📊 Dashboard'!$B$5="(Semua)",$H139='📊 Dashboard'!$B$5),OR('📊 Dashboard'!$B$6="(Semua)",$E139='📊 Dashboard'!$B$6),OR('📊 Dashboard'!$B$7="(Semua)",$AF139='📊 Dashboard'!$B$7),OR('📊 Dashboard'!$B$8="(Semua)",$AG139='📊 Dashboard'!$B$8),OR('📊 Dashboard'!$B$9="(Semua)",$K139='📊 Dashboard'!$B$9)),1,0))</f>
        <v>0</v>
      </c>
      <c r="AR139" s="69"/>
    </row>
    <row r="140" ht="58" customHeight="1" spans="1:44">
      <c r="A140" s="58" t="str">
        <f t="shared" si="14"/>
        <v/>
      </c>
      <c r="B140" s="59"/>
      <c r="C140" s="60"/>
      <c r="D140" s="60"/>
      <c r="E140" s="58" t="str">
        <f t="shared" si="15"/>
        <v/>
      </c>
      <c r="F140" s="61"/>
      <c r="G140" s="61"/>
      <c r="H140" s="61"/>
      <c r="I140" s="61"/>
      <c r="J140" s="61"/>
      <c r="K140" s="61"/>
      <c r="L140" s="61"/>
      <c r="M140" s="61"/>
      <c r="N140" s="62"/>
      <c r="O140" s="62"/>
      <c r="P140" s="62"/>
      <c r="Q140" s="62"/>
      <c r="R140" s="63" t="str">
        <f>IFERROR(IF(OR($N140="",$O140="",$F140=""),"",ROUND(('⚙️ Setelan'!$B$3*'⚙️ Setelan'!$B$4/100)/(ABS($N140-$O140)*VLOOKUP($F140,'⚙️ Setelan'!$A$14:$F$20,4,FALSE)),2)),"")</f>
        <v/>
      </c>
      <c r="S140" s="64"/>
      <c r="T140" s="65" t="str">
        <f>IFERROR(IF(OR($N140="",$O140="",$S140=""),"",ABS($N140-$O140)*$S140*VLOOKUP($F140,'⚙️ Setelan'!$A$14:$F$20,4,FALSE)),"")</f>
        <v/>
      </c>
      <c r="U140" s="63" t="str">
        <f t="shared" si="16"/>
        <v/>
      </c>
      <c r="V140" s="65" t="str">
        <f>IFERROR(IF(OR($Q140="",$N140="",$S140=""),"",($Q140-$N140)*IF($G140="Buy",1,-1)*$S140*VLOOKUP($F140,'⚙️ Setelan'!$A$14:$F$20,4,FALSE)),"")</f>
        <v/>
      </c>
      <c r="W140" s="65" t="str">
        <f>IFERROR(IF(OR($S140="",$F140=""),"",$S140*VLOOKUP($F140,'⚙️ Setelan'!$A$14:$F$20,5,FALSE)),"")</f>
        <v/>
      </c>
      <c r="X140" s="65" t="str">
        <f t="shared" si="17"/>
        <v/>
      </c>
      <c r="Y140" s="63" t="str">
        <f t="shared" si="18"/>
        <v/>
      </c>
      <c r="Z140" s="58" t="str">
        <f t="shared" si="19"/>
        <v/>
      </c>
      <c r="AA140" s="66" t="str">
        <f t="shared" si="20"/>
        <v/>
      </c>
      <c r="AB140" s="62"/>
      <c r="AC140" s="62"/>
      <c r="AD140" s="63" t="str">
        <f>IFERROR(IF(OR($AB140="",$T140="",$T140=0),"",ROUND(ABS($N140-$AB140)*$S140*VLOOKUP($F140,'⚙️ Setelan'!$A$14:$F$20,4,FALSE)/$T140,2)),"")</f>
        <v/>
      </c>
      <c r="AE140" s="63" t="str">
        <f>IFERROR(IF(OR($AC140="",$T140="",$T140=0),"",ROUND(ABS($AC140-$N140)*$S140*VLOOKUP($F140,'⚙️ Setelan'!$A$14:$F$20,4,FALSE)/$T140,2)),"")</f>
        <v/>
      </c>
      <c r="AF140" s="61"/>
      <c r="AG140" s="61"/>
      <c r="AH140" s="61"/>
      <c r="AI140" s="61"/>
      <c r="AJ140" s="61"/>
      <c r="AK140" s="67"/>
      <c r="AL140" s="58" t="str">
        <f>IF(OR($C140="",$B140=""),"",IF(AND($Z139="Loss",$B140=$B139,MOD($C140-$D139,1)*1440&lt;'⚙️ Setelan'!$B$9),"⚠️ Revenge",""))</f>
        <v/>
      </c>
      <c r="AM140" s="68"/>
      <c r="AN140" s="58" t="str">
        <f>IF($AM140="","",IFERROR(_xlfn.IMAGE(IF(REGEXMATCH($AM140,"\.(png|jpg|jpeg|gif)$"),$AM140,"https://s3.tradingview.com/snapshots/"&amp;LOWER(MID(REGEXEXTRACT($AM140,"/x/([A-Za-z0-9]+)"),1,1))&amp;"/"&amp;REGEXEXTRACT($AM140,"/x/([A-Za-z0-9]+)")&amp;".png"),1),"⚠️ link tidak dikenali"))</f>
        <v/>
      </c>
      <c r="AO140" s="68"/>
      <c r="AP140" s="58" t="str">
        <f>IF($AO140="","",IFERROR(_xlfn.IMAGE(IF(REGEXMATCH($AO140,"\.(png|jpg|jpeg|gif)$"),$AO140,"https://s3.tradingview.com/snapshots/"&amp;LOWER(MID(REGEXEXTRACT($AO140,"/x/([A-Za-z0-9]+)"),1,1))&amp;"/"&amp;REGEXEXTRACT($AO140,"/x/([A-Za-z0-9]+)")&amp;".png"),1),"⚠️ link tidak dikenali"))</f>
        <v/>
      </c>
      <c r="AQ140" s="66">
        <f>IF($Z140="",0,IF(AND(OR('📊 Dashboard'!$B$4="(Semua)",$F140='📊 Dashboard'!$B$4),OR('📊 Dashboard'!$B$5="(Semua)",$H140='📊 Dashboard'!$B$5),OR('📊 Dashboard'!$B$6="(Semua)",$E140='📊 Dashboard'!$B$6),OR('📊 Dashboard'!$B$7="(Semua)",$AF140='📊 Dashboard'!$B$7),OR('📊 Dashboard'!$B$8="(Semua)",$AG140='📊 Dashboard'!$B$8),OR('📊 Dashboard'!$B$9="(Semua)",$K140='📊 Dashboard'!$B$9)),1,0))</f>
        <v>0</v>
      </c>
      <c r="AR140" s="69"/>
    </row>
    <row r="141" ht="58" customHeight="1" spans="1:44">
      <c r="A141" s="58" t="str">
        <f t="shared" si="14"/>
        <v/>
      </c>
      <c r="B141" s="59"/>
      <c r="C141" s="60"/>
      <c r="D141" s="60"/>
      <c r="E141" s="58" t="str">
        <f t="shared" si="15"/>
        <v/>
      </c>
      <c r="F141" s="61"/>
      <c r="G141" s="61"/>
      <c r="H141" s="61"/>
      <c r="I141" s="61"/>
      <c r="J141" s="61"/>
      <c r="K141" s="61"/>
      <c r="L141" s="61"/>
      <c r="M141" s="61"/>
      <c r="N141" s="62"/>
      <c r="O141" s="62"/>
      <c r="P141" s="62"/>
      <c r="Q141" s="62"/>
      <c r="R141" s="63" t="str">
        <f>IFERROR(IF(OR($N141="",$O141="",$F141=""),"",ROUND(('⚙️ Setelan'!$B$3*'⚙️ Setelan'!$B$4/100)/(ABS($N141-$O141)*VLOOKUP($F141,'⚙️ Setelan'!$A$14:$F$20,4,FALSE)),2)),"")</f>
        <v/>
      </c>
      <c r="S141" s="64"/>
      <c r="T141" s="65" t="str">
        <f>IFERROR(IF(OR($N141="",$O141="",$S141=""),"",ABS($N141-$O141)*$S141*VLOOKUP($F141,'⚙️ Setelan'!$A$14:$F$20,4,FALSE)),"")</f>
        <v/>
      </c>
      <c r="U141" s="63" t="str">
        <f t="shared" si="16"/>
        <v/>
      </c>
      <c r="V141" s="65" t="str">
        <f>IFERROR(IF(OR($Q141="",$N141="",$S141=""),"",($Q141-$N141)*IF($G141="Buy",1,-1)*$S141*VLOOKUP($F141,'⚙️ Setelan'!$A$14:$F$20,4,FALSE)),"")</f>
        <v/>
      </c>
      <c r="W141" s="65" t="str">
        <f>IFERROR(IF(OR($S141="",$F141=""),"",$S141*VLOOKUP($F141,'⚙️ Setelan'!$A$14:$F$20,5,FALSE)),"")</f>
        <v/>
      </c>
      <c r="X141" s="65" t="str">
        <f t="shared" si="17"/>
        <v/>
      </c>
      <c r="Y141" s="63" t="str">
        <f t="shared" si="18"/>
        <v/>
      </c>
      <c r="Z141" s="58" t="str">
        <f t="shared" si="19"/>
        <v/>
      </c>
      <c r="AA141" s="66" t="str">
        <f t="shared" si="20"/>
        <v/>
      </c>
      <c r="AB141" s="62"/>
      <c r="AC141" s="62"/>
      <c r="AD141" s="63" t="str">
        <f>IFERROR(IF(OR($AB141="",$T141="",$T141=0),"",ROUND(ABS($N141-$AB141)*$S141*VLOOKUP($F141,'⚙️ Setelan'!$A$14:$F$20,4,FALSE)/$T141,2)),"")</f>
        <v/>
      </c>
      <c r="AE141" s="63" t="str">
        <f>IFERROR(IF(OR($AC141="",$T141="",$T141=0),"",ROUND(ABS($AC141-$N141)*$S141*VLOOKUP($F141,'⚙️ Setelan'!$A$14:$F$20,4,FALSE)/$T141,2)),"")</f>
        <v/>
      </c>
      <c r="AF141" s="61"/>
      <c r="AG141" s="61"/>
      <c r="AH141" s="61"/>
      <c r="AI141" s="61"/>
      <c r="AJ141" s="61"/>
      <c r="AK141" s="67"/>
      <c r="AL141" s="58" t="str">
        <f>IF(OR($C141="",$B141=""),"",IF(AND($Z140="Loss",$B141=$B140,MOD($C141-$D140,1)*1440&lt;'⚙️ Setelan'!$B$9),"⚠️ Revenge",""))</f>
        <v/>
      </c>
      <c r="AM141" s="68"/>
      <c r="AN141" s="58" t="str">
        <f>IF($AM141="","",IFERROR(_xlfn.IMAGE(IF(REGEXMATCH($AM141,"\.(png|jpg|jpeg|gif)$"),$AM141,"https://s3.tradingview.com/snapshots/"&amp;LOWER(MID(REGEXEXTRACT($AM141,"/x/([A-Za-z0-9]+)"),1,1))&amp;"/"&amp;REGEXEXTRACT($AM141,"/x/([A-Za-z0-9]+)")&amp;".png"),1),"⚠️ link tidak dikenali"))</f>
        <v/>
      </c>
      <c r="AO141" s="68"/>
      <c r="AP141" s="58" t="str">
        <f>IF($AO141="","",IFERROR(_xlfn.IMAGE(IF(REGEXMATCH($AO141,"\.(png|jpg|jpeg|gif)$"),$AO141,"https://s3.tradingview.com/snapshots/"&amp;LOWER(MID(REGEXEXTRACT($AO141,"/x/([A-Za-z0-9]+)"),1,1))&amp;"/"&amp;REGEXEXTRACT($AO141,"/x/([A-Za-z0-9]+)")&amp;".png"),1),"⚠️ link tidak dikenali"))</f>
        <v/>
      </c>
      <c r="AQ141" s="66">
        <f>IF($Z141="",0,IF(AND(OR('📊 Dashboard'!$B$4="(Semua)",$F141='📊 Dashboard'!$B$4),OR('📊 Dashboard'!$B$5="(Semua)",$H141='📊 Dashboard'!$B$5),OR('📊 Dashboard'!$B$6="(Semua)",$E141='📊 Dashboard'!$B$6),OR('📊 Dashboard'!$B$7="(Semua)",$AF141='📊 Dashboard'!$B$7),OR('📊 Dashboard'!$B$8="(Semua)",$AG141='📊 Dashboard'!$B$8),OR('📊 Dashboard'!$B$9="(Semua)",$K141='📊 Dashboard'!$B$9)),1,0))</f>
        <v>0</v>
      </c>
      <c r="AR141" s="69"/>
    </row>
    <row r="142" ht="58" customHeight="1" spans="1:44">
      <c r="A142" s="58" t="str">
        <f t="shared" si="14"/>
        <v/>
      </c>
      <c r="B142" s="59"/>
      <c r="C142" s="60"/>
      <c r="D142" s="60"/>
      <c r="E142" s="58" t="str">
        <f t="shared" si="15"/>
        <v/>
      </c>
      <c r="F142" s="61"/>
      <c r="G142" s="61"/>
      <c r="H142" s="61"/>
      <c r="I142" s="61"/>
      <c r="J142" s="61"/>
      <c r="K142" s="61"/>
      <c r="L142" s="61"/>
      <c r="M142" s="61"/>
      <c r="N142" s="62"/>
      <c r="O142" s="62"/>
      <c r="P142" s="62"/>
      <c r="Q142" s="62"/>
      <c r="R142" s="63" t="str">
        <f>IFERROR(IF(OR($N142="",$O142="",$F142=""),"",ROUND(('⚙️ Setelan'!$B$3*'⚙️ Setelan'!$B$4/100)/(ABS($N142-$O142)*VLOOKUP($F142,'⚙️ Setelan'!$A$14:$F$20,4,FALSE)),2)),"")</f>
        <v/>
      </c>
      <c r="S142" s="64"/>
      <c r="T142" s="65" t="str">
        <f>IFERROR(IF(OR($N142="",$O142="",$S142=""),"",ABS($N142-$O142)*$S142*VLOOKUP($F142,'⚙️ Setelan'!$A$14:$F$20,4,FALSE)),"")</f>
        <v/>
      </c>
      <c r="U142" s="63" t="str">
        <f t="shared" si="16"/>
        <v/>
      </c>
      <c r="V142" s="65" t="str">
        <f>IFERROR(IF(OR($Q142="",$N142="",$S142=""),"",($Q142-$N142)*IF($G142="Buy",1,-1)*$S142*VLOOKUP($F142,'⚙️ Setelan'!$A$14:$F$20,4,FALSE)),"")</f>
        <v/>
      </c>
      <c r="W142" s="65" t="str">
        <f>IFERROR(IF(OR($S142="",$F142=""),"",$S142*VLOOKUP($F142,'⚙️ Setelan'!$A$14:$F$20,5,FALSE)),"")</f>
        <v/>
      </c>
      <c r="X142" s="65" t="str">
        <f t="shared" si="17"/>
        <v/>
      </c>
      <c r="Y142" s="63" t="str">
        <f t="shared" si="18"/>
        <v/>
      </c>
      <c r="Z142" s="58" t="str">
        <f t="shared" si="19"/>
        <v/>
      </c>
      <c r="AA142" s="66" t="str">
        <f t="shared" si="20"/>
        <v/>
      </c>
      <c r="AB142" s="62"/>
      <c r="AC142" s="62"/>
      <c r="AD142" s="63" t="str">
        <f>IFERROR(IF(OR($AB142="",$T142="",$T142=0),"",ROUND(ABS($N142-$AB142)*$S142*VLOOKUP($F142,'⚙️ Setelan'!$A$14:$F$20,4,FALSE)/$T142,2)),"")</f>
        <v/>
      </c>
      <c r="AE142" s="63" t="str">
        <f>IFERROR(IF(OR($AC142="",$T142="",$T142=0),"",ROUND(ABS($AC142-$N142)*$S142*VLOOKUP($F142,'⚙️ Setelan'!$A$14:$F$20,4,FALSE)/$T142,2)),"")</f>
        <v/>
      </c>
      <c r="AF142" s="61"/>
      <c r="AG142" s="61"/>
      <c r="AH142" s="61"/>
      <c r="AI142" s="61"/>
      <c r="AJ142" s="61"/>
      <c r="AK142" s="67"/>
      <c r="AL142" s="58" t="str">
        <f>IF(OR($C142="",$B142=""),"",IF(AND($Z141="Loss",$B142=$B141,MOD($C142-$D141,1)*1440&lt;'⚙️ Setelan'!$B$9),"⚠️ Revenge",""))</f>
        <v/>
      </c>
      <c r="AM142" s="68"/>
      <c r="AN142" s="58" t="str">
        <f>IF($AM142="","",IFERROR(_xlfn.IMAGE(IF(REGEXMATCH($AM142,"\.(png|jpg|jpeg|gif)$"),$AM142,"https://s3.tradingview.com/snapshots/"&amp;LOWER(MID(REGEXEXTRACT($AM142,"/x/([A-Za-z0-9]+)"),1,1))&amp;"/"&amp;REGEXEXTRACT($AM142,"/x/([A-Za-z0-9]+)")&amp;".png"),1),"⚠️ link tidak dikenali"))</f>
        <v/>
      </c>
      <c r="AO142" s="68"/>
      <c r="AP142" s="58" t="str">
        <f>IF($AO142="","",IFERROR(_xlfn.IMAGE(IF(REGEXMATCH($AO142,"\.(png|jpg|jpeg|gif)$"),$AO142,"https://s3.tradingview.com/snapshots/"&amp;LOWER(MID(REGEXEXTRACT($AO142,"/x/([A-Za-z0-9]+)"),1,1))&amp;"/"&amp;REGEXEXTRACT($AO142,"/x/([A-Za-z0-9]+)")&amp;".png"),1),"⚠️ link tidak dikenali"))</f>
        <v/>
      </c>
      <c r="AQ142" s="66">
        <f>IF($Z142="",0,IF(AND(OR('📊 Dashboard'!$B$4="(Semua)",$F142='📊 Dashboard'!$B$4),OR('📊 Dashboard'!$B$5="(Semua)",$H142='📊 Dashboard'!$B$5),OR('📊 Dashboard'!$B$6="(Semua)",$E142='📊 Dashboard'!$B$6),OR('📊 Dashboard'!$B$7="(Semua)",$AF142='📊 Dashboard'!$B$7),OR('📊 Dashboard'!$B$8="(Semua)",$AG142='📊 Dashboard'!$B$8),OR('📊 Dashboard'!$B$9="(Semua)",$K142='📊 Dashboard'!$B$9)),1,0))</f>
        <v>0</v>
      </c>
      <c r="AR142" s="69"/>
    </row>
    <row r="143" ht="58" customHeight="1" spans="1:44">
      <c r="A143" s="58" t="str">
        <f t="shared" si="14"/>
        <v/>
      </c>
      <c r="B143" s="59"/>
      <c r="C143" s="60"/>
      <c r="D143" s="60"/>
      <c r="E143" s="58" t="str">
        <f t="shared" si="15"/>
        <v/>
      </c>
      <c r="F143" s="61"/>
      <c r="G143" s="61"/>
      <c r="H143" s="61"/>
      <c r="I143" s="61"/>
      <c r="J143" s="61"/>
      <c r="K143" s="61"/>
      <c r="L143" s="61"/>
      <c r="M143" s="61"/>
      <c r="N143" s="62"/>
      <c r="O143" s="62"/>
      <c r="P143" s="62"/>
      <c r="Q143" s="62"/>
      <c r="R143" s="63" t="str">
        <f>IFERROR(IF(OR($N143="",$O143="",$F143=""),"",ROUND(('⚙️ Setelan'!$B$3*'⚙️ Setelan'!$B$4/100)/(ABS($N143-$O143)*VLOOKUP($F143,'⚙️ Setelan'!$A$14:$F$20,4,FALSE)),2)),"")</f>
        <v/>
      </c>
      <c r="S143" s="64"/>
      <c r="T143" s="65" t="str">
        <f>IFERROR(IF(OR($N143="",$O143="",$S143=""),"",ABS($N143-$O143)*$S143*VLOOKUP($F143,'⚙️ Setelan'!$A$14:$F$20,4,FALSE)),"")</f>
        <v/>
      </c>
      <c r="U143" s="63" t="str">
        <f t="shared" si="16"/>
        <v/>
      </c>
      <c r="V143" s="65" t="str">
        <f>IFERROR(IF(OR($Q143="",$N143="",$S143=""),"",($Q143-$N143)*IF($G143="Buy",1,-1)*$S143*VLOOKUP($F143,'⚙️ Setelan'!$A$14:$F$20,4,FALSE)),"")</f>
        <v/>
      </c>
      <c r="W143" s="65" t="str">
        <f>IFERROR(IF(OR($S143="",$F143=""),"",$S143*VLOOKUP($F143,'⚙️ Setelan'!$A$14:$F$20,5,FALSE)),"")</f>
        <v/>
      </c>
      <c r="X143" s="65" t="str">
        <f t="shared" si="17"/>
        <v/>
      </c>
      <c r="Y143" s="63" t="str">
        <f t="shared" si="18"/>
        <v/>
      </c>
      <c r="Z143" s="58" t="str">
        <f t="shared" si="19"/>
        <v/>
      </c>
      <c r="AA143" s="66" t="str">
        <f t="shared" si="20"/>
        <v/>
      </c>
      <c r="AB143" s="62"/>
      <c r="AC143" s="62"/>
      <c r="AD143" s="63" t="str">
        <f>IFERROR(IF(OR($AB143="",$T143="",$T143=0),"",ROUND(ABS($N143-$AB143)*$S143*VLOOKUP($F143,'⚙️ Setelan'!$A$14:$F$20,4,FALSE)/$T143,2)),"")</f>
        <v/>
      </c>
      <c r="AE143" s="63" t="str">
        <f>IFERROR(IF(OR($AC143="",$T143="",$T143=0),"",ROUND(ABS($AC143-$N143)*$S143*VLOOKUP($F143,'⚙️ Setelan'!$A$14:$F$20,4,FALSE)/$T143,2)),"")</f>
        <v/>
      </c>
      <c r="AF143" s="61"/>
      <c r="AG143" s="61"/>
      <c r="AH143" s="61"/>
      <c r="AI143" s="61"/>
      <c r="AJ143" s="61"/>
      <c r="AK143" s="67"/>
      <c r="AL143" s="58" t="str">
        <f>IF(OR($C143="",$B143=""),"",IF(AND($Z142="Loss",$B143=$B142,MOD($C143-$D142,1)*1440&lt;'⚙️ Setelan'!$B$9),"⚠️ Revenge",""))</f>
        <v/>
      </c>
      <c r="AM143" s="68"/>
      <c r="AN143" s="58" t="str">
        <f>IF($AM143="","",IFERROR(_xlfn.IMAGE(IF(REGEXMATCH($AM143,"\.(png|jpg|jpeg|gif)$"),$AM143,"https://s3.tradingview.com/snapshots/"&amp;LOWER(MID(REGEXEXTRACT($AM143,"/x/([A-Za-z0-9]+)"),1,1))&amp;"/"&amp;REGEXEXTRACT($AM143,"/x/([A-Za-z0-9]+)")&amp;".png"),1),"⚠️ link tidak dikenali"))</f>
        <v/>
      </c>
      <c r="AO143" s="68"/>
      <c r="AP143" s="58" t="str">
        <f>IF($AO143="","",IFERROR(_xlfn.IMAGE(IF(REGEXMATCH($AO143,"\.(png|jpg|jpeg|gif)$"),$AO143,"https://s3.tradingview.com/snapshots/"&amp;LOWER(MID(REGEXEXTRACT($AO143,"/x/([A-Za-z0-9]+)"),1,1))&amp;"/"&amp;REGEXEXTRACT($AO143,"/x/([A-Za-z0-9]+)")&amp;".png"),1),"⚠️ link tidak dikenali"))</f>
        <v/>
      </c>
      <c r="AQ143" s="66">
        <f>IF($Z143="",0,IF(AND(OR('📊 Dashboard'!$B$4="(Semua)",$F143='📊 Dashboard'!$B$4),OR('📊 Dashboard'!$B$5="(Semua)",$H143='📊 Dashboard'!$B$5),OR('📊 Dashboard'!$B$6="(Semua)",$E143='📊 Dashboard'!$B$6),OR('📊 Dashboard'!$B$7="(Semua)",$AF143='📊 Dashboard'!$B$7),OR('📊 Dashboard'!$B$8="(Semua)",$AG143='📊 Dashboard'!$B$8),OR('📊 Dashboard'!$B$9="(Semua)",$K143='📊 Dashboard'!$B$9)),1,0))</f>
        <v>0</v>
      </c>
      <c r="AR143" s="69"/>
    </row>
    <row r="144" ht="58" customHeight="1" spans="1:44">
      <c r="A144" s="58" t="str">
        <f t="shared" si="14"/>
        <v/>
      </c>
      <c r="B144" s="59"/>
      <c r="C144" s="60"/>
      <c r="D144" s="60"/>
      <c r="E144" s="58" t="str">
        <f t="shared" si="15"/>
        <v/>
      </c>
      <c r="F144" s="61"/>
      <c r="G144" s="61"/>
      <c r="H144" s="61"/>
      <c r="I144" s="61"/>
      <c r="J144" s="61"/>
      <c r="K144" s="61"/>
      <c r="L144" s="61"/>
      <c r="M144" s="61"/>
      <c r="N144" s="62"/>
      <c r="O144" s="62"/>
      <c r="P144" s="62"/>
      <c r="Q144" s="62"/>
      <c r="R144" s="63" t="str">
        <f>IFERROR(IF(OR($N144="",$O144="",$F144=""),"",ROUND(('⚙️ Setelan'!$B$3*'⚙️ Setelan'!$B$4/100)/(ABS($N144-$O144)*VLOOKUP($F144,'⚙️ Setelan'!$A$14:$F$20,4,FALSE)),2)),"")</f>
        <v/>
      </c>
      <c r="S144" s="64"/>
      <c r="T144" s="65" t="str">
        <f>IFERROR(IF(OR($N144="",$O144="",$S144=""),"",ABS($N144-$O144)*$S144*VLOOKUP($F144,'⚙️ Setelan'!$A$14:$F$20,4,FALSE)),"")</f>
        <v/>
      </c>
      <c r="U144" s="63" t="str">
        <f t="shared" si="16"/>
        <v/>
      </c>
      <c r="V144" s="65" t="str">
        <f>IFERROR(IF(OR($Q144="",$N144="",$S144=""),"",($Q144-$N144)*IF($G144="Buy",1,-1)*$S144*VLOOKUP($F144,'⚙️ Setelan'!$A$14:$F$20,4,FALSE)),"")</f>
        <v/>
      </c>
      <c r="W144" s="65" t="str">
        <f>IFERROR(IF(OR($S144="",$F144=""),"",$S144*VLOOKUP($F144,'⚙️ Setelan'!$A$14:$F$20,5,FALSE)),"")</f>
        <v/>
      </c>
      <c r="X144" s="65" t="str">
        <f t="shared" si="17"/>
        <v/>
      </c>
      <c r="Y144" s="63" t="str">
        <f t="shared" si="18"/>
        <v/>
      </c>
      <c r="Z144" s="58" t="str">
        <f t="shared" si="19"/>
        <v/>
      </c>
      <c r="AA144" s="66" t="str">
        <f t="shared" si="20"/>
        <v/>
      </c>
      <c r="AB144" s="62"/>
      <c r="AC144" s="62"/>
      <c r="AD144" s="63" t="str">
        <f>IFERROR(IF(OR($AB144="",$T144="",$T144=0),"",ROUND(ABS($N144-$AB144)*$S144*VLOOKUP($F144,'⚙️ Setelan'!$A$14:$F$20,4,FALSE)/$T144,2)),"")</f>
        <v/>
      </c>
      <c r="AE144" s="63" t="str">
        <f>IFERROR(IF(OR($AC144="",$T144="",$T144=0),"",ROUND(ABS($AC144-$N144)*$S144*VLOOKUP($F144,'⚙️ Setelan'!$A$14:$F$20,4,FALSE)/$T144,2)),"")</f>
        <v/>
      </c>
      <c r="AF144" s="61"/>
      <c r="AG144" s="61"/>
      <c r="AH144" s="61"/>
      <c r="AI144" s="61"/>
      <c r="AJ144" s="61"/>
      <c r="AK144" s="67"/>
      <c r="AL144" s="58" t="str">
        <f>IF(OR($C144="",$B144=""),"",IF(AND($Z143="Loss",$B144=$B143,MOD($C144-$D143,1)*1440&lt;'⚙️ Setelan'!$B$9),"⚠️ Revenge",""))</f>
        <v/>
      </c>
      <c r="AM144" s="68"/>
      <c r="AN144" s="58" t="str">
        <f>IF($AM144="","",IFERROR(_xlfn.IMAGE(IF(REGEXMATCH($AM144,"\.(png|jpg|jpeg|gif)$"),$AM144,"https://s3.tradingview.com/snapshots/"&amp;LOWER(MID(REGEXEXTRACT($AM144,"/x/([A-Za-z0-9]+)"),1,1))&amp;"/"&amp;REGEXEXTRACT($AM144,"/x/([A-Za-z0-9]+)")&amp;".png"),1),"⚠️ link tidak dikenali"))</f>
        <v/>
      </c>
      <c r="AO144" s="68"/>
      <c r="AP144" s="58" t="str">
        <f>IF($AO144="","",IFERROR(_xlfn.IMAGE(IF(REGEXMATCH($AO144,"\.(png|jpg|jpeg|gif)$"),$AO144,"https://s3.tradingview.com/snapshots/"&amp;LOWER(MID(REGEXEXTRACT($AO144,"/x/([A-Za-z0-9]+)"),1,1))&amp;"/"&amp;REGEXEXTRACT($AO144,"/x/([A-Za-z0-9]+)")&amp;".png"),1),"⚠️ link tidak dikenali"))</f>
        <v/>
      </c>
      <c r="AQ144" s="66">
        <f>IF($Z144="",0,IF(AND(OR('📊 Dashboard'!$B$4="(Semua)",$F144='📊 Dashboard'!$B$4),OR('📊 Dashboard'!$B$5="(Semua)",$H144='📊 Dashboard'!$B$5),OR('📊 Dashboard'!$B$6="(Semua)",$E144='📊 Dashboard'!$B$6),OR('📊 Dashboard'!$B$7="(Semua)",$AF144='📊 Dashboard'!$B$7),OR('📊 Dashboard'!$B$8="(Semua)",$AG144='📊 Dashboard'!$B$8),OR('📊 Dashboard'!$B$9="(Semua)",$K144='📊 Dashboard'!$B$9)),1,0))</f>
        <v>0</v>
      </c>
      <c r="AR144" s="69"/>
    </row>
    <row r="145" ht="58" customHeight="1" spans="1:44">
      <c r="A145" s="58" t="str">
        <f t="shared" si="14"/>
        <v/>
      </c>
      <c r="B145" s="59"/>
      <c r="C145" s="60"/>
      <c r="D145" s="60"/>
      <c r="E145" s="58" t="str">
        <f t="shared" si="15"/>
        <v/>
      </c>
      <c r="F145" s="61"/>
      <c r="G145" s="61"/>
      <c r="H145" s="61"/>
      <c r="I145" s="61"/>
      <c r="J145" s="61"/>
      <c r="K145" s="61"/>
      <c r="L145" s="61"/>
      <c r="M145" s="61"/>
      <c r="N145" s="62"/>
      <c r="O145" s="62"/>
      <c r="P145" s="62"/>
      <c r="Q145" s="62"/>
      <c r="R145" s="63" t="str">
        <f>IFERROR(IF(OR($N145="",$O145="",$F145=""),"",ROUND(('⚙️ Setelan'!$B$3*'⚙️ Setelan'!$B$4/100)/(ABS($N145-$O145)*VLOOKUP($F145,'⚙️ Setelan'!$A$14:$F$20,4,FALSE)),2)),"")</f>
        <v/>
      </c>
      <c r="S145" s="64"/>
      <c r="T145" s="65" t="str">
        <f>IFERROR(IF(OR($N145="",$O145="",$S145=""),"",ABS($N145-$O145)*$S145*VLOOKUP($F145,'⚙️ Setelan'!$A$14:$F$20,4,FALSE)),"")</f>
        <v/>
      </c>
      <c r="U145" s="63" t="str">
        <f t="shared" si="16"/>
        <v/>
      </c>
      <c r="V145" s="65" t="str">
        <f>IFERROR(IF(OR($Q145="",$N145="",$S145=""),"",($Q145-$N145)*IF($G145="Buy",1,-1)*$S145*VLOOKUP($F145,'⚙️ Setelan'!$A$14:$F$20,4,FALSE)),"")</f>
        <v/>
      </c>
      <c r="W145" s="65" t="str">
        <f>IFERROR(IF(OR($S145="",$F145=""),"",$S145*VLOOKUP($F145,'⚙️ Setelan'!$A$14:$F$20,5,FALSE)),"")</f>
        <v/>
      </c>
      <c r="X145" s="65" t="str">
        <f t="shared" si="17"/>
        <v/>
      </c>
      <c r="Y145" s="63" t="str">
        <f t="shared" si="18"/>
        <v/>
      </c>
      <c r="Z145" s="58" t="str">
        <f t="shared" si="19"/>
        <v/>
      </c>
      <c r="AA145" s="66" t="str">
        <f t="shared" si="20"/>
        <v/>
      </c>
      <c r="AB145" s="62"/>
      <c r="AC145" s="62"/>
      <c r="AD145" s="63" t="str">
        <f>IFERROR(IF(OR($AB145="",$T145="",$T145=0),"",ROUND(ABS($N145-$AB145)*$S145*VLOOKUP($F145,'⚙️ Setelan'!$A$14:$F$20,4,FALSE)/$T145,2)),"")</f>
        <v/>
      </c>
      <c r="AE145" s="63" t="str">
        <f>IFERROR(IF(OR($AC145="",$T145="",$T145=0),"",ROUND(ABS($AC145-$N145)*$S145*VLOOKUP($F145,'⚙️ Setelan'!$A$14:$F$20,4,FALSE)/$T145,2)),"")</f>
        <v/>
      </c>
      <c r="AF145" s="61"/>
      <c r="AG145" s="61"/>
      <c r="AH145" s="61"/>
      <c r="AI145" s="61"/>
      <c r="AJ145" s="61"/>
      <c r="AK145" s="67"/>
      <c r="AL145" s="58" t="str">
        <f>IF(OR($C145="",$B145=""),"",IF(AND($Z144="Loss",$B145=$B144,MOD($C145-$D144,1)*1440&lt;'⚙️ Setelan'!$B$9),"⚠️ Revenge",""))</f>
        <v/>
      </c>
      <c r="AM145" s="68"/>
      <c r="AN145" s="58" t="str">
        <f>IF($AM145="","",IFERROR(_xlfn.IMAGE(IF(REGEXMATCH($AM145,"\.(png|jpg|jpeg|gif)$"),$AM145,"https://s3.tradingview.com/snapshots/"&amp;LOWER(MID(REGEXEXTRACT($AM145,"/x/([A-Za-z0-9]+)"),1,1))&amp;"/"&amp;REGEXEXTRACT($AM145,"/x/([A-Za-z0-9]+)")&amp;".png"),1),"⚠️ link tidak dikenali"))</f>
        <v/>
      </c>
      <c r="AO145" s="68"/>
      <c r="AP145" s="58" t="str">
        <f>IF($AO145="","",IFERROR(_xlfn.IMAGE(IF(REGEXMATCH($AO145,"\.(png|jpg|jpeg|gif)$"),$AO145,"https://s3.tradingview.com/snapshots/"&amp;LOWER(MID(REGEXEXTRACT($AO145,"/x/([A-Za-z0-9]+)"),1,1))&amp;"/"&amp;REGEXEXTRACT($AO145,"/x/([A-Za-z0-9]+)")&amp;".png"),1),"⚠️ link tidak dikenali"))</f>
        <v/>
      </c>
      <c r="AQ145" s="66">
        <f>IF($Z145="",0,IF(AND(OR('📊 Dashboard'!$B$4="(Semua)",$F145='📊 Dashboard'!$B$4),OR('📊 Dashboard'!$B$5="(Semua)",$H145='📊 Dashboard'!$B$5),OR('📊 Dashboard'!$B$6="(Semua)",$E145='📊 Dashboard'!$B$6),OR('📊 Dashboard'!$B$7="(Semua)",$AF145='📊 Dashboard'!$B$7),OR('📊 Dashboard'!$B$8="(Semua)",$AG145='📊 Dashboard'!$B$8),OR('📊 Dashboard'!$B$9="(Semua)",$K145='📊 Dashboard'!$B$9)),1,0))</f>
        <v>0</v>
      </c>
      <c r="AR145" s="69"/>
    </row>
    <row r="146" ht="58" customHeight="1" spans="1:44">
      <c r="A146" s="58" t="str">
        <f t="shared" si="14"/>
        <v/>
      </c>
      <c r="B146" s="59"/>
      <c r="C146" s="60"/>
      <c r="D146" s="60"/>
      <c r="E146" s="58" t="str">
        <f t="shared" si="15"/>
        <v/>
      </c>
      <c r="F146" s="61"/>
      <c r="G146" s="61"/>
      <c r="H146" s="61"/>
      <c r="I146" s="61"/>
      <c r="J146" s="61"/>
      <c r="K146" s="61"/>
      <c r="L146" s="61"/>
      <c r="M146" s="61"/>
      <c r="N146" s="62"/>
      <c r="O146" s="62"/>
      <c r="P146" s="62"/>
      <c r="Q146" s="62"/>
      <c r="R146" s="63" t="str">
        <f>IFERROR(IF(OR($N146="",$O146="",$F146=""),"",ROUND(('⚙️ Setelan'!$B$3*'⚙️ Setelan'!$B$4/100)/(ABS($N146-$O146)*VLOOKUP($F146,'⚙️ Setelan'!$A$14:$F$20,4,FALSE)),2)),"")</f>
        <v/>
      </c>
      <c r="S146" s="64"/>
      <c r="T146" s="65" t="str">
        <f>IFERROR(IF(OR($N146="",$O146="",$S146=""),"",ABS($N146-$O146)*$S146*VLOOKUP($F146,'⚙️ Setelan'!$A$14:$F$20,4,FALSE)),"")</f>
        <v/>
      </c>
      <c r="U146" s="63" t="str">
        <f t="shared" si="16"/>
        <v/>
      </c>
      <c r="V146" s="65" t="str">
        <f>IFERROR(IF(OR($Q146="",$N146="",$S146=""),"",($Q146-$N146)*IF($G146="Buy",1,-1)*$S146*VLOOKUP($F146,'⚙️ Setelan'!$A$14:$F$20,4,FALSE)),"")</f>
        <v/>
      </c>
      <c r="W146" s="65" t="str">
        <f>IFERROR(IF(OR($S146="",$F146=""),"",$S146*VLOOKUP($F146,'⚙️ Setelan'!$A$14:$F$20,5,FALSE)),"")</f>
        <v/>
      </c>
      <c r="X146" s="65" t="str">
        <f t="shared" si="17"/>
        <v/>
      </c>
      <c r="Y146" s="63" t="str">
        <f t="shared" si="18"/>
        <v/>
      </c>
      <c r="Z146" s="58" t="str">
        <f t="shared" si="19"/>
        <v/>
      </c>
      <c r="AA146" s="66" t="str">
        <f t="shared" si="20"/>
        <v/>
      </c>
      <c r="AB146" s="62"/>
      <c r="AC146" s="62"/>
      <c r="AD146" s="63" t="str">
        <f>IFERROR(IF(OR($AB146="",$T146="",$T146=0),"",ROUND(ABS($N146-$AB146)*$S146*VLOOKUP($F146,'⚙️ Setelan'!$A$14:$F$20,4,FALSE)/$T146,2)),"")</f>
        <v/>
      </c>
      <c r="AE146" s="63" t="str">
        <f>IFERROR(IF(OR($AC146="",$T146="",$T146=0),"",ROUND(ABS($AC146-$N146)*$S146*VLOOKUP($F146,'⚙️ Setelan'!$A$14:$F$20,4,FALSE)/$T146,2)),"")</f>
        <v/>
      </c>
      <c r="AF146" s="61"/>
      <c r="AG146" s="61"/>
      <c r="AH146" s="61"/>
      <c r="AI146" s="61"/>
      <c r="AJ146" s="61"/>
      <c r="AK146" s="67"/>
      <c r="AL146" s="58" t="str">
        <f>IF(OR($C146="",$B146=""),"",IF(AND($Z145="Loss",$B146=$B145,MOD($C146-$D145,1)*1440&lt;'⚙️ Setelan'!$B$9),"⚠️ Revenge",""))</f>
        <v/>
      </c>
      <c r="AM146" s="68"/>
      <c r="AN146" s="58" t="str">
        <f>IF($AM146="","",IFERROR(_xlfn.IMAGE(IF(REGEXMATCH($AM146,"\.(png|jpg|jpeg|gif)$"),$AM146,"https://s3.tradingview.com/snapshots/"&amp;LOWER(MID(REGEXEXTRACT($AM146,"/x/([A-Za-z0-9]+)"),1,1))&amp;"/"&amp;REGEXEXTRACT($AM146,"/x/([A-Za-z0-9]+)")&amp;".png"),1),"⚠️ link tidak dikenali"))</f>
        <v/>
      </c>
      <c r="AO146" s="68"/>
      <c r="AP146" s="58" t="str">
        <f>IF($AO146="","",IFERROR(_xlfn.IMAGE(IF(REGEXMATCH($AO146,"\.(png|jpg|jpeg|gif)$"),$AO146,"https://s3.tradingview.com/snapshots/"&amp;LOWER(MID(REGEXEXTRACT($AO146,"/x/([A-Za-z0-9]+)"),1,1))&amp;"/"&amp;REGEXEXTRACT($AO146,"/x/([A-Za-z0-9]+)")&amp;".png"),1),"⚠️ link tidak dikenali"))</f>
        <v/>
      </c>
      <c r="AQ146" s="66">
        <f>IF($Z146="",0,IF(AND(OR('📊 Dashboard'!$B$4="(Semua)",$F146='📊 Dashboard'!$B$4),OR('📊 Dashboard'!$B$5="(Semua)",$H146='📊 Dashboard'!$B$5),OR('📊 Dashboard'!$B$6="(Semua)",$E146='📊 Dashboard'!$B$6),OR('📊 Dashboard'!$B$7="(Semua)",$AF146='📊 Dashboard'!$B$7),OR('📊 Dashboard'!$B$8="(Semua)",$AG146='📊 Dashboard'!$B$8),OR('📊 Dashboard'!$B$9="(Semua)",$K146='📊 Dashboard'!$B$9)),1,0))</f>
        <v>0</v>
      </c>
      <c r="AR146" s="69"/>
    </row>
    <row r="147" ht="58" customHeight="1" spans="1:44">
      <c r="A147" s="58" t="str">
        <f t="shared" si="14"/>
        <v/>
      </c>
      <c r="B147" s="59"/>
      <c r="C147" s="60"/>
      <c r="D147" s="60"/>
      <c r="E147" s="58" t="str">
        <f t="shared" si="15"/>
        <v/>
      </c>
      <c r="F147" s="61"/>
      <c r="G147" s="61"/>
      <c r="H147" s="61"/>
      <c r="I147" s="61"/>
      <c r="J147" s="61"/>
      <c r="K147" s="61"/>
      <c r="L147" s="61"/>
      <c r="M147" s="61"/>
      <c r="N147" s="62"/>
      <c r="O147" s="62"/>
      <c r="P147" s="62"/>
      <c r="Q147" s="62"/>
      <c r="R147" s="63" t="str">
        <f>IFERROR(IF(OR($N147="",$O147="",$F147=""),"",ROUND(('⚙️ Setelan'!$B$3*'⚙️ Setelan'!$B$4/100)/(ABS($N147-$O147)*VLOOKUP($F147,'⚙️ Setelan'!$A$14:$F$20,4,FALSE)),2)),"")</f>
        <v/>
      </c>
      <c r="S147" s="64"/>
      <c r="T147" s="65" t="str">
        <f>IFERROR(IF(OR($N147="",$O147="",$S147=""),"",ABS($N147-$O147)*$S147*VLOOKUP($F147,'⚙️ Setelan'!$A$14:$F$20,4,FALSE)),"")</f>
        <v/>
      </c>
      <c r="U147" s="63" t="str">
        <f t="shared" si="16"/>
        <v/>
      </c>
      <c r="V147" s="65" t="str">
        <f>IFERROR(IF(OR($Q147="",$N147="",$S147=""),"",($Q147-$N147)*IF($G147="Buy",1,-1)*$S147*VLOOKUP($F147,'⚙️ Setelan'!$A$14:$F$20,4,FALSE)),"")</f>
        <v/>
      </c>
      <c r="W147" s="65" t="str">
        <f>IFERROR(IF(OR($S147="",$F147=""),"",$S147*VLOOKUP($F147,'⚙️ Setelan'!$A$14:$F$20,5,FALSE)),"")</f>
        <v/>
      </c>
      <c r="X147" s="65" t="str">
        <f t="shared" si="17"/>
        <v/>
      </c>
      <c r="Y147" s="63" t="str">
        <f t="shared" si="18"/>
        <v/>
      </c>
      <c r="Z147" s="58" t="str">
        <f t="shared" si="19"/>
        <v/>
      </c>
      <c r="AA147" s="66" t="str">
        <f t="shared" si="20"/>
        <v/>
      </c>
      <c r="AB147" s="62"/>
      <c r="AC147" s="62"/>
      <c r="AD147" s="63" t="str">
        <f>IFERROR(IF(OR($AB147="",$T147="",$T147=0),"",ROUND(ABS($N147-$AB147)*$S147*VLOOKUP($F147,'⚙️ Setelan'!$A$14:$F$20,4,FALSE)/$T147,2)),"")</f>
        <v/>
      </c>
      <c r="AE147" s="63" t="str">
        <f>IFERROR(IF(OR($AC147="",$T147="",$T147=0),"",ROUND(ABS($AC147-$N147)*$S147*VLOOKUP($F147,'⚙️ Setelan'!$A$14:$F$20,4,FALSE)/$T147,2)),"")</f>
        <v/>
      </c>
      <c r="AF147" s="61"/>
      <c r="AG147" s="61"/>
      <c r="AH147" s="61"/>
      <c r="AI147" s="61"/>
      <c r="AJ147" s="61"/>
      <c r="AK147" s="67"/>
      <c r="AL147" s="58" t="str">
        <f>IF(OR($C147="",$B147=""),"",IF(AND($Z146="Loss",$B147=$B146,MOD($C147-$D146,1)*1440&lt;'⚙️ Setelan'!$B$9),"⚠️ Revenge",""))</f>
        <v/>
      </c>
      <c r="AM147" s="68"/>
      <c r="AN147" s="58" t="str">
        <f>IF($AM147="","",IFERROR(_xlfn.IMAGE(IF(REGEXMATCH($AM147,"\.(png|jpg|jpeg|gif)$"),$AM147,"https://s3.tradingview.com/snapshots/"&amp;LOWER(MID(REGEXEXTRACT($AM147,"/x/([A-Za-z0-9]+)"),1,1))&amp;"/"&amp;REGEXEXTRACT($AM147,"/x/([A-Za-z0-9]+)")&amp;".png"),1),"⚠️ link tidak dikenali"))</f>
        <v/>
      </c>
      <c r="AO147" s="68"/>
      <c r="AP147" s="58" t="str">
        <f>IF($AO147="","",IFERROR(_xlfn.IMAGE(IF(REGEXMATCH($AO147,"\.(png|jpg|jpeg|gif)$"),$AO147,"https://s3.tradingview.com/snapshots/"&amp;LOWER(MID(REGEXEXTRACT($AO147,"/x/([A-Za-z0-9]+)"),1,1))&amp;"/"&amp;REGEXEXTRACT($AO147,"/x/([A-Za-z0-9]+)")&amp;".png"),1),"⚠️ link tidak dikenali"))</f>
        <v/>
      </c>
      <c r="AQ147" s="66">
        <f>IF($Z147="",0,IF(AND(OR('📊 Dashboard'!$B$4="(Semua)",$F147='📊 Dashboard'!$B$4),OR('📊 Dashboard'!$B$5="(Semua)",$H147='📊 Dashboard'!$B$5),OR('📊 Dashboard'!$B$6="(Semua)",$E147='📊 Dashboard'!$B$6),OR('📊 Dashboard'!$B$7="(Semua)",$AF147='📊 Dashboard'!$B$7),OR('📊 Dashboard'!$B$8="(Semua)",$AG147='📊 Dashboard'!$B$8),OR('📊 Dashboard'!$B$9="(Semua)",$K147='📊 Dashboard'!$B$9)),1,0))</f>
        <v>0</v>
      </c>
      <c r="AR147" s="69"/>
    </row>
    <row r="148" ht="58" customHeight="1" spans="1:44">
      <c r="A148" s="58" t="str">
        <f t="shared" si="14"/>
        <v/>
      </c>
      <c r="B148" s="59"/>
      <c r="C148" s="60"/>
      <c r="D148" s="60"/>
      <c r="E148" s="58" t="str">
        <f t="shared" si="15"/>
        <v/>
      </c>
      <c r="F148" s="61"/>
      <c r="G148" s="61"/>
      <c r="H148" s="61"/>
      <c r="I148" s="61"/>
      <c r="J148" s="61"/>
      <c r="K148" s="61"/>
      <c r="L148" s="61"/>
      <c r="M148" s="61"/>
      <c r="N148" s="62"/>
      <c r="O148" s="62"/>
      <c r="P148" s="62"/>
      <c r="Q148" s="62"/>
      <c r="R148" s="63" t="str">
        <f>IFERROR(IF(OR($N148="",$O148="",$F148=""),"",ROUND(('⚙️ Setelan'!$B$3*'⚙️ Setelan'!$B$4/100)/(ABS($N148-$O148)*VLOOKUP($F148,'⚙️ Setelan'!$A$14:$F$20,4,FALSE)),2)),"")</f>
        <v/>
      </c>
      <c r="S148" s="64"/>
      <c r="T148" s="65" t="str">
        <f>IFERROR(IF(OR($N148="",$O148="",$S148=""),"",ABS($N148-$O148)*$S148*VLOOKUP($F148,'⚙️ Setelan'!$A$14:$F$20,4,FALSE)),"")</f>
        <v/>
      </c>
      <c r="U148" s="63" t="str">
        <f t="shared" si="16"/>
        <v/>
      </c>
      <c r="V148" s="65" t="str">
        <f>IFERROR(IF(OR($Q148="",$N148="",$S148=""),"",($Q148-$N148)*IF($G148="Buy",1,-1)*$S148*VLOOKUP($F148,'⚙️ Setelan'!$A$14:$F$20,4,FALSE)),"")</f>
        <v/>
      </c>
      <c r="W148" s="65" t="str">
        <f>IFERROR(IF(OR($S148="",$F148=""),"",$S148*VLOOKUP($F148,'⚙️ Setelan'!$A$14:$F$20,5,FALSE)),"")</f>
        <v/>
      </c>
      <c r="X148" s="65" t="str">
        <f t="shared" si="17"/>
        <v/>
      </c>
      <c r="Y148" s="63" t="str">
        <f t="shared" si="18"/>
        <v/>
      </c>
      <c r="Z148" s="58" t="str">
        <f t="shared" si="19"/>
        <v/>
      </c>
      <c r="AA148" s="66" t="str">
        <f t="shared" si="20"/>
        <v/>
      </c>
      <c r="AB148" s="62"/>
      <c r="AC148" s="62"/>
      <c r="AD148" s="63" t="str">
        <f>IFERROR(IF(OR($AB148="",$T148="",$T148=0),"",ROUND(ABS($N148-$AB148)*$S148*VLOOKUP($F148,'⚙️ Setelan'!$A$14:$F$20,4,FALSE)/$T148,2)),"")</f>
        <v/>
      </c>
      <c r="AE148" s="63" t="str">
        <f>IFERROR(IF(OR($AC148="",$T148="",$T148=0),"",ROUND(ABS($AC148-$N148)*$S148*VLOOKUP($F148,'⚙️ Setelan'!$A$14:$F$20,4,FALSE)/$T148,2)),"")</f>
        <v/>
      </c>
      <c r="AF148" s="61"/>
      <c r="AG148" s="61"/>
      <c r="AH148" s="61"/>
      <c r="AI148" s="61"/>
      <c r="AJ148" s="61"/>
      <c r="AK148" s="67"/>
      <c r="AL148" s="58" t="str">
        <f>IF(OR($C148="",$B148=""),"",IF(AND($Z147="Loss",$B148=$B147,MOD($C148-$D147,1)*1440&lt;'⚙️ Setelan'!$B$9),"⚠️ Revenge",""))</f>
        <v/>
      </c>
      <c r="AM148" s="68"/>
      <c r="AN148" s="58" t="str">
        <f>IF($AM148="","",IFERROR(_xlfn.IMAGE(IF(REGEXMATCH($AM148,"\.(png|jpg|jpeg|gif)$"),$AM148,"https://s3.tradingview.com/snapshots/"&amp;LOWER(MID(REGEXEXTRACT($AM148,"/x/([A-Za-z0-9]+)"),1,1))&amp;"/"&amp;REGEXEXTRACT($AM148,"/x/([A-Za-z0-9]+)")&amp;".png"),1),"⚠️ link tidak dikenali"))</f>
        <v/>
      </c>
      <c r="AO148" s="68"/>
      <c r="AP148" s="58" t="str">
        <f>IF($AO148="","",IFERROR(_xlfn.IMAGE(IF(REGEXMATCH($AO148,"\.(png|jpg|jpeg|gif)$"),$AO148,"https://s3.tradingview.com/snapshots/"&amp;LOWER(MID(REGEXEXTRACT($AO148,"/x/([A-Za-z0-9]+)"),1,1))&amp;"/"&amp;REGEXEXTRACT($AO148,"/x/([A-Za-z0-9]+)")&amp;".png"),1),"⚠️ link tidak dikenali"))</f>
        <v/>
      </c>
      <c r="AQ148" s="66">
        <f>IF($Z148="",0,IF(AND(OR('📊 Dashboard'!$B$4="(Semua)",$F148='📊 Dashboard'!$B$4),OR('📊 Dashboard'!$B$5="(Semua)",$H148='📊 Dashboard'!$B$5),OR('📊 Dashboard'!$B$6="(Semua)",$E148='📊 Dashboard'!$B$6),OR('📊 Dashboard'!$B$7="(Semua)",$AF148='📊 Dashboard'!$B$7),OR('📊 Dashboard'!$B$8="(Semua)",$AG148='📊 Dashboard'!$B$8),OR('📊 Dashboard'!$B$9="(Semua)",$K148='📊 Dashboard'!$B$9)),1,0))</f>
        <v>0</v>
      </c>
      <c r="AR148" s="69"/>
    </row>
    <row r="149" ht="58" customHeight="1" spans="1:44">
      <c r="A149" s="58" t="str">
        <f t="shared" si="14"/>
        <v/>
      </c>
      <c r="B149" s="59"/>
      <c r="C149" s="60"/>
      <c r="D149" s="60"/>
      <c r="E149" s="58" t="str">
        <f t="shared" si="15"/>
        <v/>
      </c>
      <c r="F149" s="61"/>
      <c r="G149" s="61"/>
      <c r="H149" s="61"/>
      <c r="I149" s="61"/>
      <c r="J149" s="61"/>
      <c r="K149" s="61"/>
      <c r="L149" s="61"/>
      <c r="M149" s="61"/>
      <c r="N149" s="62"/>
      <c r="O149" s="62"/>
      <c r="P149" s="62"/>
      <c r="Q149" s="62"/>
      <c r="R149" s="63" t="str">
        <f>IFERROR(IF(OR($N149="",$O149="",$F149=""),"",ROUND(('⚙️ Setelan'!$B$3*'⚙️ Setelan'!$B$4/100)/(ABS($N149-$O149)*VLOOKUP($F149,'⚙️ Setelan'!$A$14:$F$20,4,FALSE)),2)),"")</f>
        <v/>
      </c>
      <c r="S149" s="64"/>
      <c r="T149" s="65" t="str">
        <f>IFERROR(IF(OR($N149="",$O149="",$S149=""),"",ABS($N149-$O149)*$S149*VLOOKUP($F149,'⚙️ Setelan'!$A$14:$F$20,4,FALSE)),"")</f>
        <v/>
      </c>
      <c r="U149" s="63" t="str">
        <f t="shared" si="16"/>
        <v/>
      </c>
      <c r="V149" s="65" t="str">
        <f>IFERROR(IF(OR($Q149="",$N149="",$S149=""),"",($Q149-$N149)*IF($G149="Buy",1,-1)*$S149*VLOOKUP($F149,'⚙️ Setelan'!$A$14:$F$20,4,FALSE)),"")</f>
        <v/>
      </c>
      <c r="W149" s="65" t="str">
        <f>IFERROR(IF(OR($S149="",$F149=""),"",$S149*VLOOKUP($F149,'⚙️ Setelan'!$A$14:$F$20,5,FALSE)),"")</f>
        <v/>
      </c>
      <c r="X149" s="65" t="str">
        <f t="shared" si="17"/>
        <v/>
      </c>
      <c r="Y149" s="63" t="str">
        <f t="shared" si="18"/>
        <v/>
      </c>
      <c r="Z149" s="58" t="str">
        <f t="shared" si="19"/>
        <v/>
      </c>
      <c r="AA149" s="66" t="str">
        <f t="shared" si="20"/>
        <v/>
      </c>
      <c r="AB149" s="62"/>
      <c r="AC149" s="62"/>
      <c r="AD149" s="63" t="str">
        <f>IFERROR(IF(OR($AB149="",$T149="",$T149=0),"",ROUND(ABS($N149-$AB149)*$S149*VLOOKUP($F149,'⚙️ Setelan'!$A$14:$F$20,4,FALSE)/$T149,2)),"")</f>
        <v/>
      </c>
      <c r="AE149" s="63" t="str">
        <f>IFERROR(IF(OR($AC149="",$T149="",$T149=0),"",ROUND(ABS($AC149-$N149)*$S149*VLOOKUP($F149,'⚙️ Setelan'!$A$14:$F$20,4,FALSE)/$T149,2)),"")</f>
        <v/>
      </c>
      <c r="AF149" s="61"/>
      <c r="AG149" s="61"/>
      <c r="AH149" s="61"/>
      <c r="AI149" s="61"/>
      <c r="AJ149" s="61"/>
      <c r="AK149" s="67"/>
      <c r="AL149" s="58" t="str">
        <f>IF(OR($C149="",$B149=""),"",IF(AND($Z148="Loss",$B149=$B148,MOD($C149-$D148,1)*1440&lt;'⚙️ Setelan'!$B$9),"⚠️ Revenge",""))</f>
        <v/>
      </c>
      <c r="AM149" s="68"/>
      <c r="AN149" s="58" t="str">
        <f>IF($AM149="","",IFERROR(_xlfn.IMAGE(IF(REGEXMATCH($AM149,"\.(png|jpg|jpeg|gif)$"),$AM149,"https://s3.tradingview.com/snapshots/"&amp;LOWER(MID(REGEXEXTRACT($AM149,"/x/([A-Za-z0-9]+)"),1,1))&amp;"/"&amp;REGEXEXTRACT($AM149,"/x/([A-Za-z0-9]+)")&amp;".png"),1),"⚠️ link tidak dikenali"))</f>
        <v/>
      </c>
      <c r="AO149" s="68"/>
      <c r="AP149" s="58" t="str">
        <f>IF($AO149="","",IFERROR(_xlfn.IMAGE(IF(REGEXMATCH($AO149,"\.(png|jpg|jpeg|gif)$"),$AO149,"https://s3.tradingview.com/snapshots/"&amp;LOWER(MID(REGEXEXTRACT($AO149,"/x/([A-Za-z0-9]+)"),1,1))&amp;"/"&amp;REGEXEXTRACT($AO149,"/x/([A-Za-z0-9]+)")&amp;".png"),1),"⚠️ link tidak dikenali"))</f>
        <v/>
      </c>
      <c r="AQ149" s="66">
        <f>IF($Z149="",0,IF(AND(OR('📊 Dashboard'!$B$4="(Semua)",$F149='📊 Dashboard'!$B$4),OR('📊 Dashboard'!$B$5="(Semua)",$H149='📊 Dashboard'!$B$5),OR('📊 Dashboard'!$B$6="(Semua)",$E149='📊 Dashboard'!$B$6),OR('📊 Dashboard'!$B$7="(Semua)",$AF149='📊 Dashboard'!$B$7),OR('📊 Dashboard'!$B$8="(Semua)",$AG149='📊 Dashboard'!$B$8),OR('📊 Dashboard'!$B$9="(Semua)",$K149='📊 Dashboard'!$B$9)),1,0))</f>
        <v>0</v>
      </c>
      <c r="AR149" s="69"/>
    </row>
    <row r="150" ht="58" customHeight="1" spans="1:44">
      <c r="A150" s="58" t="str">
        <f t="shared" si="14"/>
        <v/>
      </c>
      <c r="B150" s="59"/>
      <c r="C150" s="60"/>
      <c r="D150" s="60"/>
      <c r="E150" s="58" t="str">
        <f t="shared" si="15"/>
        <v/>
      </c>
      <c r="F150" s="61"/>
      <c r="G150" s="61"/>
      <c r="H150" s="61"/>
      <c r="I150" s="61"/>
      <c r="J150" s="61"/>
      <c r="K150" s="61"/>
      <c r="L150" s="61"/>
      <c r="M150" s="61"/>
      <c r="N150" s="62"/>
      <c r="O150" s="62"/>
      <c r="P150" s="62"/>
      <c r="Q150" s="62"/>
      <c r="R150" s="63" t="str">
        <f>IFERROR(IF(OR($N150="",$O150="",$F150=""),"",ROUND(('⚙️ Setelan'!$B$3*'⚙️ Setelan'!$B$4/100)/(ABS($N150-$O150)*VLOOKUP($F150,'⚙️ Setelan'!$A$14:$F$20,4,FALSE)),2)),"")</f>
        <v/>
      </c>
      <c r="S150" s="64"/>
      <c r="T150" s="65" t="str">
        <f>IFERROR(IF(OR($N150="",$O150="",$S150=""),"",ABS($N150-$O150)*$S150*VLOOKUP($F150,'⚙️ Setelan'!$A$14:$F$20,4,FALSE)),"")</f>
        <v/>
      </c>
      <c r="U150" s="63" t="str">
        <f t="shared" si="16"/>
        <v/>
      </c>
      <c r="V150" s="65" t="str">
        <f>IFERROR(IF(OR($Q150="",$N150="",$S150=""),"",($Q150-$N150)*IF($G150="Buy",1,-1)*$S150*VLOOKUP($F150,'⚙️ Setelan'!$A$14:$F$20,4,FALSE)),"")</f>
        <v/>
      </c>
      <c r="W150" s="65" t="str">
        <f>IFERROR(IF(OR($S150="",$F150=""),"",$S150*VLOOKUP($F150,'⚙️ Setelan'!$A$14:$F$20,5,FALSE)),"")</f>
        <v/>
      </c>
      <c r="X150" s="65" t="str">
        <f t="shared" si="17"/>
        <v/>
      </c>
      <c r="Y150" s="63" t="str">
        <f t="shared" si="18"/>
        <v/>
      </c>
      <c r="Z150" s="58" t="str">
        <f t="shared" si="19"/>
        <v/>
      </c>
      <c r="AA150" s="66" t="str">
        <f t="shared" si="20"/>
        <v/>
      </c>
      <c r="AB150" s="62"/>
      <c r="AC150" s="62"/>
      <c r="AD150" s="63" t="str">
        <f>IFERROR(IF(OR($AB150="",$T150="",$T150=0),"",ROUND(ABS($N150-$AB150)*$S150*VLOOKUP($F150,'⚙️ Setelan'!$A$14:$F$20,4,FALSE)/$T150,2)),"")</f>
        <v/>
      </c>
      <c r="AE150" s="63" t="str">
        <f>IFERROR(IF(OR($AC150="",$T150="",$T150=0),"",ROUND(ABS($AC150-$N150)*$S150*VLOOKUP($F150,'⚙️ Setelan'!$A$14:$F$20,4,FALSE)/$T150,2)),"")</f>
        <v/>
      </c>
      <c r="AF150" s="61"/>
      <c r="AG150" s="61"/>
      <c r="AH150" s="61"/>
      <c r="AI150" s="61"/>
      <c r="AJ150" s="61"/>
      <c r="AK150" s="67"/>
      <c r="AL150" s="58" t="str">
        <f>IF(OR($C150="",$B150=""),"",IF(AND($Z149="Loss",$B150=$B149,MOD($C150-$D149,1)*1440&lt;'⚙️ Setelan'!$B$9),"⚠️ Revenge",""))</f>
        <v/>
      </c>
      <c r="AM150" s="68"/>
      <c r="AN150" s="58" t="str">
        <f>IF($AM150="","",IFERROR(_xlfn.IMAGE(IF(REGEXMATCH($AM150,"\.(png|jpg|jpeg|gif)$"),$AM150,"https://s3.tradingview.com/snapshots/"&amp;LOWER(MID(REGEXEXTRACT($AM150,"/x/([A-Za-z0-9]+)"),1,1))&amp;"/"&amp;REGEXEXTRACT($AM150,"/x/([A-Za-z0-9]+)")&amp;".png"),1),"⚠️ link tidak dikenali"))</f>
        <v/>
      </c>
      <c r="AO150" s="68"/>
      <c r="AP150" s="58" t="str">
        <f>IF($AO150="","",IFERROR(_xlfn.IMAGE(IF(REGEXMATCH($AO150,"\.(png|jpg|jpeg|gif)$"),$AO150,"https://s3.tradingview.com/snapshots/"&amp;LOWER(MID(REGEXEXTRACT($AO150,"/x/([A-Za-z0-9]+)"),1,1))&amp;"/"&amp;REGEXEXTRACT($AO150,"/x/([A-Za-z0-9]+)")&amp;".png"),1),"⚠️ link tidak dikenali"))</f>
        <v/>
      </c>
      <c r="AQ150" s="66">
        <f>IF($Z150="",0,IF(AND(OR('📊 Dashboard'!$B$4="(Semua)",$F150='📊 Dashboard'!$B$4),OR('📊 Dashboard'!$B$5="(Semua)",$H150='📊 Dashboard'!$B$5),OR('📊 Dashboard'!$B$6="(Semua)",$E150='📊 Dashboard'!$B$6),OR('📊 Dashboard'!$B$7="(Semua)",$AF150='📊 Dashboard'!$B$7),OR('📊 Dashboard'!$B$8="(Semua)",$AG150='📊 Dashboard'!$B$8),OR('📊 Dashboard'!$B$9="(Semua)",$K150='📊 Dashboard'!$B$9)),1,0))</f>
        <v>0</v>
      </c>
      <c r="AR150" s="69"/>
    </row>
    <row r="151" ht="58" customHeight="1" spans="1:44">
      <c r="A151" s="58" t="str">
        <f t="shared" si="14"/>
        <v/>
      </c>
      <c r="B151" s="59"/>
      <c r="C151" s="60"/>
      <c r="D151" s="60"/>
      <c r="E151" s="58" t="str">
        <f t="shared" si="15"/>
        <v/>
      </c>
      <c r="F151" s="61"/>
      <c r="G151" s="61"/>
      <c r="H151" s="61"/>
      <c r="I151" s="61"/>
      <c r="J151" s="61"/>
      <c r="K151" s="61"/>
      <c r="L151" s="61"/>
      <c r="M151" s="61"/>
      <c r="N151" s="62"/>
      <c r="O151" s="62"/>
      <c r="P151" s="62"/>
      <c r="Q151" s="62"/>
      <c r="R151" s="63" t="str">
        <f>IFERROR(IF(OR($N151="",$O151="",$F151=""),"",ROUND(('⚙️ Setelan'!$B$3*'⚙️ Setelan'!$B$4/100)/(ABS($N151-$O151)*VLOOKUP($F151,'⚙️ Setelan'!$A$14:$F$20,4,FALSE)),2)),"")</f>
        <v/>
      </c>
      <c r="S151" s="64"/>
      <c r="T151" s="65" t="str">
        <f>IFERROR(IF(OR($N151="",$O151="",$S151=""),"",ABS($N151-$O151)*$S151*VLOOKUP($F151,'⚙️ Setelan'!$A$14:$F$20,4,FALSE)),"")</f>
        <v/>
      </c>
      <c r="U151" s="63" t="str">
        <f t="shared" si="16"/>
        <v/>
      </c>
      <c r="V151" s="65" t="str">
        <f>IFERROR(IF(OR($Q151="",$N151="",$S151=""),"",($Q151-$N151)*IF($G151="Buy",1,-1)*$S151*VLOOKUP($F151,'⚙️ Setelan'!$A$14:$F$20,4,FALSE)),"")</f>
        <v/>
      </c>
      <c r="W151" s="65" t="str">
        <f>IFERROR(IF(OR($S151="",$F151=""),"",$S151*VLOOKUP($F151,'⚙️ Setelan'!$A$14:$F$20,5,FALSE)),"")</f>
        <v/>
      </c>
      <c r="X151" s="65" t="str">
        <f t="shared" si="17"/>
        <v/>
      </c>
      <c r="Y151" s="63" t="str">
        <f t="shared" si="18"/>
        <v/>
      </c>
      <c r="Z151" s="58" t="str">
        <f t="shared" si="19"/>
        <v/>
      </c>
      <c r="AA151" s="66" t="str">
        <f t="shared" si="20"/>
        <v/>
      </c>
      <c r="AB151" s="62"/>
      <c r="AC151" s="62"/>
      <c r="AD151" s="63" t="str">
        <f>IFERROR(IF(OR($AB151="",$T151="",$T151=0),"",ROUND(ABS($N151-$AB151)*$S151*VLOOKUP($F151,'⚙️ Setelan'!$A$14:$F$20,4,FALSE)/$T151,2)),"")</f>
        <v/>
      </c>
      <c r="AE151" s="63" t="str">
        <f>IFERROR(IF(OR($AC151="",$T151="",$T151=0),"",ROUND(ABS($AC151-$N151)*$S151*VLOOKUP($F151,'⚙️ Setelan'!$A$14:$F$20,4,FALSE)/$T151,2)),"")</f>
        <v/>
      </c>
      <c r="AF151" s="61"/>
      <c r="AG151" s="61"/>
      <c r="AH151" s="61"/>
      <c r="AI151" s="61"/>
      <c r="AJ151" s="61"/>
      <c r="AK151" s="67"/>
      <c r="AL151" s="58" t="str">
        <f>IF(OR($C151="",$B151=""),"",IF(AND($Z150="Loss",$B151=$B150,MOD($C151-$D150,1)*1440&lt;'⚙️ Setelan'!$B$9),"⚠️ Revenge",""))</f>
        <v/>
      </c>
      <c r="AM151" s="68"/>
      <c r="AN151" s="58" t="str">
        <f>IF($AM151="","",IFERROR(_xlfn.IMAGE(IF(REGEXMATCH($AM151,"\.(png|jpg|jpeg|gif)$"),$AM151,"https://s3.tradingview.com/snapshots/"&amp;LOWER(MID(REGEXEXTRACT($AM151,"/x/([A-Za-z0-9]+)"),1,1))&amp;"/"&amp;REGEXEXTRACT($AM151,"/x/([A-Za-z0-9]+)")&amp;".png"),1),"⚠️ link tidak dikenali"))</f>
        <v/>
      </c>
      <c r="AO151" s="68"/>
      <c r="AP151" s="58" t="str">
        <f>IF($AO151="","",IFERROR(_xlfn.IMAGE(IF(REGEXMATCH($AO151,"\.(png|jpg|jpeg|gif)$"),$AO151,"https://s3.tradingview.com/snapshots/"&amp;LOWER(MID(REGEXEXTRACT($AO151,"/x/([A-Za-z0-9]+)"),1,1))&amp;"/"&amp;REGEXEXTRACT($AO151,"/x/([A-Za-z0-9]+)")&amp;".png"),1),"⚠️ link tidak dikenali"))</f>
        <v/>
      </c>
      <c r="AQ151" s="66">
        <f>IF($Z151="",0,IF(AND(OR('📊 Dashboard'!$B$4="(Semua)",$F151='📊 Dashboard'!$B$4),OR('📊 Dashboard'!$B$5="(Semua)",$H151='📊 Dashboard'!$B$5),OR('📊 Dashboard'!$B$6="(Semua)",$E151='📊 Dashboard'!$B$6),OR('📊 Dashboard'!$B$7="(Semua)",$AF151='📊 Dashboard'!$B$7),OR('📊 Dashboard'!$B$8="(Semua)",$AG151='📊 Dashboard'!$B$8),OR('📊 Dashboard'!$B$9="(Semua)",$K151='📊 Dashboard'!$B$9)),1,0))</f>
        <v>0</v>
      </c>
      <c r="AR151" s="69"/>
    </row>
    <row r="152" ht="58" customHeight="1" spans="1:44">
      <c r="A152" s="58" t="str">
        <f t="shared" si="14"/>
        <v/>
      </c>
      <c r="B152" s="59"/>
      <c r="C152" s="60"/>
      <c r="D152" s="60"/>
      <c r="E152" s="58" t="str">
        <f t="shared" si="15"/>
        <v/>
      </c>
      <c r="F152" s="61"/>
      <c r="G152" s="61"/>
      <c r="H152" s="61"/>
      <c r="I152" s="61"/>
      <c r="J152" s="61"/>
      <c r="K152" s="61"/>
      <c r="L152" s="61"/>
      <c r="M152" s="61"/>
      <c r="N152" s="62"/>
      <c r="O152" s="62"/>
      <c r="P152" s="62"/>
      <c r="Q152" s="62"/>
      <c r="R152" s="63" t="str">
        <f>IFERROR(IF(OR($N152="",$O152="",$F152=""),"",ROUND(('⚙️ Setelan'!$B$3*'⚙️ Setelan'!$B$4/100)/(ABS($N152-$O152)*VLOOKUP($F152,'⚙️ Setelan'!$A$14:$F$20,4,FALSE)),2)),"")</f>
        <v/>
      </c>
      <c r="S152" s="64"/>
      <c r="T152" s="65" t="str">
        <f>IFERROR(IF(OR($N152="",$O152="",$S152=""),"",ABS($N152-$O152)*$S152*VLOOKUP($F152,'⚙️ Setelan'!$A$14:$F$20,4,FALSE)),"")</f>
        <v/>
      </c>
      <c r="U152" s="63" t="str">
        <f t="shared" si="16"/>
        <v/>
      </c>
      <c r="V152" s="65" t="str">
        <f>IFERROR(IF(OR($Q152="",$N152="",$S152=""),"",($Q152-$N152)*IF($G152="Buy",1,-1)*$S152*VLOOKUP($F152,'⚙️ Setelan'!$A$14:$F$20,4,FALSE)),"")</f>
        <v/>
      </c>
      <c r="W152" s="65" t="str">
        <f>IFERROR(IF(OR($S152="",$F152=""),"",$S152*VLOOKUP($F152,'⚙️ Setelan'!$A$14:$F$20,5,FALSE)),"")</f>
        <v/>
      </c>
      <c r="X152" s="65" t="str">
        <f t="shared" si="17"/>
        <v/>
      </c>
      <c r="Y152" s="63" t="str">
        <f t="shared" si="18"/>
        <v/>
      </c>
      <c r="Z152" s="58" t="str">
        <f t="shared" si="19"/>
        <v/>
      </c>
      <c r="AA152" s="66" t="str">
        <f t="shared" si="20"/>
        <v/>
      </c>
      <c r="AB152" s="62"/>
      <c r="AC152" s="62"/>
      <c r="AD152" s="63" t="str">
        <f>IFERROR(IF(OR($AB152="",$T152="",$T152=0),"",ROUND(ABS($N152-$AB152)*$S152*VLOOKUP($F152,'⚙️ Setelan'!$A$14:$F$20,4,FALSE)/$T152,2)),"")</f>
        <v/>
      </c>
      <c r="AE152" s="63" t="str">
        <f>IFERROR(IF(OR($AC152="",$T152="",$T152=0),"",ROUND(ABS($AC152-$N152)*$S152*VLOOKUP($F152,'⚙️ Setelan'!$A$14:$F$20,4,FALSE)/$T152,2)),"")</f>
        <v/>
      </c>
      <c r="AF152" s="61"/>
      <c r="AG152" s="61"/>
      <c r="AH152" s="61"/>
      <c r="AI152" s="61"/>
      <c r="AJ152" s="61"/>
      <c r="AK152" s="67"/>
      <c r="AL152" s="58" t="str">
        <f>IF(OR($C152="",$B152=""),"",IF(AND($Z151="Loss",$B152=$B151,MOD($C152-$D151,1)*1440&lt;'⚙️ Setelan'!$B$9),"⚠️ Revenge",""))</f>
        <v/>
      </c>
      <c r="AM152" s="68"/>
      <c r="AN152" s="58" t="str">
        <f>IF($AM152="","",IFERROR(_xlfn.IMAGE(IF(REGEXMATCH($AM152,"\.(png|jpg|jpeg|gif)$"),$AM152,"https://s3.tradingview.com/snapshots/"&amp;LOWER(MID(REGEXEXTRACT($AM152,"/x/([A-Za-z0-9]+)"),1,1))&amp;"/"&amp;REGEXEXTRACT($AM152,"/x/([A-Za-z0-9]+)")&amp;".png"),1),"⚠️ link tidak dikenali"))</f>
        <v/>
      </c>
      <c r="AO152" s="68"/>
      <c r="AP152" s="58" t="str">
        <f>IF($AO152="","",IFERROR(_xlfn.IMAGE(IF(REGEXMATCH($AO152,"\.(png|jpg|jpeg|gif)$"),$AO152,"https://s3.tradingview.com/snapshots/"&amp;LOWER(MID(REGEXEXTRACT($AO152,"/x/([A-Za-z0-9]+)"),1,1))&amp;"/"&amp;REGEXEXTRACT($AO152,"/x/([A-Za-z0-9]+)")&amp;".png"),1),"⚠️ link tidak dikenali"))</f>
        <v/>
      </c>
      <c r="AQ152" s="66">
        <f>IF($Z152="",0,IF(AND(OR('📊 Dashboard'!$B$4="(Semua)",$F152='📊 Dashboard'!$B$4),OR('📊 Dashboard'!$B$5="(Semua)",$H152='📊 Dashboard'!$B$5),OR('📊 Dashboard'!$B$6="(Semua)",$E152='📊 Dashboard'!$B$6),OR('📊 Dashboard'!$B$7="(Semua)",$AF152='📊 Dashboard'!$B$7),OR('📊 Dashboard'!$B$8="(Semua)",$AG152='📊 Dashboard'!$B$8),OR('📊 Dashboard'!$B$9="(Semua)",$K152='📊 Dashboard'!$B$9)),1,0))</f>
        <v>0</v>
      </c>
      <c r="AR152" s="69"/>
    </row>
    <row r="153" ht="58" customHeight="1" spans="1:44">
      <c r="A153" s="58" t="str">
        <f t="shared" si="14"/>
        <v/>
      </c>
      <c r="B153" s="59"/>
      <c r="C153" s="60"/>
      <c r="D153" s="60"/>
      <c r="E153" s="58" t="str">
        <f t="shared" si="15"/>
        <v/>
      </c>
      <c r="F153" s="61"/>
      <c r="G153" s="61"/>
      <c r="H153" s="61"/>
      <c r="I153" s="61"/>
      <c r="J153" s="61"/>
      <c r="K153" s="61"/>
      <c r="L153" s="61"/>
      <c r="M153" s="61"/>
      <c r="N153" s="62"/>
      <c r="O153" s="62"/>
      <c r="P153" s="62"/>
      <c r="Q153" s="62"/>
      <c r="R153" s="63" t="str">
        <f>IFERROR(IF(OR($N153="",$O153="",$F153=""),"",ROUND(('⚙️ Setelan'!$B$3*'⚙️ Setelan'!$B$4/100)/(ABS($N153-$O153)*VLOOKUP($F153,'⚙️ Setelan'!$A$14:$F$20,4,FALSE)),2)),"")</f>
        <v/>
      </c>
      <c r="S153" s="64"/>
      <c r="T153" s="65" t="str">
        <f>IFERROR(IF(OR($N153="",$O153="",$S153=""),"",ABS($N153-$O153)*$S153*VLOOKUP($F153,'⚙️ Setelan'!$A$14:$F$20,4,FALSE)),"")</f>
        <v/>
      </c>
      <c r="U153" s="63" t="str">
        <f t="shared" si="16"/>
        <v/>
      </c>
      <c r="V153" s="65" t="str">
        <f>IFERROR(IF(OR($Q153="",$N153="",$S153=""),"",($Q153-$N153)*IF($G153="Buy",1,-1)*$S153*VLOOKUP($F153,'⚙️ Setelan'!$A$14:$F$20,4,FALSE)),"")</f>
        <v/>
      </c>
      <c r="W153" s="65" t="str">
        <f>IFERROR(IF(OR($S153="",$F153=""),"",$S153*VLOOKUP($F153,'⚙️ Setelan'!$A$14:$F$20,5,FALSE)),"")</f>
        <v/>
      </c>
      <c r="X153" s="65" t="str">
        <f t="shared" si="17"/>
        <v/>
      </c>
      <c r="Y153" s="63" t="str">
        <f t="shared" si="18"/>
        <v/>
      </c>
      <c r="Z153" s="58" t="str">
        <f t="shared" si="19"/>
        <v/>
      </c>
      <c r="AA153" s="66" t="str">
        <f t="shared" si="20"/>
        <v/>
      </c>
      <c r="AB153" s="62"/>
      <c r="AC153" s="62"/>
      <c r="AD153" s="63" t="str">
        <f>IFERROR(IF(OR($AB153="",$T153="",$T153=0),"",ROUND(ABS($N153-$AB153)*$S153*VLOOKUP($F153,'⚙️ Setelan'!$A$14:$F$20,4,FALSE)/$T153,2)),"")</f>
        <v/>
      </c>
      <c r="AE153" s="63" t="str">
        <f>IFERROR(IF(OR($AC153="",$T153="",$T153=0),"",ROUND(ABS($AC153-$N153)*$S153*VLOOKUP($F153,'⚙️ Setelan'!$A$14:$F$20,4,FALSE)/$T153,2)),"")</f>
        <v/>
      </c>
      <c r="AF153" s="61"/>
      <c r="AG153" s="61"/>
      <c r="AH153" s="61"/>
      <c r="AI153" s="61"/>
      <c r="AJ153" s="61"/>
      <c r="AK153" s="67"/>
      <c r="AL153" s="58" t="str">
        <f>IF(OR($C153="",$B153=""),"",IF(AND($Z152="Loss",$B153=$B152,MOD($C153-$D152,1)*1440&lt;'⚙️ Setelan'!$B$9),"⚠️ Revenge",""))</f>
        <v/>
      </c>
      <c r="AM153" s="68"/>
      <c r="AN153" s="58" t="str">
        <f>IF($AM153="","",IFERROR(_xlfn.IMAGE(IF(REGEXMATCH($AM153,"\.(png|jpg|jpeg|gif)$"),$AM153,"https://s3.tradingview.com/snapshots/"&amp;LOWER(MID(REGEXEXTRACT($AM153,"/x/([A-Za-z0-9]+)"),1,1))&amp;"/"&amp;REGEXEXTRACT($AM153,"/x/([A-Za-z0-9]+)")&amp;".png"),1),"⚠️ link tidak dikenali"))</f>
        <v/>
      </c>
      <c r="AO153" s="68"/>
      <c r="AP153" s="58" t="str">
        <f>IF($AO153="","",IFERROR(_xlfn.IMAGE(IF(REGEXMATCH($AO153,"\.(png|jpg|jpeg|gif)$"),$AO153,"https://s3.tradingview.com/snapshots/"&amp;LOWER(MID(REGEXEXTRACT($AO153,"/x/([A-Za-z0-9]+)"),1,1))&amp;"/"&amp;REGEXEXTRACT($AO153,"/x/([A-Za-z0-9]+)")&amp;".png"),1),"⚠️ link tidak dikenali"))</f>
        <v/>
      </c>
      <c r="AQ153" s="66">
        <f>IF($Z153="",0,IF(AND(OR('📊 Dashboard'!$B$4="(Semua)",$F153='📊 Dashboard'!$B$4),OR('📊 Dashboard'!$B$5="(Semua)",$H153='📊 Dashboard'!$B$5),OR('📊 Dashboard'!$B$6="(Semua)",$E153='📊 Dashboard'!$B$6),OR('📊 Dashboard'!$B$7="(Semua)",$AF153='📊 Dashboard'!$B$7),OR('📊 Dashboard'!$B$8="(Semua)",$AG153='📊 Dashboard'!$B$8),OR('📊 Dashboard'!$B$9="(Semua)",$K153='📊 Dashboard'!$B$9)),1,0))</f>
        <v>0</v>
      </c>
      <c r="AR153" s="69"/>
    </row>
    <row r="154" ht="58" customHeight="1" spans="1:44">
      <c r="A154" s="58" t="str">
        <f t="shared" si="14"/>
        <v/>
      </c>
      <c r="B154" s="59"/>
      <c r="C154" s="60"/>
      <c r="D154" s="60"/>
      <c r="E154" s="58" t="str">
        <f t="shared" si="15"/>
        <v/>
      </c>
      <c r="F154" s="61"/>
      <c r="G154" s="61"/>
      <c r="H154" s="61"/>
      <c r="I154" s="61"/>
      <c r="J154" s="61"/>
      <c r="K154" s="61"/>
      <c r="L154" s="61"/>
      <c r="M154" s="61"/>
      <c r="N154" s="62"/>
      <c r="O154" s="62"/>
      <c r="P154" s="62"/>
      <c r="Q154" s="62"/>
      <c r="R154" s="63" t="str">
        <f>IFERROR(IF(OR($N154="",$O154="",$F154=""),"",ROUND(('⚙️ Setelan'!$B$3*'⚙️ Setelan'!$B$4/100)/(ABS($N154-$O154)*VLOOKUP($F154,'⚙️ Setelan'!$A$14:$F$20,4,FALSE)),2)),"")</f>
        <v/>
      </c>
      <c r="S154" s="64"/>
      <c r="T154" s="65" t="str">
        <f>IFERROR(IF(OR($N154="",$O154="",$S154=""),"",ABS($N154-$O154)*$S154*VLOOKUP($F154,'⚙️ Setelan'!$A$14:$F$20,4,FALSE)),"")</f>
        <v/>
      </c>
      <c r="U154" s="63" t="str">
        <f t="shared" si="16"/>
        <v/>
      </c>
      <c r="V154" s="65" t="str">
        <f>IFERROR(IF(OR($Q154="",$N154="",$S154=""),"",($Q154-$N154)*IF($G154="Buy",1,-1)*$S154*VLOOKUP($F154,'⚙️ Setelan'!$A$14:$F$20,4,FALSE)),"")</f>
        <v/>
      </c>
      <c r="W154" s="65" t="str">
        <f>IFERROR(IF(OR($S154="",$F154=""),"",$S154*VLOOKUP($F154,'⚙️ Setelan'!$A$14:$F$20,5,FALSE)),"")</f>
        <v/>
      </c>
      <c r="X154" s="65" t="str">
        <f t="shared" si="17"/>
        <v/>
      </c>
      <c r="Y154" s="63" t="str">
        <f t="shared" si="18"/>
        <v/>
      </c>
      <c r="Z154" s="58" t="str">
        <f t="shared" si="19"/>
        <v/>
      </c>
      <c r="AA154" s="66" t="str">
        <f t="shared" si="20"/>
        <v/>
      </c>
      <c r="AB154" s="62"/>
      <c r="AC154" s="62"/>
      <c r="AD154" s="63" t="str">
        <f>IFERROR(IF(OR($AB154="",$T154="",$T154=0),"",ROUND(ABS($N154-$AB154)*$S154*VLOOKUP($F154,'⚙️ Setelan'!$A$14:$F$20,4,FALSE)/$T154,2)),"")</f>
        <v/>
      </c>
      <c r="AE154" s="63" t="str">
        <f>IFERROR(IF(OR($AC154="",$T154="",$T154=0),"",ROUND(ABS($AC154-$N154)*$S154*VLOOKUP($F154,'⚙️ Setelan'!$A$14:$F$20,4,FALSE)/$T154,2)),"")</f>
        <v/>
      </c>
      <c r="AF154" s="61"/>
      <c r="AG154" s="61"/>
      <c r="AH154" s="61"/>
      <c r="AI154" s="61"/>
      <c r="AJ154" s="61"/>
      <c r="AK154" s="67"/>
      <c r="AL154" s="58" t="str">
        <f>IF(OR($C154="",$B154=""),"",IF(AND($Z153="Loss",$B154=$B153,MOD($C154-$D153,1)*1440&lt;'⚙️ Setelan'!$B$9),"⚠️ Revenge",""))</f>
        <v/>
      </c>
      <c r="AM154" s="68"/>
      <c r="AN154" s="58" t="str">
        <f>IF($AM154="","",IFERROR(_xlfn.IMAGE(IF(REGEXMATCH($AM154,"\.(png|jpg|jpeg|gif)$"),$AM154,"https://s3.tradingview.com/snapshots/"&amp;LOWER(MID(REGEXEXTRACT($AM154,"/x/([A-Za-z0-9]+)"),1,1))&amp;"/"&amp;REGEXEXTRACT($AM154,"/x/([A-Za-z0-9]+)")&amp;".png"),1),"⚠️ link tidak dikenali"))</f>
        <v/>
      </c>
      <c r="AO154" s="68"/>
      <c r="AP154" s="58" t="str">
        <f>IF($AO154="","",IFERROR(_xlfn.IMAGE(IF(REGEXMATCH($AO154,"\.(png|jpg|jpeg|gif)$"),$AO154,"https://s3.tradingview.com/snapshots/"&amp;LOWER(MID(REGEXEXTRACT($AO154,"/x/([A-Za-z0-9]+)"),1,1))&amp;"/"&amp;REGEXEXTRACT($AO154,"/x/([A-Za-z0-9]+)")&amp;".png"),1),"⚠️ link tidak dikenali"))</f>
        <v/>
      </c>
      <c r="AQ154" s="66">
        <f>IF($Z154="",0,IF(AND(OR('📊 Dashboard'!$B$4="(Semua)",$F154='📊 Dashboard'!$B$4),OR('📊 Dashboard'!$B$5="(Semua)",$H154='📊 Dashboard'!$B$5),OR('📊 Dashboard'!$B$6="(Semua)",$E154='📊 Dashboard'!$B$6),OR('📊 Dashboard'!$B$7="(Semua)",$AF154='📊 Dashboard'!$B$7),OR('📊 Dashboard'!$B$8="(Semua)",$AG154='📊 Dashboard'!$B$8),OR('📊 Dashboard'!$B$9="(Semua)",$K154='📊 Dashboard'!$B$9)),1,0))</f>
        <v>0</v>
      </c>
      <c r="AR154" s="69"/>
    </row>
    <row r="155" ht="58" customHeight="1" spans="1:44">
      <c r="A155" s="58" t="str">
        <f t="shared" si="14"/>
        <v/>
      </c>
      <c r="B155" s="59"/>
      <c r="C155" s="60"/>
      <c r="D155" s="60"/>
      <c r="E155" s="58" t="str">
        <f t="shared" si="15"/>
        <v/>
      </c>
      <c r="F155" s="61"/>
      <c r="G155" s="61"/>
      <c r="H155" s="61"/>
      <c r="I155" s="61"/>
      <c r="J155" s="61"/>
      <c r="K155" s="61"/>
      <c r="L155" s="61"/>
      <c r="M155" s="61"/>
      <c r="N155" s="62"/>
      <c r="O155" s="62"/>
      <c r="P155" s="62"/>
      <c r="Q155" s="62"/>
      <c r="R155" s="63" t="str">
        <f>IFERROR(IF(OR($N155="",$O155="",$F155=""),"",ROUND(('⚙️ Setelan'!$B$3*'⚙️ Setelan'!$B$4/100)/(ABS($N155-$O155)*VLOOKUP($F155,'⚙️ Setelan'!$A$14:$F$20,4,FALSE)),2)),"")</f>
        <v/>
      </c>
      <c r="S155" s="64"/>
      <c r="T155" s="65" t="str">
        <f>IFERROR(IF(OR($N155="",$O155="",$S155=""),"",ABS($N155-$O155)*$S155*VLOOKUP($F155,'⚙️ Setelan'!$A$14:$F$20,4,FALSE)),"")</f>
        <v/>
      </c>
      <c r="U155" s="63" t="str">
        <f t="shared" si="16"/>
        <v/>
      </c>
      <c r="V155" s="65" t="str">
        <f>IFERROR(IF(OR($Q155="",$N155="",$S155=""),"",($Q155-$N155)*IF($G155="Buy",1,-1)*$S155*VLOOKUP($F155,'⚙️ Setelan'!$A$14:$F$20,4,FALSE)),"")</f>
        <v/>
      </c>
      <c r="W155" s="65" t="str">
        <f>IFERROR(IF(OR($S155="",$F155=""),"",$S155*VLOOKUP($F155,'⚙️ Setelan'!$A$14:$F$20,5,FALSE)),"")</f>
        <v/>
      </c>
      <c r="X155" s="65" t="str">
        <f t="shared" si="17"/>
        <v/>
      </c>
      <c r="Y155" s="63" t="str">
        <f t="shared" si="18"/>
        <v/>
      </c>
      <c r="Z155" s="58" t="str">
        <f t="shared" si="19"/>
        <v/>
      </c>
      <c r="AA155" s="66" t="str">
        <f t="shared" si="20"/>
        <v/>
      </c>
      <c r="AB155" s="62"/>
      <c r="AC155" s="62"/>
      <c r="AD155" s="63" t="str">
        <f>IFERROR(IF(OR($AB155="",$T155="",$T155=0),"",ROUND(ABS($N155-$AB155)*$S155*VLOOKUP($F155,'⚙️ Setelan'!$A$14:$F$20,4,FALSE)/$T155,2)),"")</f>
        <v/>
      </c>
      <c r="AE155" s="63" t="str">
        <f>IFERROR(IF(OR($AC155="",$T155="",$T155=0),"",ROUND(ABS($AC155-$N155)*$S155*VLOOKUP($F155,'⚙️ Setelan'!$A$14:$F$20,4,FALSE)/$T155,2)),"")</f>
        <v/>
      </c>
      <c r="AF155" s="61"/>
      <c r="AG155" s="61"/>
      <c r="AH155" s="61"/>
      <c r="AI155" s="61"/>
      <c r="AJ155" s="61"/>
      <c r="AK155" s="67"/>
      <c r="AL155" s="58" t="str">
        <f>IF(OR($C155="",$B155=""),"",IF(AND($Z154="Loss",$B155=$B154,MOD($C155-$D154,1)*1440&lt;'⚙️ Setelan'!$B$9),"⚠️ Revenge",""))</f>
        <v/>
      </c>
      <c r="AM155" s="68"/>
      <c r="AN155" s="58" t="str">
        <f>IF($AM155="","",IFERROR(_xlfn.IMAGE(IF(REGEXMATCH($AM155,"\.(png|jpg|jpeg|gif)$"),$AM155,"https://s3.tradingview.com/snapshots/"&amp;LOWER(MID(REGEXEXTRACT($AM155,"/x/([A-Za-z0-9]+)"),1,1))&amp;"/"&amp;REGEXEXTRACT($AM155,"/x/([A-Za-z0-9]+)")&amp;".png"),1),"⚠️ link tidak dikenali"))</f>
        <v/>
      </c>
      <c r="AO155" s="68"/>
      <c r="AP155" s="58" t="str">
        <f>IF($AO155="","",IFERROR(_xlfn.IMAGE(IF(REGEXMATCH($AO155,"\.(png|jpg|jpeg|gif)$"),$AO155,"https://s3.tradingview.com/snapshots/"&amp;LOWER(MID(REGEXEXTRACT($AO155,"/x/([A-Za-z0-9]+)"),1,1))&amp;"/"&amp;REGEXEXTRACT($AO155,"/x/([A-Za-z0-9]+)")&amp;".png"),1),"⚠️ link tidak dikenali"))</f>
        <v/>
      </c>
      <c r="AQ155" s="66">
        <f>IF($Z155="",0,IF(AND(OR('📊 Dashboard'!$B$4="(Semua)",$F155='📊 Dashboard'!$B$4),OR('📊 Dashboard'!$B$5="(Semua)",$H155='📊 Dashboard'!$B$5),OR('📊 Dashboard'!$B$6="(Semua)",$E155='📊 Dashboard'!$B$6),OR('📊 Dashboard'!$B$7="(Semua)",$AF155='📊 Dashboard'!$B$7),OR('📊 Dashboard'!$B$8="(Semua)",$AG155='📊 Dashboard'!$B$8),OR('📊 Dashboard'!$B$9="(Semua)",$K155='📊 Dashboard'!$B$9)),1,0))</f>
        <v>0</v>
      </c>
      <c r="AR155" s="69"/>
    </row>
    <row r="156" ht="58" customHeight="1" spans="1:44">
      <c r="A156" s="58" t="str">
        <f t="shared" si="14"/>
        <v/>
      </c>
      <c r="B156" s="59"/>
      <c r="C156" s="60"/>
      <c r="D156" s="60"/>
      <c r="E156" s="58" t="str">
        <f t="shared" si="15"/>
        <v/>
      </c>
      <c r="F156" s="61"/>
      <c r="G156" s="61"/>
      <c r="H156" s="61"/>
      <c r="I156" s="61"/>
      <c r="J156" s="61"/>
      <c r="K156" s="61"/>
      <c r="L156" s="61"/>
      <c r="M156" s="61"/>
      <c r="N156" s="62"/>
      <c r="O156" s="62"/>
      <c r="P156" s="62"/>
      <c r="Q156" s="62"/>
      <c r="R156" s="63" t="str">
        <f>IFERROR(IF(OR($N156="",$O156="",$F156=""),"",ROUND(('⚙️ Setelan'!$B$3*'⚙️ Setelan'!$B$4/100)/(ABS($N156-$O156)*VLOOKUP($F156,'⚙️ Setelan'!$A$14:$F$20,4,FALSE)),2)),"")</f>
        <v/>
      </c>
      <c r="S156" s="64"/>
      <c r="T156" s="65" t="str">
        <f>IFERROR(IF(OR($N156="",$O156="",$S156=""),"",ABS($N156-$O156)*$S156*VLOOKUP($F156,'⚙️ Setelan'!$A$14:$F$20,4,FALSE)),"")</f>
        <v/>
      </c>
      <c r="U156" s="63" t="str">
        <f t="shared" si="16"/>
        <v/>
      </c>
      <c r="V156" s="65" t="str">
        <f>IFERROR(IF(OR($Q156="",$N156="",$S156=""),"",($Q156-$N156)*IF($G156="Buy",1,-1)*$S156*VLOOKUP($F156,'⚙️ Setelan'!$A$14:$F$20,4,FALSE)),"")</f>
        <v/>
      </c>
      <c r="W156" s="65" t="str">
        <f>IFERROR(IF(OR($S156="",$F156=""),"",$S156*VLOOKUP($F156,'⚙️ Setelan'!$A$14:$F$20,5,FALSE)),"")</f>
        <v/>
      </c>
      <c r="X156" s="65" t="str">
        <f t="shared" si="17"/>
        <v/>
      </c>
      <c r="Y156" s="63" t="str">
        <f t="shared" si="18"/>
        <v/>
      </c>
      <c r="Z156" s="58" t="str">
        <f t="shared" si="19"/>
        <v/>
      </c>
      <c r="AA156" s="66" t="str">
        <f t="shared" si="20"/>
        <v/>
      </c>
      <c r="AB156" s="62"/>
      <c r="AC156" s="62"/>
      <c r="AD156" s="63" t="str">
        <f>IFERROR(IF(OR($AB156="",$T156="",$T156=0),"",ROUND(ABS($N156-$AB156)*$S156*VLOOKUP($F156,'⚙️ Setelan'!$A$14:$F$20,4,FALSE)/$T156,2)),"")</f>
        <v/>
      </c>
      <c r="AE156" s="63" t="str">
        <f>IFERROR(IF(OR($AC156="",$T156="",$T156=0),"",ROUND(ABS($AC156-$N156)*$S156*VLOOKUP($F156,'⚙️ Setelan'!$A$14:$F$20,4,FALSE)/$T156,2)),"")</f>
        <v/>
      </c>
      <c r="AF156" s="61"/>
      <c r="AG156" s="61"/>
      <c r="AH156" s="61"/>
      <c r="AI156" s="61"/>
      <c r="AJ156" s="61"/>
      <c r="AK156" s="67"/>
      <c r="AL156" s="58" t="str">
        <f>IF(OR($C156="",$B156=""),"",IF(AND($Z155="Loss",$B156=$B155,MOD($C156-$D155,1)*1440&lt;'⚙️ Setelan'!$B$9),"⚠️ Revenge",""))</f>
        <v/>
      </c>
      <c r="AM156" s="68"/>
      <c r="AN156" s="58" t="str">
        <f>IF($AM156="","",IFERROR(_xlfn.IMAGE(IF(REGEXMATCH($AM156,"\.(png|jpg|jpeg|gif)$"),$AM156,"https://s3.tradingview.com/snapshots/"&amp;LOWER(MID(REGEXEXTRACT($AM156,"/x/([A-Za-z0-9]+)"),1,1))&amp;"/"&amp;REGEXEXTRACT($AM156,"/x/([A-Za-z0-9]+)")&amp;".png"),1),"⚠️ link tidak dikenali"))</f>
        <v/>
      </c>
      <c r="AO156" s="68"/>
      <c r="AP156" s="58" t="str">
        <f>IF($AO156="","",IFERROR(_xlfn.IMAGE(IF(REGEXMATCH($AO156,"\.(png|jpg|jpeg|gif)$"),$AO156,"https://s3.tradingview.com/snapshots/"&amp;LOWER(MID(REGEXEXTRACT($AO156,"/x/([A-Za-z0-9]+)"),1,1))&amp;"/"&amp;REGEXEXTRACT($AO156,"/x/([A-Za-z0-9]+)")&amp;".png"),1),"⚠️ link tidak dikenali"))</f>
        <v/>
      </c>
      <c r="AQ156" s="66">
        <f>IF($Z156="",0,IF(AND(OR('📊 Dashboard'!$B$4="(Semua)",$F156='📊 Dashboard'!$B$4),OR('📊 Dashboard'!$B$5="(Semua)",$H156='📊 Dashboard'!$B$5),OR('📊 Dashboard'!$B$6="(Semua)",$E156='📊 Dashboard'!$B$6),OR('📊 Dashboard'!$B$7="(Semua)",$AF156='📊 Dashboard'!$B$7),OR('📊 Dashboard'!$B$8="(Semua)",$AG156='📊 Dashboard'!$B$8),OR('📊 Dashboard'!$B$9="(Semua)",$K156='📊 Dashboard'!$B$9)),1,0))</f>
        <v>0</v>
      </c>
      <c r="AR156" s="69"/>
    </row>
    <row r="157" ht="58" customHeight="1" spans="1:44">
      <c r="A157" s="58" t="str">
        <f t="shared" si="14"/>
        <v/>
      </c>
      <c r="B157" s="59"/>
      <c r="C157" s="60"/>
      <c r="D157" s="60"/>
      <c r="E157" s="58" t="str">
        <f t="shared" si="15"/>
        <v/>
      </c>
      <c r="F157" s="61"/>
      <c r="G157" s="61"/>
      <c r="H157" s="61"/>
      <c r="I157" s="61"/>
      <c r="J157" s="61"/>
      <c r="K157" s="61"/>
      <c r="L157" s="61"/>
      <c r="M157" s="61"/>
      <c r="N157" s="62"/>
      <c r="O157" s="62"/>
      <c r="P157" s="62"/>
      <c r="Q157" s="62"/>
      <c r="R157" s="63" t="str">
        <f>IFERROR(IF(OR($N157="",$O157="",$F157=""),"",ROUND(('⚙️ Setelan'!$B$3*'⚙️ Setelan'!$B$4/100)/(ABS($N157-$O157)*VLOOKUP($F157,'⚙️ Setelan'!$A$14:$F$20,4,FALSE)),2)),"")</f>
        <v/>
      </c>
      <c r="S157" s="64"/>
      <c r="T157" s="65" t="str">
        <f>IFERROR(IF(OR($N157="",$O157="",$S157=""),"",ABS($N157-$O157)*$S157*VLOOKUP($F157,'⚙️ Setelan'!$A$14:$F$20,4,FALSE)),"")</f>
        <v/>
      </c>
      <c r="U157" s="63" t="str">
        <f t="shared" si="16"/>
        <v/>
      </c>
      <c r="V157" s="65" t="str">
        <f>IFERROR(IF(OR($Q157="",$N157="",$S157=""),"",($Q157-$N157)*IF($G157="Buy",1,-1)*$S157*VLOOKUP($F157,'⚙️ Setelan'!$A$14:$F$20,4,FALSE)),"")</f>
        <v/>
      </c>
      <c r="W157" s="65" t="str">
        <f>IFERROR(IF(OR($S157="",$F157=""),"",$S157*VLOOKUP($F157,'⚙️ Setelan'!$A$14:$F$20,5,FALSE)),"")</f>
        <v/>
      </c>
      <c r="X157" s="65" t="str">
        <f t="shared" si="17"/>
        <v/>
      </c>
      <c r="Y157" s="63" t="str">
        <f t="shared" si="18"/>
        <v/>
      </c>
      <c r="Z157" s="58" t="str">
        <f t="shared" si="19"/>
        <v/>
      </c>
      <c r="AA157" s="66" t="str">
        <f t="shared" si="20"/>
        <v/>
      </c>
      <c r="AB157" s="62"/>
      <c r="AC157" s="62"/>
      <c r="AD157" s="63" t="str">
        <f>IFERROR(IF(OR($AB157="",$T157="",$T157=0),"",ROUND(ABS($N157-$AB157)*$S157*VLOOKUP($F157,'⚙️ Setelan'!$A$14:$F$20,4,FALSE)/$T157,2)),"")</f>
        <v/>
      </c>
      <c r="AE157" s="63" t="str">
        <f>IFERROR(IF(OR($AC157="",$T157="",$T157=0),"",ROUND(ABS($AC157-$N157)*$S157*VLOOKUP($F157,'⚙️ Setelan'!$A$14:$F$20,4,FALSE)/$T157,2)),"")</f>
        <v/>
      </c>
      <c r="AF157" s="61"/>
      <c r="AG157" s="61"/>
      <c r="AH157" s="61"/>
      <c r="AI157" s="61"/>
      <c r="AJ157" s="61"/>
      <c r="AK157" s="67"/>
      <c r="AL157" s="58" t="str">
        <f>IF(OR($C157="",$B157=""),"",IF(AND($Z156="Loss",$B157=$B156,MOD($C157-$D156,1)*1440&lt;'⚙️ Setelan'!$B$9),"⚠️ Revenge",""))</f>
        <v/>
      </c>
      <c r="AM157" s="68"/>
      <c r="AN157" s="58" t="str">
        <f>IF($AM157="","",IFERROR(_xlfn.IMAGE(IF(REGEXMATCH($AM157,"\.(png|jpg|jpeg|gif)$"),$AM157,"https://s3.tradingview.com/snapshots/"&amp;LOWER(MID(REGEXEXTRACT($AM157,"/x/([A-Za-z0-9]+)"),1,1))&amp;"/"&amp;REGEXEXTRACT($AM157,"/x/([A-Za-z0-9]+)")&amp;".png"),1),"⚠️ link tidak dikenali"))</f>
        <v/>
      </c>
      <c r="AO157" s="68"/>
      <c r="AP157" s="58" t="str">
        <f>IF($AO157="","",IFERROR(_xlfn.IMAGE(IF(REGEXMATCH($AO157,"\.(png|jpg|jpeg|gif)$"),$AO157,"https://s3.tradingview.com/snapshots/"&amp;LOWER(MID(REGEXEXTRACT($AO157,"/x/([A-Za-z0-9]+)"),1,1))&amp;"/"&amp;REGEXEXTRACT($AO157,"/x/([A-Za-z0-9]+)")&amp;".png"),1),"⚠️ link tidak dikenali"))</f>
        <v/>
      </c>
      <c r="AQ157" s="66">
        <f>IF($Z157="",0,IF(AND(OR('📊 Dashboard'!$B$4="(Semua)",$F157='📊 Dashboard'!$B$4),OR('📊 Dashboard'!$B$5="(Semua)",$H157='📊 Dashboard'!$B$5),OR('📊 Dashboard'!$B$6="(Semua)",$E157='📊 Dashboard'!$B$6),OR('📊 Dashboard'!$B$7="(Semua)",$AF157='📊 Dashboard'!$B$7),OR('📊 Dashboard'!$B$8="(Semua)",$AG157='📊 Dashboard'!$B$8),OR('📊 Dashboard'!$B$9="(Semua)",$K157='📊 Dashboard'!$B$9)),1,0))</f>
        <v>0</v>
      </c>
      <c r="AR157" s="69"/>
    </row>
    <row r="158" ht="58" customHeight="1" spans="1:44">
      <c r="A158" s="58" t="str">
        <f t="shared" si="14"/>
        <v/>
      </c>
      <c r="B158" s="59"/>
      <c r="C158" s="60"/>
      <c r="D158" s="60"/>
      <c r="E158" s="58" t="str">
        <f t="shared" si="15"/>
        <v/>
      </c>
      <c r="F158" s="61"/>
      <c r="G158" s="61"/>
      <c r="H158" s="61"/>
      <c r="I158" s="61"/>
      <c r="J158" s="61"/>
      <c r="K158" s="61"/>
      <c r="L158" s="61"/>
      <c r="M158" s="61"/>
      <c r="N158" s="62"/>
      <c r="O158" s="62"/>
      <c r="P158" s="62"/>
      <c r="Q158" s="62"/>
      <c r="R158" s="63" t="str">
        <f>IFERROR(IF(OR($N158="",$O158="",$F158=""),"",ROUND(('⚙️ Setelan'!$B$3*'⚙️ Setelan'!$B$4/100)/(ABS($N158-$O158)*VLOOKUP($F158,'⚙️ Setelan'!$A$14:$F$20,4,FALSE)),2)),"")</f>
        <v/>
      </c>
      <c r="S158" s="64"/>
      <c r="T158" s="65" t="str">
        <f>IFERROR(IF(OR($N158="",$O158="",$S158=""),"",ABS($N158-$O158)*$S158*VLOOKUP($F158,'⚙️ Setelan'!$A$14:$F$20,4,FALSE)),"")</f>
        <v/>
      </c>
      <c r="U158" s="63" t="str">
        <f t="shared" si="16"/>
        <v/>
      </c>
      <c r="V158" s="65" t="str">
        <f>IFERROR(IF(OR($Q158="",$N158="",$S158=""),"",($Q158-$N158)*IF($G158="Buy",1,-1)*$S158*VLOOKUP($F158,'⚙️ Setelan'!$A$14:$F$20,4,FALSE)),"")</f>
        <v/>
      </c>
      <c r="W158" s="65" t="str">
        <f>IFERROR(IF(OR($S158="",$F158=""),"",$S158*VLOOKUP($F158,'⚙️ Setelan'!$A$14:$F$20,5,FALSE)),"")</f>
        <v/>
      </c>
      <c r="X158" s="65" t="str">
        <f t="shared" si="17"/>
        <v/>
      </c>
      <c r="Y158" s="63" t="str">
        <f t="shared" si="18"/>
        <v/>
      </c>
      <c r="Z158" s="58" t="str">
        <f t="shared" si="19"/>
        <v/>
      </c>
      <c r="AA158" s="66" t="str">
        <f t="shared" si="20"/>
        <v/>
      </c>
      <c r="AB158" s="62"/>
      <c r="AC158" s="62"/>
      <c r="AD158" s="63" t="str">
        <f>IFERROR(IF(OR($AB158="",$T158="",$T158=0),"",ROUND(ABS($N158-$AB158)*$S158*VLOOKUP($F158,'⚙️ Setelan'!$A$14:$F$20,4,FALSE)/$T158,2)),"")</f>
        <v/>
      </c>
      <c r="AE158" s="63" t="str">
        <f>IFERROR(IF(OR($AC158="",$T158="",$T158=0),"",ROUND(ABS($AC158-$N158)*$S158*VLOOKUP($F158,'⚙️ Setelan'!$A$14:$F$20,4,FALSE)/$T158,2)),"")</f>
        <v/>
      </c>
      <c r="AF158" s="61"/>
      <c r="AG158" s="61"/>
      <c r="AH158" s="61"/>
      <c r="AI158" s="61"/>
      <c r="AJ158" s="61"/>
      <c r="AK158" s="67"/>
      <c r="AL158" s="58" t="str">
        <f>IF(OR($C158="",$B158=""),"",IF(AND($Z157="Loss",$B158=$B157,MOD($C158-$D157,1)*1440&lt;'⚙️ Setelan'!$B$9),"⚠️ Revenge",""))</f>
        <v/>
      </c>
      <c r="AM158" s="68"/>
      <c r="AN158" s="58" t="str">
        <f>IF($AM158="","",IFERROR(_xlfn.IMAGE(IF(REGEXMATCH($AM158,"\.(png|jpg|jpeg|gif)$"),$AM158,"https://s3.tradingview.com/snapshots/"&amp;LOWER(MID(REGEXEXTRACT($AM158,"/x/([A-Za-z0-9]+)"),1,1))&amp;"/"&amp;REGEXEXTRACT($AM158,"/x/([A-Za-z0-9]+)")&amp;".png"),1),"⚠️ link tidak dikenali"))</f>
        <v/>
      </c>
      <c r="AO158" s="68"/>
      <c r="AP158" s="58" t="str">
        <f>IF($AO158="","",IFERROR(_xlfn.IMAGE(IF(REGEXMATCH($AO158,"\.(png|jpg|jpeg|gif)$"),$AO158,"https://s3.tradingview.com/snapshots/"&amp;LOWER(MID(REGEXEXTRACT($AO158,"/x/([A-Za-z0-9]+)"),1,1))&amp;"/"&amp;REGEXEXTRACT($AO158,"/x/([A-Za-z0-9]+)")&amp;".png"),1),"⚠️ link tidak dikenali"))</f>
        <v/>
      </c>
      <c r="AQ158" s="66">
        <f>IF($Z158="",0,IF(AND(OR('📊 Dashboard'!$B$4="(Semua)",$F158='📊 Dashboard'!$B$4),OR('📊 Dashboard'!$B$5="(Semua)",$H158='📊 Dashboard'!$B$5),OR('📊 Dashboard'!$B$6="(Semua)",$E158='📊 Dashboard'!$B$6),OR('📊 Dashboard'!$B$7="(Semua)",$AF158='📊 Dashboard'!$B$7),OR('📊 Dashboard'!$B$8="(Semua)",$AG158='📊 Dashboard'!$B$8),OR('📊 Dashboard'!$B$9="(Semua)",$K158='📊 Dashboard'!$B$9)),1,0))</f>
        <v>0</v>
      </c>
      <c r="AR158" s="69"/>
    </row>
    <row r="159" ht="58" customHeight="1" spans="1:44">
      <c r="A159" s="58" t="str">
        <f t="shared" si="14"/>
        <v/>
      </c>
      <c r="B159" s="59"/>
      <c r="C159" s="60"/>
      <c r="D159" s="60"/>
      <c r="E159" s="58" t="str">
        <f t="shared" si="15"/>
        <v/>
      </c>
      <c r="F159" s="61"/>
      <c r="G159" s="61"/>
      <c r="H159" s="61"/>
      <c r="I159" s="61"/>
      <c r="J159" s="61"/>
      <c r="K159" s="61"/>
      <c r="L159" s="61"/>
      <c r="M159" s="61"/>
      <c r="N159" s="62"/>
      <c r="O159" s="62"/>
      <c r="P159" s="62"/>
      <c r="Q159" s="62"/>
      <c r="R159" s="63" t="str">
        <f>IFERROR(IF(OR($N159="",$O159="",$F159=""),"",ROUND(('⚙️ Setelan'!$B$3*'⚙️ Setelan'!$B$4/100)/(ABS($N159-$O159)*VLOOKUP($F159,'⚙️ Setelan'!$A$14:$F$20,4,FALSE)),2)),"")</f>
        <v/>
      </c>
      <c r="S159" s="64"/>
      <c r="T159" s="65" t="str">
        <f>IFERROR(IF(OR($N159="",$O159="",$S159=""),"",ABS($N159-$O159)*$S159*VLOOKUP($F159,'⚙️ Setelan'!$A$14:$F$20,4,FALSE)),"")</f>
        <v/>
      </c>
      <c r="U159" s="63" t="str">
        <f t="shared" si="16"/>
        <v/>
      </c>
      <c r="V159" s="65" t="str">
        <f>IFERROR(IF(OR($Q159="",$N159="",$S159=""),"",($Q159-$N159)*IF($G159="Buy",1,-1)*$S159*VLOOKUP($F159,'⚙️ Setelan'!$A$14:$F$20,4,FALSE)),"")</f>
        <v/>
      </c>
      <c r="W159" s="65" t="str">
        <f>IFERROR(IF(OR($S159="",$F159=""),"",$S159*VLOOKUP($F159,'⚙️ Setelan'!$A$14:$F$20,5,FALSE)),"")</f>
        <v/>
      </c>
      <c r="X159" s="65" t="str">
        <f t="shared" si="17"/>
        <v/>
      </c>
      <c r="Y159" s="63" t="str">
        <f t="shared" si="18"/>
        <v/>
      </c>
      <c r="Z159" s="58" t="str">
        <f t="shared" si="19"/>
        <v/>
      </c>
      <c r="AA159" s="66" t="str">
        <f t="shared" si="20"/>
        <v/>
      </c>
      <c r="AB159" s="62"/>
      <c r="AC159" s="62"/>
      <c r="AD159" s="63" t="str">
        <f>IFERROR(IF(OR($AB159="",$T159="",$T159=0),"",ROUND(ABS($N159-$AB159)*$S159*VLOOKUP($F159,'⚙️ Setelan'!$A$14:$F$20,4,FALSE)/$T159,2)),"")</f>
        <v/>
      </c>
      <c r="AE159" s="63" t="str">
        <f>IFERROR(IF(OR($AC159="",$T159="",$T159=0),"",ROUND(ABS($AC159-$N159)*$S159*VLOOKUP($F159,'⚙️ Setelan'!$A$14:$F$20,4,FALSE)/$T159,2)),"")</f>
        <v/>
      </c>
      <c r="AF159" s="61"/>
      <c r="AG159" s="61"/>
      <c r="AH159" s="61"/>
      <c r="AI159" s="61"/>
      <c r="AJ159" s="61"/>
      <c r="AK159" s="67"/>
      <c r="AL159" s="58" t="str">
        <f>IF(OR($C159="",$B159=""),"",IF(AND($Z158="Loss",$B159=$B158,MOD($C159-$D158,1)*1440&lt;'⚙️ Setelan'!$B$9),"⚠️ Revenge",""))</f>
        <v/>
      </c>
      <c r="AM159" s="68"/>
      <c r="AN159" s="58" t="str">
        <f>IF($AM159="","",IFERROR(_xlfn.IMAGE(IF(REGEXMATCH($AM159,"\.(png|jpg|jpeg|gif)$"),$AM159,"https://s3.tradingview.com/snapshots/"&amp;LOWER(MID(REGEXEXTRACT($AM159,"/x/([A-Za-z0-9]+)"),1,1))&amp;"/"&amp;REGEXEXTRACT($AM159,"/x/([A-Za-z0-9]+)")&amp;".png"),1),"⚠️ link tidak dikenali"))</f>
        <v/>
      </c>
      <c r="AO159" s="68"/>
      <c r="AP159" s="58" t="str">
        <f>IF($AO159="","",IFERROR(_xlfn.IMAGE(IF(REGEXMATCH($AO159,"\.(png|jpg|jpeg|gif)$"),$AO159,"https://s3.tradingview.com/snapshots/"&amp;LOWER(MID(REGEXEXTRACT($AO159,"/x/([A-Za-z0-9]+)"),1,1))&amp;"/"&amp;REGEXEXTRACT($AO159,"/x/([A-Za-z0-9]+)")&amp;".png"),1),"⚠️ link tidak dikenali"))</f>
        <v/>
      </c>
      <c r="AQ159" s="66">
        <f>IF($Z159="",0,IF(AND(OR('📊 Dashboard'!$B$4="(Semua)",$F159='📊 Dashboard'!$B$4),OR('📊 Dashboard'!$B$5="(Semua)",$H159='📊 Dashboard'!$B$5),OR('📊 Dashboard'!$B$6="(Semua)",$E159='📊 Dashboard'!$B$6),OR('📊 Dashboard'!$B$7="(Semua)",$AF159='📊 Dashboard'!$B$7),OR('📊 Dashboard'!$B$8="(Semua)",$AG159='📊 Dashboard'!$B$8),OR('📊 Dashboard'!$B$9="(Semua)",$K159='📊 Dashboard'!$B$9)),1,0))</f>
        <v>0</v>
      </c>
      <c r="AR159" s="69"/>
    </row>
    <row r="160" ht="58" customHeight="1" spans="1:44">
      <c r="A160" s="58" t="str">
        <f t="shared" si="14"/>
        <v/>
      </c>
      <c r="B160" s="59"/>
      <c r="C160" s="60"/>
      <c r="D160" s="60"/>
      <c r="E160" s="58" t="str">
        <f t="shared" si="15"/>
        <v/>
      </c>
      <c r="F160" s="61"/>
      <c r="G160" s="61"/>
      <c r="H160" s="61"/>
      <c r="I160" s="61"/>
      <c r="J160" s="61"/>
      <c r="K160" s="61"/>
      <c r="L160" s="61"/>
      <c r="M160" s="61"/>
      <c r="N160" s="62"/>
      <c r="O160" s="62"/>
      <c r="P160" s="62"/>
      <c r="Q160" s="62"/>
      <c r="R160" s="63" t="str">
        <f>IFERROR(IF(OR($N160="",$O160="",$F160=""),"",ROUND(('⚙️ Setelan'!$B$3*'⚙️ Setelan'!$B$4/100)/(ABS($N160-$O160)*VLOOKUP($F160,'⚙️ Setelan'!$A$14:$F$20,4,FALSE)),2)),"")</f>
        <v/>
      </c>
      <c r="S160" s="64"/>
      <c r="T160" s="65" t="str">
        <f>IFERROR(IF(OR($N160="",$O160="",$S160=""),"",ABS($N160-$O160)*$S160*VLOOKUP($F160,'⚙️ Setelan'!$A$14:$F$20,4,FALSE)),"")</f>
        <v/>
      </c>
      <c r="U160" s="63" t="str">
        <f t="shared" si="16"/>
        <v/>
      </c>
      <c r="V160" s="65" t="str">
        <f>IFERROR(IF(OR($Q160="",$N160="",$S160=""),"",($Q160-$N160)*IF($G160="Buy",1,-1)*$S160*VLOOKUP($F160,'⚙️ Setelan'!$A$14:$F$20,4,FALSE)),"")</f>
        <v/>
      </c>
      <c r="W160" s="65" t="str">
        <f>IFERROR(IF(OR($S160="",$F160=""),"",$S160*VLOOKUP($F160,'⚙️ Setelan'!$A$14:$F$20,5,FALSE)),"")</f>
        <v/>
      </c>
      <c r="X160" s="65" t="str">
        <f t="shared" si="17"/>
        <v/>
      </c>
      <c r="Y160" s="63" t="str">
        <f t="shared" si="18"/>
        <v/>
      </c>
      <c r="Z160" s="58" t="str">
        <f t="shared" si="19"/>
        <v/>
      </c>
      <c r="AA160" s="66" t="str">
        <f t="shared" si="20"/>
        <v/>
      </c>
      <c r="AB160" s="62"/>
      <c r="AC160" s="62"/>
      <c r="AD160" s="63" t="str">
        <f>IFERROR(IF(OR($AB160="",$T160="",$T160=0),"",ROUND(ABS($N160-$AB160)*$S160*VLOOKUP($F160,'⚙️ Setelan'!$A$14:$F$20,4,FALSE)/$T160,2)),"")</f>
        <v/>
      </c>
      <c r="AE160" s="63" t="str">
        <f>IFERROR(IF(OR($AC160="",$T160="",$T160=0),"",ROUND(ABS($AC160-$N160)*$S160*VLOOKUP($F160,'⚙️ Setelan'!$A$14:$F$20,4,FALSE)/$T160,2)),"")</f>
        <v/>
      </c>
      <c r="AF160" s="61"/>
      <c r="AG160" s="61"/>
      <c r="AH160" s="61"/>
      <c r="AI160" s="61"/>
      <c r="AJ160" s="61"/>
      <c r="AK160" s="67"/>
      <c r="AL160" s="58" t="str">
        <f>IF(OR($C160="",$B160=""),"",IF(AND($Z159="Loss",$B160=$B159,MOD($C160-$D159,1)*1440&lt;'⚙️ Setelan'!$B$9),"⚠️ Revenge",""))</f>
        <v/>
      </c>
      <c r="AM160" s="68"/>
      <c r="AN160" s="58" t="str">
        <f>IF($AM160="","",IFERROR(_xlfn.IMAGE(IF(REGEXMATCH($AM160,"\.(png|jpg|jpeg|gif)$"),$AM160,"https://s3.tradingview.com/snapshots/"&amp;LOWER(MID(REGEXEXTRACT($AM160,"/x/([A-Za-z0-9]+)"),1,1))&amp;"/"&amp;REGEXEXTRACT($AM160,"/x/([A-Za-z0-9]+)")&amp;".png"),1),"⚠️ link tidak dikenali"))</f>
        <v/>
      </c>
      <c r="AO160" s="68"/>
      <c r="AP160" s="58" t="str">
        <f>IF($AO160="","",IFERROR(_xlfn.IMAGE(IF(REGEXMATCH($AO160,"\.(png|jpg|jpeg|gif)$"),$AO160,"https://s3.tradingview.com/snapshots/"&amp;LOWER(MID(REGEXEXTRACT($AO160,"/x/([A-Za-z0-9]+)"),1,1))&amp;"/"&amp;REGEXEXTRACT($AO160,"/x/([A-Za-z0-9]+)")&amp;".png"),1),"⚠️ link tidak dikenali"))</f>
        <v/>
      </c>
      <c r="AQ160" s="66">
        <f>IF($Z160="",0,IF(AND(OR('📊 Dashboard'!$B$4="(Semua)",$F160='📊 Dashboard'!$B$4),OR('📊 Dashboard'!$B$5="(Semua)",$H160='📊 Dashboard'!$B$5),OR('📊 Dashboard'!$B$6="(Semua)",$E160='📊 Dashboard'!$B$6),OR('📊 Dashboard'!$B$7="(Semua)",$AF160='📊 Dashboard'!$B$7),OR('📊 Dashboard'!$B$8="(Semua)",$AG160='📊 Dashboard'!$B$8),OR('📊 Dashboard'!$B$9="(Semua)",$K160='📊 Dashboard'!$B$9)),1,0))</f>
        <v>0</v>
      </c>
      <c r="AR160" s="69"/>
    </row>
    <row r="161" ht="58" customHeight="1" spans="1:44">
      <c r="A161" s="58" t="str">
        <f t="shared" si="14"/>
        <v/>
      </c>
      <c r="B161" s="59"/>
      <c r="C161" s="60"/>
      <c r="D161" s="60"/>
      <c r="E161" s="58" t="str">
        <f t="shared" si="15"/>
        <v/>
      </c>
      <c r="F161" s="61"/>
      <c r="G161" s="61"/>
      <c r="H161" s="61"/>
      <c r="I161" s="61"/>
      <c r="J161" s="61"/>
      <c r="K161" s="61"/>
      <c r="L161" s="61"/>
      <c r="M161" s="61"/>
      <c r="N161" s="62"/>
      <c r="O161" s="62"/>
      <c r="P161" s="62"/>
      <c r="Q161" s="62"/>
      <c r="R161" s="63" t="str">
        <f>IFERROR(IF(OR($N161="",$O161="",$F161=""),"",ROUND(('⚙️ Setelan'!$B$3*'⚙️ Setelan'!$B$4/100)/(ABS($N161-$O161)*VLOOKUP($F161,'⚙️ Setelan'!$A$14:$F$20,4,FALSE)),2)),"")</f>
        <v/>
      </c>
      <c r="S161" s="64"/>
      <c r="T161" s="65" t="str">
        <f>IFERROR(IF(OR($N161="",$O161="",$S161=""),"",ABS($N161-$O161)*$S161*VLOOKUP($F161,'⚙️ Setelan'!$A$14:$F$20,4,FALSE)),"")</f>
        <v/>
      </c>
      <c r="U161" s="63" t="str">
        <f t="shared" si="16"/>
        <v/>
      </c>
      <c r="V161" s="65" t="str">
        <f>IFERROR(IF(OR($Q161="",$N161="",$S161=""),"",($Q161-$N161)*IF($G161="Buy",1,-1)*$S161*VLOOKUP($F161,'⚙️ Setelan'!$A$14:$F$20,4,FALSE)),"")</f>
        <v/>
      </c>
      <c r="W161" s="65" t="str">
        <f>IFERROR(IF(OR($S161="",$F161=""),"",$S161*VLOOKUP($F161,'⚙️ Setelan'!$A$14:$F$20,5,FALSE)),"")</f>
        <v/>
      </c>
      <c r="X161" s="65" t="str">
        <f t="shared" si="17"/>
        <v/>
      </c>
      <c r="Y161" s="63" t="str">
        <f t="shared" si="18"/>
        <v/>
      </c>
      <c r="Z161" s="58" t="str">
        <f t="shared" si="19"/>
        <v/>
      </c>
      <c r="AA161" s="66" t="str">
        <f t="shared" si="20"/>
        <v/>
      </c>
      <c r="AB161" s="62"/>
      <c r="AC161" s="62"/>
      <c r="AD161" s="63" t="str">
        <f>IFERROR(IF(OR($AB161="",$T161="",$T161=0),"",ROUND(ABS($N161-$AB161)*$S161*VLOOKUP($F161,'⚙️ Setelan'!$A$14:$F$20,4,FALSE)/$T161,2)),"")</f>
        <v/>
      </c>
      <c r="AE161" s="63" t="str">
        <f>IFERROR(IF(OR($AC161="",$T161="",$T161=0),"",ROUND(ABS($AC161-$N161)*$S161*VLOOKUP($F161,'⚙️ Setelan'!$A$14:$F$20,4,FALSE)/$T161,2)),"")</f>
        <v/>
      </c>
      <c r="AF161" s="61"/>
      <c r="AG161" s="61"/>
      <c r="AH161" s="61"/>
      <c r="AI161" s="61"/>
      <c r="AJ161" s="61"/>
      <c r="AK161" s="67"/>
      <c r="AL161" s="58" t="str">
        <f>IF(OR($C161="",$B161=""),"",IF(AND($Z160="Loss",$B161=$B160,MOD($C161-$D160,1)*1440&lt;'⚙️ Setelan'!$B$9),"⚠️ Revenge",""))</f>
        <v/>
      </c>
      <c r="AM161" s="68"/>
      <c r="AN161" s="58" t="str">
        <f>IF($AM161="","",IFERROR(_xlfn.IMAGE(IF(REGEXMATCH($AM161,"\.(png|jpg|jpeg|gif)$"),$AM161,"https://s3.tradingview.com/snapshots/"&amp;LOWER(MID(REGEXEXTRACT($AM161,"/x/([A-Za-z0-9]+)"),1,1))&amp;"/"&amp;REGEXEXTRACT($AM161,"/x/([A-Za-z0-9]+)")&amp;".png"),1),"⚠️ link tidak dikenali"))</f>
        <v/>
      </c>
      <c r="AO161" s="68"/>
      <c r="AP161" s="58" t="str">
        <f>IF($AO161="","",IFERROR(_xlfn.IMAGE(IF(REGEXMATCH($AO161,"\.(png|jpg|jpeg|gif)$"),$AO161,"https://s3.tradingview.com/snapshots/"&amp;LOWER(MID(REGEXEXTRACT($AO161,"/x/([A-Za-z0-9]+)"),1,1))&amp;"/"&amp;REGEXEXTRACT($AO161,"/x/([A-Za-z0-9]+)")&amp;".png"),1),"⚠️ link tidak dikenali"))</f>
        <v/>
      </c>
      <c r="AQ161" s="66">
        <f>IF($Z161="",0,IF(AND(OR('📊 Dashboard'!$B$4="(Semua)",$F161='📊 Dashboard'!$B$4),OR('📊 Dashboard'!$B$5="(Semua)",$H161='📊 Dashboard'!$B$5),OR('📊 Dashboard'!$B$6="(Semua)",$E161='📊 Dashboard'!$B$6),OR('📊 Dashboard'!$B$7="(Semua)",$AF161='📊 Dashboard'!$B$7),OR('📊 Dashboard'!$B$8="(Semua)",$AG161='📊 Dashboard'!$B$8),OR('📊 Dashboard'!$B$9="(Semua)",$K161='📊 Dashboard'!$B$9)),1,0))</f>
        <v>0</v>
      </c>
      <c r="AR161" s="69"/>
    </row>
    <row r="162" ht="58" customHeight="1" spans="1:44">
      <c r="A162" s="58" t="str">
        <f t="shared" si="14"/>
        <v/>
      </c>
      <c r="B162" s="59"/>
      <c r="C162" s="60"/>
      <c r="D162" s="60"/>
      <c r="E162" s="58" t="str">
        <f t="shared" si="15"/>
        <v/>
      </c>
      <c r="F162" s="61"/>
      <c r="G162" s="61"/>
      <c r="H162" s="61"/>
      <c r="I162" s="61"/>
      <c r="J162" s="61"/>
      <c r="K162" s="61"/>
      <c r="L162" s="61"/>
      <c r="M162" s="61"/>
      <c r="N162" s="62"/>
      <c r="O162" s="62"/>
      <c r="P162" s="62"/>
      <c r="Q162" s="62"/>
      <c r="R162" s="63" t="str">
        <f>IFERROR(IF(OR($N162="",$O162="",$F162=""),"",ROUND(('⚙️ Setelan'!$B$3*'⚙️ Setelan'!$B$4/100)/(ABS($N162-$O162)*VLOOKUP($F162,'⚙️ Setelan'!$A$14:$F$20,4,FALSE)),2)),"")</f>
        <v/>
      </c>
      <c r="S162" s="64"/>
      <c r="T162" s="65" t="str">
        <f>IFERROR(IF(OR($N162="",$O162="",$S162=""),"",ABS($N162-$O162)*$S162*VLOOKUP($F162,'⚙️ Setelan'!$A$14:$F$20,4,FALSE)),"")</f>
        <v/>
      </c>
      <c r="U162" s="63" t="str">
        <f t="shared" si="16"/>
        <v/>
      </c>
      <c r="V162" s="65" t="str">
        <f>IFERROR(IF(OR($Q162="",$N162="",$S162=""),"",($Q162-$N162)*IF($G162="Buy",1,-1)*$S162*VLOOKUP($F162,'⚙️ Setelan'!$A$14:$F$20,4,FALSE)),"")</f>
        <v/>
      </c>
      <c r="W162" s="65" t="str">
        <f>IFERROR(IF(OR($S162="",$F162=""),"",$S162*VLOOKUP($F162,'⚙️ Setelan'!$A$14:$F$20,5,FALSE)),"")</f>
        <v/>
      </c>
      <c r="X162" s="65" t="str">
        <f t="shared" si="17"/>
        <v/>
      </c>
      <c r="Y162" s="63" t="str">
        <f t="shared" si="18"/>
        <v/>
      </c>
      <c r="Z162" s="58" t="str">
        <f t="shared" si="19"/>
        <v/>
      </c>
      <c r="AA162" s="66" t="str">
        <f t="shared" si="20"/>
        <v/>
      </c>
      <c r="AB162" s="62"/>
      <c r="AC162" s="62"/>
      <c r="AD162" s="63" t="str">
        <f>IFERROR(IF(OR($AB162="",$T162="",$T162=0),"",ROUND(ABS($N162-$AB162)*$S162*VLOOKUP($F162,'⚙️ Setelan'!$A$14:$F$20,4,FALSE)/$T162,2)),"")</f>
        <v/>
      </c>
      <c r="AE162" s="63" t="str">
        <f>IFERROR(IF(OR($AC162="",$T162="",$T162=0),"",ROUND(ABS($AC162-$N162)*$S162*VLOOKUP($F162,'⚙️ Setelan'!$A$14:$F$20,4,FALSE)/$T162,2)),"")</f>
        <v/>
      </c>
      <c r="AF162" s="61"/>
      <c r="AG162" s="61"/>
      <c r="AH162" s="61"/>
      <c r="AI162" s="61"/>
      <c r="AJ162" s="61"/>
      <c r="AK162" s="67"/>
      <c r="AL162" s="58" t="str">
        <f>IF(OR($C162="",$B162=""),"",IF(AND($Z161="Loss",$B162=$B161,MOD($C162-$D161,1)*1440&lt;'⚙️ Setelan'!$B$9),"⚠️ Revenge",""))</f>
        <v/>
      </c>
      <c r="AM162" s="68"/>
      <c r="AN162" s="58" t="str">
        <f>IF($AM162="","",IFERROR(_xlfn.IMAGE(IF(REGEXMATCH($AM162,"\.(png|jpg|jpeg|gif)$"),$AM162,"https://s3.tradingview.com/snapshots/"&amp;LOWER(MID(REGEXEXTRACT($AM162,"/x/([A-Za-z0-9]+)"),1,1))&amp;"/"&amp;REGEXEXTRACT($AM162,"/x/([A-Za-z0-9]+)")&amp;".png"),1),"⚠️ link tidak dikenali"))</f>
        <v/>
      </c>
      <c r="AO162" s="68"/>
      <c r="AP162" s="58" t="str">
        <f>IF($AO162="","",IFERROR(_xlfn.IMAGE(IF(REGEXMATCH($AO162,"\.(png|jpg|jpeg|gif)$"),$AO162,"https://s3.tradingview.com/snapshots/"&amp;LOWER(MID(REGEXEXTRACT($AO162,"/x/([A-Za-z0-9]+)"),1,1))&amp;"/"&amp;REGEXEXTRACT($AO162,"/x/([A-Za-z0-9]+)")&amp;".png"),1),"⚠️ link tidak dikenali"))</f>
        <v/>
      </c>
      <c r="AQ162" s="66">
        <f>IF($Z162="",0,IF(AND(OR('📊 Dashboard'!$B$4="(Semua)",$F162='📊 Dashboard'!$B$4),OR('📊 Dashboard'!$B$5="(Semua)",$H162='📊 Dashboard'!$B$5),OR('📊 Dashboard'!$B$6="(Semua)",$E162='📊 Dashboard'!$B$6),OR('📊 Dashboard'!$B$7="(Semua)",$AF162='📊 Dashboard'!$B$7),OR('📊 Dashboard'!$B$8="(Semua)",$AG162='📊 Dashboard'!$B$8),OR('📊 Dashboard'!$B$9="(Semua)",$K162='📊 Dashboard'!$B$9)),1,0))</f>
        <v>0</v>
      </c>
      <c r="AR162" s="69"/>
    </row>
    <row r="163" ht="58" customHeight="1" spans="1:44">
      <c r="A163" s="58" t="str">
        <f t="shared" si="14"/>
        <v/>
      </c>
      <c r="B163" s="59"/>
      <c r="C163" s="60"/>
      <c r="D163" s="60"/>
      <c r="E163" s="58" t="str">
        <f t="shared" si="15"/>
        <v/>
      </c>
      <c r="F163" s="61"/>
      <c r="G163" s="61"/>
      <c r="H163" s="61"/>
      <c r="I163" s="61"/>
      <c r="J163" s="61"/>
      <c r="K163" s="61"/>
      <c r="L163" s="61"/>
      <c r="M163" s="61"/>
      <c r="N163" s="62"/>
      <c r="O163" s="62"/>
      <c r="P163" s="62"/>
      <c r="Q163" s="62"/>
      <c r="R163" s="63" t="str">
        <f>IFERROR(IF(OR($N163="",$O163="",$F163=""),"",ROUND(('⚙️ Setelan'!$B$3*'⚙️ Setelan'!$B$4/100)/(ABS($N163-$O163)*VLOOKUP($F163,'⚙️ Setelan'!$A$14:$F$20,4,FALSE)),2)),"")</f>
        <v/>
      </c>
      <c r="S163" s="64"/>
      <c r="T163" s="65" t="str">
        <f>IFERROR(IF(OR($N163="",$O163="",$S163=""),"",ABS($N163-$O163)*$S163*VLOOKUP($F163,'⚙️ Setelan'!$A$14:$F$20,4,FALSE)),"")</f>
        <v/>
      </c>
      <c r="U163" s="63" t="str">
        <f t="shared" si="16"/>
        <v/>
      </c>
      <c r="V163" s="65" t="str">
        <f>IFERROR(IF(OR($Q163="",$N163="",$S163=""),"",($Q163-$N163)*IF($G163="Buy",1,-1)*$S163*VLOOKUP($F163,'⚙️ Setelan'!$A$14:$F$20,4,FALSE)),"")</f>
        <v/>
      </c>
      <c r="W163" s="65" t="str">
        <f>IFERROR(IF(OR($S163="",$F163=""),"",$S163*VLOOKUP($F163,'⚙️ Setelan'!$A$14:$F$20,5,FALSE)),"")</f>
        <v/>
      </c>
      <c r="X163" s="65" t="str">
        <f t="shared" si="17"/>
        <v/>
      </c>
      <c r="Y163" s="63" t="str">
        <f t="shared" si="18"/>
        <v/>
      </c>
      <c r="Z163" s="58" t="str">
        <f t="shared" si="19"/>
        <v/>
      </c>
      <c r="AA163" s="66" t="str">
        <f t="shared" si="20"/>
        <v/>
      </c>
      <c r="AB163" s="62"/>
      <c r="AC163" s="62"/>
      <c r="AD163" s="63" t="str">
        <f>IFERROR(IF(OR($AB163="",$T163="",$T163=0),"",ROUND(ABS($N163-$AB163)*$S163*VLOOKUP($F163,'⚙️ Setelan'!$A$14:$F$20,4,FALSE)/$T163,2)),"")</f>
        <v/>
      </c>
      <c r="AE163" s="63" t="str">
        <f>IFERROR(IF(OR($AC163="",$T163="",$T163=0),"",ROUND(ABS($AC163-$N163)*$S163*VLOOKUP($F163,'⚙️ Setelan'!$A$14:$F$20,4,FALSE)/$T163,2)),"")</f>
        <v/>
      </c>
      <c r="AF163" s="61"/>
      <c r="AG163" s="61"/>
      <c r="AH163" s="61"/>
      <c r="AI163" s="61"/>
      <c r="AJ163" s="61"/>
      <c r="AK163" s="67"/>
      <c r="AL163" s="58" t="str">
        <f>IF(OR($C163="",$B163=""),"",IF(AND($Z162="Loss",$B163=$B162,MOD($C163-$D162,1)*1440&lt;'⚙️ Setelan'!$B$9),"⚠️ Revenge",""))</f>
        <v/>
      </c>
      <c r="AM163" s="68"/>
      <c r="AN163" s="58" t="str">
        <f>IF($AM163="","",IFERROR(_xlfn.IMAGE(IF(REGEXMATCH($AM163,"\.(png|jpg|jpeg|gif)$"),$AM163,"https://s3.tradingview.com/snapshots/"&amp;LOWER(MID(REGEXEXTRACT($AM163,"/x/([A-Za-z0-9]+)"),1,1))&amp;"/"&amp;REGEXEXTRACT($AM163,"/x/([A-Za-z0-9]+)")&amp;".png"),1),"⚠️ link tidak dikenali"))</f>
        <v/>
      </c>
      <c r="AO163" s="68"/>
      <c r="AP163" s="58" t="str">
        <f>IF($AO163="","",IFERROR(_xlfn.IMAGE(IF(REGEXMATCH($AO163,"\.(png|jpg|jpeg|gif)$"),$AO163,"https://s3.tradingview.com/snapshots/"&amp;LOWER(MID(REGEXEXTRACT($AO163,"/x/([A-Za-z0-9]+)"),1,1))&amp;"/"&amp;REGEXEXTRACT($AO163,"/x/([A-Za-z0-9]+)")&amp;".png"),1),"⚠️ link tidak dikenali"))</f>
        <v/>
      </c>
      <c r="AQ163" s="66">
        <f>IF($Z163="",0,IF(AND(OR('📊 Dashboard'!$B$4="(Semua)",$F163='📊 Dashboard'!$B$4),OR('📊 Dashboard'!$B$5="(Semua)",$H163='📊 Dashboard'!$B$5),OR('📊 Dashboard'!$B$6="(Semua)",$E163='📊 Dashboard'!$B$6),OR('📊 Dashboard'!$B$7="(Semua)",$AF163='📊 Dashboard'!$B$7),OR('📊 Dashboard'!$B$8="(Semua)",$AG163='📊 Dashboard'!$B$8),OR('📊 Dashboard'!$B$9="(Semua)",$K163='📊 Dashboard'!$B$9)),1,0))</f>
        <v>0</v>
      </c>
      <c r="AR163" s="69"/>
    </row>
    <row r="164" ht="58" customHeight="1" spans="1:44">
      <c r="A164" s="58" t="str">
        <f t="shared" si="14"/>
        <v/>
      </c>
      <c r="B164" s="59"/>
      <c r="C164" s="60"/>
      <c r="D164" s="60"/>
      <c r="E164" s="58" t="str">
        <f t="shared" si="15"/>
        <v/>
      </c>
      <c r="F164" s="61"/>
      <c r="G164" s="61"/>
      <c r="H164" s="61"/>
      <c r="I164" s="61"/>
      <c r="J164" s="61"/>
      <c r="K164" s="61"/>
      <c r="L164" s="61"/>
      <c r="M164" s="61"/>
      <c r="N164" s="62"/>
      <c r="O164" s="62"/>
      <c r="P164" s="62"/>
      <c r="Q164" s="62"/>
      <c r="R164" s="63" t="str">
        <f>IFERROR(IF(OR($N164="",$O164="",$F164=""),"",ROUND(('⚙️ Setelan'!$B$3*'⚙️ Setelan'!$B$4/100)/(ABS($N164-$O164)*VLOOKUP($F164,'⚙️ Setelan'!$A$14:$F$20,4,FALSE)),2)),"")</f>
        <v/>
      </c>
      <c r="S164" s="64"/>
      <c r="T164" s="65" t="str">
        <f>IFERROR(IF(OR($N164="",$O164="",$S164=""),"",ABS($N164-$O164)*$S164*VLOOKUP($F164,'⚙️ Setelan'!$A$14:$F$20,4,FALSE)),"")</f>
        <v/>
      </c>
      <c r="U164" s="63" t="str">
        <f t="shared" si="16"/>
        <v/>
      </c>
      <c r="V164" s="65" t="str">
        <f>IFERROR(IF(OR($Q164="",$N164="",$S164=""),"",($Q164-$N164)*IF($G164="Buy",1,-1)*$S164*VLOOKUP($F164,'⚙️ Setelan'!$A$14:$F$20,4,FALSE)),"")</f>
        <v/>
      </c>
      <c r="W164" s="65" t="str">
        <f>IFERROR(IF(OR($S164="",$F164=""),"",$S164*VLOOKUP($F164,'⚙️ Setelan'!$A$14:$F$20,5,FALSE)),"")</f>
        <v/>
      </c>
      <c r="X164" s="65" t="str">
        <f t="shared" si="17"/>
        <v/>
      </c>
      <c r="Y164" s="63" t="str">
        <f t="shared" si="18"/>
        <v/>
      </c>
      <c r="Z164" s="58" t="str">
        <f t="shared" si="19"/>
        <v/>
      </c>
      <c r="AA164" s="66" t="str">
        <f t="shared" si="20"/>
        <v/>
      </c>
      <c r="AB164" s="62"/>
      <c r="AC164" s="62"/>
      <c r="AD164" s="63" t="str">
        <f>IFERROR(IF(OR($AB164="",$T164="",$T164=0),"",ROUND(ABS($N164-$AB164)*$S164*VLOOKUP($F164,'⚙️ Setelan'!$A$14:$F$20,4,FALSE)/$T164,2)),"")</f>
        <v/>
      </c>
      <c r="AE164" s="63" t="str">
        <f>IFERROR(IF(OR($AC164="",$T164="",$T164=0),"",ROUND(ABS($AC164-$N164)*$S164*VLOOKUP($F164,'⚙️ Setelan'!$A$14:$F$20,4,FALSE)/$T164,2)),"")</f>
        <v/>
      </c>
      <c r="AF164" s="61"/>
      <c r="AG164" s="61"/>
      <c r="AH164" s="61"/>
      <c r="AI164" s="61"/>
      <c r="AJ164" s="61"/>
      <c r="AK164" s="67"/>
      <c r="AL164" s="58" t="str">
        <f>IF(OR($C164="",$B164=""),"",IF(AND($Z163="Loss",$B164=$B163,MOD($C164-$D163,1)*1440&lt;'⚙️ Setelan'!$B$9),"⚠️ Revenge",""))</f>
        <v/>
      </c>
      <c r="AM164" s="68"/>
      <c r="AN164" s="58" t="str">
        <f>IF($AM164="","",IFERROR(_xlfn.IMAGE(IF(REGEXMATCH($AM164,"\.(png|jpg|jpeg|gif)$"),$AM164,"https://s3.tradingview.com/snapshots/"&amp;LOWER(MID(REGEXEXTRACT($AM164,"/x/([A-Za-z0-9]+)"),1,1))&amp;"/"&amp;REGEXEXTRACT($AM164,"/x/([A-Za-z0-9]+)")&amp;".png"),1),"⚠️ link tidak dikenali"))</f>
        <v/>
      </c>
      <c r="AO164" s="68"/>
      <c r="AP164" s="58" t="str">
        <f>IF($AO164="","",IFERROR(_xlfn.IMAGE(IF(REGEXMATCH($AO164,"\.(png|jpg|jpeg|gif)$"),$AO164,"https://s3.tradingview.com/snapshots/"&amp;LOWER(MID(REGEXEXTRACT($AO164,"/x/([A-Za-z0-9]+)"),1,1))&amp;"/"&amp;REGEXEXTRACT($AO164,"/x/([A-Za-z0-9]+)")&amp;".png"),1),"⚠️ link tidak dikenali"))</f>
        <v/>
      </c>
      <c r="AQ164" s="66">
        <f>IF($Z164="",0,IF(AND(OR('📊 Dashboard'!$B$4="(Semua)",$F164='📊 Dashboard'!$B$4),OR('📊 Dashboard'!$B$5="(Semua)",$H164='📊 Dashboard'!$B$5),OR('📊 Dashboard'!$B$6="(Semua)",$E164='📊 Dashboard'!$B$6),OR('📊 Dashboard'!$B$7="(Semua)",$AF164='📊 Dashboard'!$B$7),OR('📊 Dashboard'!$B$8="(Semua)",$AG164='📊 Dashboard'!$B$8),OR('📊 Dashboard'!$B$9="(Semua)",$K164='📊 Dashboard'!$B$9)),1,0))</f>
        <v>0</v>
      </c>
      <c r="AR164" s="69"/>
    </row>
    <row r="165" ht="58" customHeight="1" spans="1:44">
      <c r="A165" s="58" t="str">
        <f t="shared" si="14"/>
        <v/>
      </c>
      <c r="B165" s="59"/>
      <c r="C165" s="60"/>
      <c r="D165" s="60"/>
      <c r="E165" s="58" t="str">
        <f t="shared" si="15"/>
        <v/>
      </c>
      <c r="F165" s="61"/>
      <c r="G165" s="61"/>
      <c r="H165" s="61"/>
      <c r="I165" s="61"/>
      <c r="J165" s="61"/>
      <c r="K165" s="61"/>
      <c r="L165" s="61"/>
      <c r="M165" s="61"/>
      <c r="N165" s="62"/>
      <c r="O165" s="62"/>
      <c r="P165" s="62"/>
      <c r="Q165" s="62"/>
      <c r="R165" s="63" t="str">
        <f>IFERROR(IF(OR($N165="",$O165="",$F165=""),"",ROUND(('⚙️ Setelan'!$B$3*'⚙️ Setelan'!$B$4/100)/(ABS($N165-$O165)*VLOOKUP($F165,'⚙️ Setelan'!$A$14:$F$20,4,FALSE)),2)),"")</f>
        <v/>
      </c>
      <c r="S165" s="64"/>
      <c r="T165" s="65" t="str">
        <f>IFERROR(IF(OR($N165="",$O165="",$S165=""),"",ABS($N165-$O165)*$S165*VLOOKUP($F165,'⚙️ Setelan'!$A$14:$F$20,4,FALSE)),"")</f>
        <v/>
      </c>
      <c r="U165" s="63" t="str">
        <f t="shared" si="16"/>
        <v/>
      </c>
      <c r="V165" s="65" t="str">
        <f>IFERROR(IF(OR($Q165="",$N165="",$S165=""),"",($Q165-$N165)*IF($G165="Buy",1,-1)*$S165*VLOOKUP($F165,'⚙️ Setelan'!$A$14:$F$20,4,FALSE)),"")</f>
        <v/>
      </c>
      <c r="W165" s="65" t="str">
        <f>IFERROR(IF(OR($S165="",$F165=""),"",$S165*VLOOKUP($F165,'⚙️ Setelan'!$A$14:$F$20,5,FALSE)),"")</f>
        <v/>
      </c>
      <c r="X165" s="65" t="str">
        <f t="shared" si="17"/>
        <v/>
      </c>
      <c r="Y165" s="63" t="str">
        <f t="shared" si="18"/>
        <v/>
      </c>
      <c r="Z165" s="58" t="str">
        <f t="shared" si="19"/>
        <v/>
      </c>
      <c r="AA165" s="66" t="str">
        <f t="shared" si="20"/>
        <v/>
      </c>
      <c r="AB165" s="62"/>
      <c r="AC165" s="62"/>
      <c r="AD165" s="63" t="str">
        <f>IFERROR(IF(OR($AB165="",$T165="",$T165=0),"",ROUND(ABS($N165-$AB165)*$S165*VLOOKUP($F165,'⚙️ Setelan'!$A$14:$F$20,4,FALSE)/$T165,2)),"")</f>
        <v/>
      </c>
      <c r="AE165" s="63" t="str">
        <f>IFERROR(IF(OR($AC165="",$T165="",$T165=0),"",ROUND(ABS($AC165-$N165)*$S165*VLOOKUP($F165,'⚙️ Setelan'!$A$14:$F$20,4,FALSE)/$T165,2)),"")</f>
        <v/>
      </c>
      <c r="AF165" s="61"/>
      <c r="AG165" s="61"/>
      <c r="AH165" s="61"/>
      <c r="AI165" s="61"/>
      <c r="AJ165" s="61"/>
      <c r="AK165" s="67"/>
      <c r="AL165" s="58" t="str">
        <f>IF(OR($C165="",$B165=""),"",IF(AND($Z164="Loss",$B165=$B164,MOD($C165-$D164,1)*1440&lt;'⚙️ Setelan'!$B$9),"⚠️ Revenge",""))</f>
        <v/>
      </c>
      <c r="AM165" s="68"/>
      <c r="AN165" s="58" t="str">
        <f>IF($AM165="","",IFERROR(_xlfn.IMAGE(IF(REGEXMATCH($AM165,"\.(png|jpg|jpeg|gif)$"),$AM165,"https://s3.tradingview.com/snapshots/"&amp;LOWER(MID(REGEXEXTRACT($AM165,"/x/([A-Za-z0-9]+)"),1,1))&amp;"/"&amp;REGEXEXTRACT($AM165,"/x/([A-Za-z0-9]+)")&amp;".png"),1),"⚠️ link tidak dikenali"))</f>
        <v/>
      </c>
      <c r="AO165" s="68"/>
      <c r="AP165" s="58" t="str">
        <f>IF($AO165="","",IFERROR(_xlfn.IMAGE(IF(REGEXMATCH($AO165,"\.(png|jpg|jpeg|gif)$"),$AO165,"https://s3.tradingview.com/snapshots/"&amp;LOWER(MID(REGEXEXTRACT($AO165,"/x/([A-Za-z0-9]+)"),1,1))&amp;"/"&amp;REGEXEXTRACT($AO165,"/x/([A-Za-z0-9]+)")&amp;".png"),1),"⚠️ link tidak dikenali"))</f>
        <v/>
      </c>
      <c r="AQ165" s="66">
        <f>IF($Z165="",0,IF(AND(OR('📊 Dashboard'!$B$4="(Semua)",$F165='📊 Dashboard'!$B$4),OR('📊 Dashboard'!$B$5="(Semua)",$H165='📊 Dashboard'!$B$5),OR('📊 Dashboard'!$B$6="(Semua)",$E165='📊 Dashboard'!$B$6),OR('📊 Dashboard'!$B$7="(Semua)",$AF165='📊 Dashboard'!$B$7),OR('📊 Dashboard'!$B$8="(Semua)",$AG165='📊 Dashboard'!$B$8),OR('📊 Dashboard'!$B$9="(Semua)",$K165='📊 Dashboard'!$B$9)),1,0))</f>
        <v>0</v>
      </c>
      <c r="AR165" s="69"/>
    </row>
    <row r="166" ht="58" customHeight="1" spans="1:44">
      <c r="A166" s="58" t="str">
        <f t="shared" si="14"/>
        <v/>
      </c>
      <c r="B166" s="59"/>
      <c r="C166" s="60"/>
      <c r="D166" s="60"/>
      <c r="E166" s="58" t="str">
        <f t="shared" si="15"/>
        <v/>
      </c>
      <c r="F166" s="61"/>
      <c r="G166" s="61"/>
      <c r="H166" s="61"/>
      <c r="I166" s="61"/>
      <c r="J166" s="61"/>
      <c r="K166" s="61"/>
      <c r="L166" s="61"/>
      <c r="M166" s="61"/>
      <c r="N166" s="62"/>
      <c r="O166" s="62"/>
      <c r="P166" s="62"/>
      <c r="Q166" s="62"/>
      <c r="R166" s="63" t="str">
        <f>IFERROR(IF(OR($N166="",$O166="",$F166=""),"",ROUND(('⚙️ Setelan'!$B$3*'⚙️ Setelan'!$B$4/100)/(ABS($N166-$O166)*VLOOKUP($F166,'⚙️ Setelan'!$A$14:$F$20,4,FALSE)),2)),"")</f>
        <v/>
      </c>
      <c r="S166" s="64"/>
      <c r="T166" s="65" t="str">
        <f>IFERROR(IF(OR($N166="",$O166="",$S166=""),"",ABS($N166-$O166)*$S166*VLOOKUP($F166,'⚙️ Setelan'!$A$14:$F$20,4,FALSE)),"")</f>
        <v/>
      </c>
      <c r="U166" s="63" t="str">
        <f t="shared" si="16"/>
        <v/>
      </c>
      <c r="V166" s="65" t="str">
        <f>IFERROR(IF(OR($Q166="",$N166="",$S166=""),"",($Q166-$N166)*IF($G166="Buy",1,-1)*$S166*VLOOKUP($F166,'⚙️ Setelan'!$A$14:$F$20,4,FALSE)),"")</f>
        <v/>
      </c>
      <c r="W166" s="65" t="str">
        <f>IFERROR(IF(OR($S166="",$F166=""),"",$S166*VLOOKUP($F166,'⚙️ Setelan'!$A$14:$F$20,5,FALSE)),"")</f>
        <v/>
      </c>
      <c r="X166" s="65" t="str">
        <f t="shared" si="17"/>
        <v/>
      </c>
      <c r="Y166" s="63" t="str">
        <f t="shared" si="18"/>
        <v/>
      </c>
      <c r="Z166" s="58" t="str">
        <f t="shared" si="19"/>
        <v/>
      </c>
      <c r="AA166" s="66" t="str">
        <f t="shared" si="20"/>
        <v/>
      </c>
      <c r="AB166" s="62"/>
      <c r="AC166" s="62"/>
      <c r="AD166" s="63" t="str">
        <f>IFERROR(IF(OR($AB166="",$T166="",$T166=0),"",ROUND(ABS($N166-$AB166)*$S166*VLOOKUP($F166,'⚙️ Setelan'!$A$14:$F$20,4,FALSE)/$T166,2)),"")</f>
        <v/>
      </c>
      <c r="AE166" s="63" t="str">
        <f>IFERROR(IF(OR($AC166="",$T166="",$T166=0),"",ROUND(ABS($AC166-$N166)*$S166*VLOOKUP($F166,'⚙️ Setelan'!$A$14:$F$20,4,FALSE)/$T166,2)),"")</f>
        <v/>
      </c>
      <c r="AF166" s="61"/>
      <c r="AG166" s="61"/>
      <c r="AH166" s="61"/>
      <c r="AI166" s="61"/>
      <c r="AJ166" s="61"/>
      <c r="AK166" s="67"/>
      <c r="AL166" s="58" t="str">
        <f>IF(OR($C166="",$B166=""),"",IF(AND($Z165="Loss",$B166=$B165,MOD($C166-$D165,1)*1440&lt;'⚙️ Setelan'!$B$9),"⚠️ Revenge",""))</f>
        <v/>
      </c>
      <c r="AM166" s="68"/>
      <c r="AN166" s="58" t="str">
        <f>IF($AM166="","",IFERROR(_xlfn.IMAGE(IF(REGEXMATCH($AM166,"\.(png|jpg|jpeg|gif)$"),$AM166,"https://s3.tradingview.com/snapshots/"&amp;LOWER(MID(REGEXEXTRACT($AM166,"/x/([A-Za-z0-9]+)"),1,1))&amp;"/"&amp;REGEXEXTRACT($AM166,"/x/([A-Za-z0-9]+)")&amp;".png"),1),"⚠️ link tidak dikenali"))</f>
        <v/>
      </c>
      <c r="AO166" s="68"/>
      <c r="AP166" s="58" t="str">
        <f>IF($AO166="","",IFERROR(_xlfn.IMAGE(IF(REGEXMATCH($AO166,"\.(png|jpg|jpeg|gif)$"),$AO166,"https://s3.tradingview.com/snapshots/"&amp;LOWER(MID(REGEXEXTRACT($AO166,"/x/([A-Za-z0-9]+)"),1,1))&amp;"/"&amp;REGEXEXTRACT($AO166,"/x/([A-Za-z0-9]+)")&amp;".png"),1),"⚠️ link tidak dikenali"))</f>
        <v/>
      </c>
      <c r="AQ166" s="66">
        <f>IF($Z166="",0,IF(AND(OR('📊 Dashboard'!$B$4="(Semua)",$F166='📊 Dashboard'!$B$4),OR('📊 Dashboard'!$B$5="(Semua)",$H166='📊 Dashboard'!$B$5),OR('📊 Dashboard'!$B$6="(Semua)",$E166='📊 Dashboard'!$B$6),OR('📊 Dashboard'!$B$7="(Semua)",$AF166='📊 Dashboard'!$B$7),OR('📊 Dashboard'!$B$8="(Semua)",$AG166='📊 Dashboard'!$B$8),OR('📊 Dashboard'!$B$9="(Semua)",$K166='📊 Dashboard'!$B$9)),1,0))</f>
        <v>0</v>
      </c>
      <c r="AR166" s="69"/>
    </row>
    <row r="167" ht="58" customHeight="1" spans="1:44">
      <c r="A167" s="58" t="str">
        <f t="shared" si="14"/>
        <v/>
      </c>
      <c r="B167" s="59"/>
      <c r="C167" s="60"/>
      <c r="D167" s="60"/>
      <c r="E167" s="58" t="str">
        <f t="shared" si="15"/>
        <v/>
      </c>
      <c r="F167" s="61"/>
      <c r="G167" s="61"/>
      <c r="H167" s="61"/>
      <c r="I167" s="61"/>
      <c r="J167" s="61"/>
      <c r="K167" s="61"/>
      <c r="L167" s="61"/>
      <c r="M167" s="61"/>
      <c r="N167" s="62"/>
      <c r="O167" s="62"/>
      <c r="P167" s="62"/>
      <c r="Q167" s="62"/>
      <c r="R167" s="63" t="str">
        <f>IFERROR(IF(OR($N167="",$O167="",$F167=""),"",ROUND(('⚙️ Setelan'!$B$3*'⚙️ Setelan'!$B$4/100)/(ABS($N167-$O167)*VLOOKUP($F167,'⚙️ Setelan'!$A$14:$F$20,4,FALSE)),2)),"")</f>
        <v/>
      </c>
      <c r="S167" s="64"/>
      <c r="T167" s="65" t="str">
        <f>IFERROR(IF(OR($N167="",$O167="",$S167=""),"",ABS($N167-$O167)*$S167*VLOOKUP($F167,'⚙️ Setelan'!$A$14:$F$20,4,FALSE)),"")</f>
        <v/>
      </c>
      <c r="U167" s="63" t="str">
        <f t="shared" si="16"/>
        <v/>
      </c>
      <c r="V167" s="65" t="str">
        <f>IFERROR(IF(OR($Q167="",$N167="",$S167=""),"",($Q167-$N167)*IF($G167="Buy",1,-1)*$S167*VLOOKUP($F167,'⚙️ Setelan'!$A$14:$F$20,4,FALSE)),"")</f>
        <v/>
      </c>
      <c r="W167" s="65" t="str">
        <f>IFERROR(IF(OR($S167="",$F167=""),"",$S167*VLOOKUP($F167,'⚙️ Setelan'!$A$14:$F$20,5,FALSE)),"")</f>
        <v/>
      </c>
      <c r="X167" s="65" t="str">
        <f t="shared" si="17"/>
        <v/>
      </c>
      <c r="Y167" s="63" t="str">
        <f t="shared" si="18"/>
        <v/>
      </c>
      <c r="Z167" s="58" t="str">
        <f t="shared" si="19"/>
        <v/>
      </c>
      <c r="AA167" s="66" t="str">
        <f t="shared" si="20"/>
        <v/>
      </c>
      <c r="AB167" s="62"/>
      <c r="AC167" s="62"/>
      <c r="AD167" s="63" t="str">
        <f>IFERROR(IF(OR($AB167="",$T167="",$T167=0),"",ROUND(ABS($N167-$AB167)*$S167*VLOOKUP($F167,'⚙️ Setelan'!$A$14:$F$20,4,FALSE)/$T167,2)),"")</f>
        <v/>
      </c>
      <c r="AE167" s="63" t="str">
        <f>IFERROR(IF(OR($AC167="",$T167="",$T167=0),"",ROUND(ABS($AC167-$N167)*$S167*VLOOKUP($F167,'⚙️ Setelan'!$A$14:$F$20,4,FALSE)/$T167,2)),"")</f>
        <v/>
      </c>
      <c r="AF167" s="61"/>
      <c r="AG167" s="61"/>
      <c r="AH167" s="61"/>
      <c r="AI167" s="61"/>
      <c r="AJ167" s="61"/>
      <c r="AK167" s="67"/>
      <c r="AL167" s="58" t="str">
        <f>IF(OR($C167="",$B167=""),"",IF(AND($Z166="Loss",$B167=$B166,MOD($C167-$D166,1)*1440&lt;'⚙️ Setelan'!$B$9),"⚠️ Revenge",""))</f>
        <v/>
      </c>
      <c r="AM167" s="68"/>
      <c r="AN167" s="58" t="str">
        <f>IF($AM167="","",IFERROR(_xlfn.IMAGE(IF(REGEXMATCH($AM167,"\.(png|jpg|jpeg|gif)$"),$AM167,"https://s3.tradingview.com/snapshots/"&amp;LOWER(MID(REGEXEXTRACT($AM167,"/x/([A-Za-z0-9]+)"),1,1))&amp;"/"&amp;REGEXEXTRACT($AM167,"/x/([A-Za-z0-9]+)")&amp;".png"),1),"⚠️ link tidak dikenali"))</f>
        <v/>
      </c>
      <c r="AO167" s="68"/>
      <c r="AP167" s="58" t="str">
        <f>IF($AO167="","",IFERROR(_xlfn.IMAGE(IF(REGEXMATCH($AO167,"\.(png|jpg|jpeg|gif)$"),$AO167,"https://s3.tradingview.com/snapshots/"&amp;LOWER(MID(REGEXEXTRACT($AO167,"/x/([A-Za-z0-9]+)"),1,1))&amp;"/"&amp;REGEXEXTRACT($AO167,"/x/([A-Za-z0-9]+)")&amp;".png"),1),"⚠️ link tidak dikenali"))</f>
        <v/>
      </c>
      <c r="AQ167" s="66">
        <f>IF($Z167="",0,IF(AND(OR('📊 Dashboard'!$B$4="(Semua)",$F167='📊 Dashboard'!$B$4),OR('📊 Dashboard'!$B$5="(Semua)",$H167='📊 Dashboard'!$B$5),OR('📊 Dashboard'!$B$6="(Semua)",$E167='📊 Dashboard'!$B$6),OR('📊 Dashboard'!$B$7="(Semua)",$AF167='📊 Dashboard'!$B$7),OR('📊 Dashboard'!$B$8="(Semua)",$AG167='📊 Dashboard'!$B$8),OR('📊 Dashboard'!$B$9="(Semua)",$K167='📊 Dashboard'!$B$9)),1,0))</f>
        <v>0</v>
      </c>
      <c r="AR167" s="69"/>
    </row>
    <row r="168" ht="58" customHeight="1" spans="1:44">
      <c r="A168" s="58" t="str">
        <f t="shared" si="14"/>
        <v/>
      </c>
      <c r="B168" s="59"/>
      <c r="C168" s="60"/>
      <c r="D168" s="60"/>
      <c r="E168" s="58" t="str">
        <f t="shared" si="15"/>
        <v/>
      </c>
      <c r="F168" s="61"/>
      <c r="G168" s="61"/>
      <c r="H168" s="61"/>
      <c r="I168" s="61"/>
      <c r="J168" s="61"/>
      <c r="K168" s="61"/>
      <c r="L168" s="61"/>
      <c r="M168" s="61"/>
      <c r="N168" s="62"/>
      <c r="O168" s="62"/>
      <c r="P168" s="62"/>
      <c r="Q168" s="62"/>
      <c r="R168" s="63" t="str">
        <f>IFERROR(IF(OR($N168="",$O168="",$F168=""),"",ROUND(('⚙️ Setelan'!$B$3*'⚙️ Setelan'!$B$4/100)/(ABS($N168-$O168)*VLOOKUP($F168,'⚙️ Setelan'!$A$14:$F$20,4,FALSE)),2)),"")</f>
        <v/>
      </c>
      <c r="S168" s="64"/>
      <c r="T168" s="65" t="str">
        <f>IFERROR(IF(OR($N168="",$O168="",$S168=""),"",ABS($N168-$O168)*$S168*VLOOKUP($F168,'⚙️ Setelan'!$A$14:$F$20,4,FALSE)),"")</f>
        <v/>
      </c>
      <c r="U168" s="63" t="str">
        <f t="shared" si="16"/>
        <v/>
      </c>
      <c r="V168" s="65" t="str">
        <f>IFERROR(IF(OR($Q168="",$N168="",$S168=""),"",($Q168-$N168)*IF($G168="Buy",1,-1)*$S168*VLOOKUP($F168,'⚙️ Setelan'!$A$14:$F$20,4,FALSE)),"")</f>
        <v/>
      </c>
      <c r="W168" s="65" t="str">
        <f>IFERROR(IF(OR($S168="",$F168=""),"",$S168*VLOOKUP($F168,'⚙️ Setelan'!$A$14:$F$20,5,FALSE)),"")</f>
        <v/>
      </c>
      <c r="X168" s="65" t="str">
        <f t="shared" si="17"/>
        <v/>
      </c>
      <c r="Y168" s="63" t="str">
        <f t="shared" si="18"/>
        <v/>
      </c>
      <c r="Z168" s="58" t="str">
        <f t="shared" si="19"/>
        <v/>
      </c>
      <c r="AA168" s="66" t="str">
        <f t="shared" si="20"/>
        <v/>
      </c>
      <c r="AB168" s="62"/>
      <c r="AC168" s="62"/>
      <c r="AD168" s="63" t="str">
        <f>IFERROR(IF(OR($AB168="",$T168="",$T168=0),"",ROUND(ABS($N168-$AB168)*$S168*VLOOKUP($F168,'⚙️ Setelan'!$A$14:$F$20,4,FALSE)/$T168,2)),"")</f>
        <v/>
      </c>
      <c r="AE168" s="63" t="str">
        <f>IFERROR(IF(OR($AC168="",$T168="",$T168=0),"",ROUND(ABS($AC168-$N168)*$S168*VLOOKUP($F168,'⚙️ Setelan'!$A$14:$F$20,4,FALSE)/$T168,2)),"")</f>
        <v/>
      </c>
      <c r="AF168" s="61"/>
      <c r="AG168" s="61"/>
      <c r="AH168" s="61"/>
      <c r="AI168" s="61"/>
      <c r="AJ168" s="61"/>
      <c r="AK168" s="67"/>
      <c r="AL168" s="58" t="str">
        <f>IF(OR($C168="",$B168=""),"",IF(AND($Z167="Loss",$B168=$B167,MOD($C168-$D167,1)*1440&lt;'⚙️ Setelan'!$B$9),"⚠️ Revenge",""))</f>
        <v/>
      </c>
      <c r="AM168" s="68"/>
      <c r="AN168" s="58" t="str">
        <f>IF($AM168="","",IFERROR(_xlfn.IMAGE(IF(REGEXMATCH($AM168,"\.(png|jpg|jpeg|gif)$"),$AM168,"https://s3.tradingview.com/snapshots/"&amp;LOWER(MID(REGEXEXTRACT($AM168,"/x/([A-Za-z0-9]+)"),1,1))&amp;"/"&amp;REGEXEXTRACT($AM168,"/x/([A-Za-z0-9]+)")&amp;".png"),1),"⚠️ link tidak dikenali"))</f>
        <v/>
      </c>
      <c r="AO168" s="68"/>
      <c r="AP168" s="58" t="str">
        <f>IF($AO168="","",IFERROR(_xlfn.IMAGE(IF(REGEXMATCH($AO168,"\.(png|jpg|jpeg|gif)$"),$AO168,"https://s3.tradingview.com/snapshots/"&amp;LOWER(MID(REGEXEXTRACT($AO168,"/x/([A-Za-z0-9]+)"),1,1))&amp;"/"&amp;REGEXEXTRACT($AO168,"/x/([A-Za-z0-9]+)")&amp;".png"),1),"⚠️ link tidak dikenali"))</f>
        <v/>
      </c>
      <c r="AQ168" s="66">
        <f>IF($Z168="",0,IF(AND(OR('📊 Dashboard'!$B$4="(Semua)",$F168='📊 Dashboard'!$B$4),OR('📊 Dashboard'!$B$5="(Semua)",$H168='📊 Dashboard'!$B$5),OR('📊 Dashboard'!$B$6="(Semua)",$E168='📊 Dashboard'!$B$6),OR('📊 Dashboard'!$B$7="(Semua)",$AF168='📊 Dashboard'!$B$7),OR('📊 Dashboard'!$B$8="(Semua)",$AG168='📊 Dashboard'!$B$8),OR('📊 Dashboard'!$B$9="(Semua)",$K168='📊 Dashboard'!$B$9)),1,0))</f>
        <v>0</v>
      </c>
      <c r="AR168" s="69"/>
    </row>
    <row r="169" ht="58" customHeight="1" spans="1:44">
      <c r="A169" s="58" t="str">
        <f t="shared" si="14"/>
        <v/>
      </c>
      <c r="B169" s="59"/>
      <c r="C169" s="60"/>
      <c r="D169" s="60"/>
      <c r="E169" s="58" t="str">
        <f t="shared" si="15"/>
        <v/>
      </c>
      <c r="F169" s="61"/>
      <c r="G169" s="61"/>
      <c r="H169" s="61"/>
      <c r="I169" s="61"/>
      <c r="J169" s="61"/>
      <c r="K169" s="61"/>
      <c r="L169" s="61"/>
      <c r="M169" s="61"/>
      <c r="N169" s="62"/>
      <c r="O169" s="62"/>
      <c r="P169" s="62"/>
      <c r="Q169" s="62"/>
      <c r="R169" s="63" t="str">
        <f>IFERROR(IF(OR($N169="",$O169="",$F169=""),"",ROUND(('⚙️ Setelan'!$B$3*'⚙️ Setelan'!$B$4/100)/(ABS($N169-$O169)*VLOOKUP($F169,'⚙️ Setelan'!$A$14:$F$20,4,FALSE)),2)),"")</f>
        <v/>
      </c>
      <c r="S169" s="64"/>
      <c r="T169" s="65" t="str">
        <f>IFERROR(IF(OR($N169="",$O169="",$S169=""),"",ABS($N169-$O169)*$S169*VLOOKUP($F169,'⚙️ Setelan'!$A$14:$F$20,4,FALSE)),"")</f>
        <v/>
      </c>
      <c r="U169" s="63" t="str">
        <f t="shared" si="16"/>
        <v/>
      </c>
      <c r="V169" s="65" t="str">
        <f>IFERROR(IF(OR($Q169="",$N169="",$S169=""),"",($Q169-$N169)*IF($G169="Buy",1,-1)*$S169*VLOOKUP($F169,'⚙️ Setelan'!$A$14:$F$20,4,FALSE)),"")</f>
        <v/>
      </c>
      <c r="W169" s="65" t="str">
        <f>IFERROR(IF(OR($S169="",$F169=""),"",$S169*VLOOKUP($F169,'⚙️ Setelan'!$A$14:$F$20,5,FALSE)),"")</f>
        <v/>
      </c>
      <c r="X169" s="65" t="str">
        <f t="shared" si="17"/>
        <v/>
      </c>
      <c r="Y169" s="63" t="str">
        <f t="shared" si="18"/>
        <v/>
      </c>
      <c r="Z169" s="58" t="str">
        <f t="shared" si="19"/>
        <v/>
      </c>
      <c r="AA169" s="66" t="str">
        <f t="shared" si="20"/>
        <v/>
      </c>
      <c r="AB169" s="62"/>
      <c r="AC169" s="62"/>
      <c r="AD169" s="63" t="str">
        <f>IFERROR(IF(OR($AB169="",$T169="",$T169=0),"",ROUND(ABS($N169-$AB169)*$S169*VLOOKUP($F169,'⚙️ Setelan'!$A$14:$F$20,4,FALSE)/$T169,2)),"")</f>
        <v/>
      </c>
      <c r="AE169" s="63" t="str">
        <f>IFERROR(IF(OR($AC169="",$T169="",$T169=0),"",ROUND(ABS($AC169-$N169)*$S169*VLOOKUP($F169,'⚙️ Setelan'!$A$14:$F$20,4,FALSE)/$T169,2)),"")</f>
        <v/>
      </c>
      <c r="AF169" s="61"/>
      <c r="AG169" s="61"/>
      <c r="AH169" s="61"/>
      <c r="AI169" s="61"/>
      <c r="AJ169" s="61"/>
      <c r="AK169" s="67"/>
      <c r="AL169" s="58" t="str">
        <f>IF(OR($C169="",$B169=""),"",IF(AND($Z168="Loss",$B169=$B168,MOD($C169-$D168,1)*1440&lt;'⚙️ Setelan'!$B$9),"⚠️ Revenge",""))</f>
        <v/>
      </c>
      <c r="AM169" s="68"/>
      <c r="AN169" s="58" t="str">
        <f>IF($AM169="","",IFERROR(_xlfn.IMAGE(IF(REGEXMATCH($AM169,"\.(png|jpg|jpeg|gif)$"),$AM169,"https://s3.tradingview.com/snapshots/"&amp;LOWER(MID(REGEXEXTRACT($AM169,"/x/([A-Za-z0-9]+)"),1,1))&amp;"/"&amp;REGEXEXTRACT($AM169,"/x/([A-Za-z0-9]+)")&amp;".png"),1),"⚠️ link tidak dikenali"))</f>
        <v/>
      </c>
      <c r="AO169" s="68"/>
      <c r="AP169" s="58" t="str">
        <f>IF($AO169="","",IFERROR(_xlfn.IMAGE(IF(REGEXMATCH($AO169,"\.(png|jpg|jpeg|gif)$"),$AO169,"https://s3.tradingview.com/snapshots/"&amp;LOWER(MID(REGEXEXTRACT($AO169,"/x/([A-Za-z0-9]+)"),1,1))&amp;"/"&amp;REGEXEXTRACT($AO169,"/x/([A-Za-z0-9]+)")&amp;".png"),1),"⚠️ link tidak dikenali"))</f>
        <v/>
      </c>
      <c r="AQ169" s="66">
        <f>IF($Z169="",0,IF(AND(OR('📊 Dashboard'!$B$4="(Semua)",$F169='📊 Dashboard'!$B$4),OR('📊 Dashboard'!$B$5="(Semua)",$H169='📊 Dashboard'!$B$5),OR('📊 Dashboard'!$B$6="(Semua)",$E169='📊 Dashboard'!$B$6),OR('📊 Dashboard'!$B$7="(Semua)",$AF169='📊 Dashboard'!$B$7),OR('📊 Dashboard'!$B$8="(Semua)",$AG169='📊 Dashboard'!$B$8),OR('📊 Dashboard'!$B$9="(Semua)",$K169='📊 Dashboard'!$B$9)),1,0))</f>
        <v>0</v>
      </c>
      <c r="AR169" s="69"/>
    </row>
    <row r="170" ht="58" customHeight="1" spans="1:44">
      <c r="A170" s="58" t="str">
        <f t="shared" si="14"/>
        <v/>
      </c>
      <c r="B170" s="59"/>
      <c r="C170" s="60"/>
      <c r="D170" s="60"/>
      <c r="E170" s="58" t="str">
        <f t="shared" si="15"/>
        <v/>
      </c>
      <c r="F170" s="61"/>
      <c r="G170" s="61"/>
      <c r="H170" s="61"/>
      <c r="I170" s="61"/>
      <c r="J170" s="61"/>
      <c r="K170" s="61"/>
      <c r="L170" s="61"/>
      <c r="M170" s="61"/>
      <c r="N170" s="62"/>
      <c r="O170" s="62"/>
      <c r="P170" s="62"/>
      <c r="Q170" s="62"/>
      <c r="R170" s="63" t="str">
        <f>IFERROR(IF(OR($N170="",$O170="",$F170=""),"",ROUND(('⚙️ Setelan'!$B$3*'⚙️ Setelan'!$B$4/100)/(ABS($N170-$O170)*VLOOKUP($F170,'⚙️ Setelan'!$A$14:$F$20,4,FALSE)),2)),"")</f>
        <v/>
      </c>
      <c r="S170" s="64"/>
      <c r="T170" s="65" t="str">
        <f>IFERROR(IF(OR($N170="",$O170="",$S170=""),"",ABS($N170-$O170)*$S170*VLOOKUP($F170,'⚙️ Setelan'!$A$14:$F$20,4,FALSE)),"")</f>
        <v/>
      </c>
      <c r="U170" s="63" t="str">
        <f t="shared" si="16"/>
        <v/>
      </c>
      <c r="V170" s="65" t="str">
        <f>IFERROR(IF(OR($Q170="",$N170="",$S170=""),"",($Q170-$N170)*IF($G170="Buy",1,-1)*$S170*VLOOKUP($F170,'⚙️ Setelan'!$A$14:$F$20,4,FALSE)),"")</f>
        <v/>
      </c>
      <c r="W170" s="65" t="str">
        <f>IFERROR(IF(OR($S170="",$F170=""),"",$S170*VLOOKUP($F170,'⚙️ Setelan'!$A$14:$F$20,5,FALSE)),"")</f>
        <v/>
      </c>
      <c r="X170" s="65" t="str">
        <f t="shared" si="17"/>
        <v/>
      </c>
      <c r="Y170" s="63" t="str">
        <f t="shared" si="18"/>
        <v/>
      </c>
      <c r="Z170" s="58" t="str">
        <f t="shared" si="19"/>
        <v/>
      </c>
      <c r="AA170" s="66" t="str">
        <f t="shared" si="20"/>
        <v/>
      </c>
      <c r="AB170" s="62"/>
      <c r="AC170" s="62"/>
      <c r="AD170" s="63" t="str">
        <f>IFERROR(IF(OR($AB170="",$T170="",$T170=0),"",ROUND(ABS($N170-$AB170)*$S170*VLOOKUP($F170,'⚙️ Setelan'!$A$14:$F$20,4,FALSE)/$T170,2)),"")</f>
        <v/>
      </c>
      <c r="AE170" s="63" t="str">
        <f>IFERROR(IF(OR($AC170="",$T170="",$T170=0),"",ROUND(ABS($AC170-$N170)*$S170*VLOOKUP($F170,'⚙️ Setelan'!$A$14:$F$20,4,FALSE)/$T170,2)),"")</f>
        <v/>
      </c>
      <c r="AF170" s="61"/>
      <c r="AG170" s="61"/>
      <c r="AH170" s="61"/>
      <c r="AI170" s="61"/>
      <c r="AJ170" s="61"/>
      <c r="AK170" s="67"/>
      <c r="AL170" s="58" t="str">
        <f>IF(OR($C170="",$B170=""),"",IF(AND($Z169="Loss",$B170=$B169,MOD($C170-$D169,1)*1440&lt;'⚙️ Setelan'!$B$9),"⚠️ Revenge",""))</f>
        <v/>
      </c>
      <c r="AM170" s="68"/>
      <c r="AN170" s="58" t="str">
        <f>IF($AM170="","",IFERROR(_xlfn.IMAGE(IF(REGEXMATCH($AM170,"\.(png|jpg|jpeg|gif)$"),$AM170,"https://s3.tradingview.com/snapshots/"&amp;LOWER(MID(REGEXEXTRACT($AM170,"/x/([A-Za-z0-9]+)"),1,1))&amp;"/"&amp;REGEXEXTRACT($AM170,"/x/([A-Za-z0-9]+)")&amp;".png"),1),"⚠️ link tidak dikenali"))</f>
        <v/>
      </c>
      <c r="AO170" s="68"/>
      <c r="AP170" s="58" t="str">
        <f>IF($AO170="","",IFERROR(_xlfn.IMAGE(IF(REGEXMATCH($AO170,"\.(png|jpg|jpeg|gif)$"),$AO170,"https://s3.tradingview.com/snapshots/"&amp;LOWER(MID(REGEXEXTRACT($AO170,"/x/([A-Za-z0-9]+)"),1,1))&amp;"/"&amp;REGEXEXTRACT($AO170,"/x/([A-Za-z0-9]+)")&amp;".png"),1),"⚠️ link tidak dikenali"))</f>
        <v/>
      </c>
      <c r="AQ170" s="66">
        <f>IF($Z170="",0,IF(AND(OR('📊 Dashboard'!$B$4="(Semua)",$F170='📊 Dashboard'!$B$4),OR('📊 Dashboard'!$B$5="(Semua)",$H170='📊 Dashboard'!$B$5),OR('📊 Dashboard'!$B$6="(Semua)",$E170='📊 Dashboard'!$B$6),OR('📊 Dashboard'!$B$7="(Semua)",$AF170='📊 Dashboard'!$B$7),OR('📊 Dashboard'!$B$8="(Semua)",$AG170='📊 Dashboard'!$B$8),OR('📊 Dashboard'!$B$9="(Semua)",$K170='📊 Dashboard'!$B$9)),1,0))</f>
        <v>0</v>
      </c>
      <c r="AR170" s="69"/>
    </row>
    <row r="171" ht="58" customHeight="1" spans="1:44">
      <c r="A171" s="58" t="str">
        <f t="shared" si="14"/>
        <v/>
      </c>
      <c r="B171" s="59"/>
      <c r="C171" s="60"/>
      <c r="D171" s="60"/>
      <c r="E171" s="58" t="str">
        <f t="shared" si="15"/>
        <v/>
      </c>
      <c r="F171" s="61"/>
      <c r="G171" s="61"/>
      <c r="H171" s="61"/>
      <c r="I171" s="61"/>
      <c r="J171" s="61"/>
      <c r="K171" s="61"/>
      <c r="L171" s="61"/>
      <c r="M171" s="61"/>
      <c r="N171" s="62"/>
      <c r="O171" s="62"/>
      <c r="P171" s="62"/>
      <c r="Q171" s="62"/>
      <c r="R171" s="63" t="str">
        <f>IFERROR(IF(OR($N171="",$O171="",$F171=""),"",ROUND(('⚙️ Setelan'!$B$3*'⚙️ Setelan'!$B$4/100)/(ABS($N171-$O171)*VLOOKUP($F171,'⚙️ Setelan'!$A$14:$F$20,4,FALSE)),2)),"")</f>
        <v/>
      </c>
      <c r="S171" s="64"/>
      <c r="T171" s="65" t="str">
        <f>IFERROR(IF(OR($N171="",$O171="",$S171=""),"",ABS($N171-$O171)*$S171*VLOOKUP($F171,'⚙️ Setelan'!$A$14:$F$20,4,FALSE)),"")</f>
        <v/>
      </c>
      <c r="U171" s="63" t="str">
        <f t="shared" si="16"/>
        <v/>
      </c>
      <c r="V171" s="65" t="str">
        <f>IFERROR(IF(OR($Q171="",$N171="",$S171=""),"",($Q171-$N171)*IF($G171="Buy",1,-1)*$S171*VLOOKUP($F171,'⚙️ Setelan'!$A$14:$F$20,4,FALSE)),"")</f>
        <v/>
      </c>
      <c r="W171" s="65" t="str">
        <f>IFERROR(IF(OR($S171="",$F171=""),"",$S171*VLOOKUP($F171,'⚙️ Setelan'!$A$14:$F$20,5,FALSE)),"")</f>
        <v/>
      </c>
      <c r="X171" s="65" t="str">
        <f t="shared" si="17"/>
        <v/>
      </c>
      <c r="Y171" s="63" t="str">
        <f t="shared" si="18"/>
        <v/>
      </c>
      <c r="Z171" s="58" t="str">
        <f t="shared" si="19"/>
        <v/>
      </c>
      <c r="AA171" s="66" t="str">
        <f t="shared" si="20"/>
        <v/>
      </c>
      <c r="AB171" s="62"/>
      <c r="AC171" s="62"/>
      <c r="AD171" s="63" t="str">
        <f>IFERROR(IF(OR($AB171="",$T171="",$T171=0),"",ROUND(ABS($N171-$AB171)*$S171*VLOOKUP($F171,'⚙️ Setelan'!$A$14:$F$20,4,FALSE)/$T171,2)),"")</f>
        <v/>
      </c>
      <c r="AE171" s="63" t="str">
        <f>IFERROR(IF(OR($AC171="",$T171="",$T171=0),"",ROUND(ABS($AC171-$N171)*$S171*VLOOKUP($F171,'⚙️ Setelan'!$A$14:$F$20,4,FALSE)/$T171,2)),"")</f>
        <v/>
      </c>
      <c r="AF171" s="61"/>
      <c r="AG171" s="61"/>
      <c r="AH171" s="61"/>
      <c r="AI171" s="61"/>
      <c r="AJ171" s="61"/>
      <c r="AK171" s="67"/>
      <c r="AL171" s="58" t="str">
        <f>IF(OR($C171="",$B171=""),"",IF(AND($Z170="Loss",$B171=$B170,MOD($C171-$D170,1)*1440&lt;'⚙️ Setelan'!$B$9),"⚠️ Revenge",""))</f>
        <v/>
      </c>
      <c r="AM171" s="68"/>
      <c r="AN171" s="58" t="str">
        <f>IF($AM171="","",IFERROR(_xlfn.IMAGE(IF(REGEXMATCH($AM171,"\.(png|jpg|jpeg|gif)$"),$AM171,"https://s3.tradingview.com/snapshots/"&amp;LOWER(MID(REGEXEXTRACT($AM171,"/x/([A-Za-z0-9]+)"),1,1))&amp;"/"&amp;REGEXEXTRACT($AM171,"/x/([A-Za-z0-9]+)")&amp;".png"),1),"⚠️ link tidak dikenali"))</f>
        <v/>
      </c>
      <c r="AO171" s="68"/>
      <c r="AP171" s="58" t="str">
        <f>IF($AO171="","",IFERROR(_xlfn.IMAGE(IF(REGEXMATCH($AO171,"\.(png|jpg|jpeg|gif)$"),$AO171,"https://s3.tradingview.com/snapshots/"&amp;LOWER(MID(REGEXEXTRACT($AO171,"/x/([A-Za-z0-9]+)"),1,1))&amp;"/"&amp;REGEXEXTRACT($AO171,"/x/([A-Za-z0-9]+)")&amp;".png"),1),"⚠️ link tidak dikenali"))</f>
        <v/>
      </c>
      <c r="AQ171" s="66">
        <f>IF($Z171="",0,IF(AND(OR('📊 Dashboard'!$B$4="(Semua)",$F171='📊 Dashboard'!$B$4),OR('📊 Dashboard'!$B$5="(Semua)",$H171='📊 Dashboard'!$B$5),OR('📊 Dashboard'!$B$6="(Semua)",$E171='📊 Dashboard'!$B$6),OR('📊 Dashboard'!$B$7="(Semua)",$AF171='📊 Dashboard'!$B$7),OR('📊 Dashboard'!$B$8="(Semua)",$AG171='📊 Dashboard'!$B$8),OR('📊 Dashboard'!$B$9="(Semua)",$K171='📊 Dashboard'!$B$9)),1,0))</f>
        <v>0</v>
      </c>
      <c r="AR171" s="69"/>
    </row>
    <row r="172" ht="58" customHeight="1" spans="1:44">
      <c r="A172" s="58" t="str">
        <f t="shared" si="14"/>
        <v/>
      </c>
      <c r="B172" s="59"/>
      <c r="C172" s="60"/>
      <c r="D172" s="60"/>
      <c r="E172" s="58" t="str">
        <f t="shared" si="15"/>
        <v/>
      </c>
      <c r="F172" s="61"/>
      <c r="G172" s="61"/>
      <c r="H172" s="61"/>
      <c r="I172" s="61"/>
      <c r="J172" s="61"/>
      <c r="K172" s="61"/>
      <c r="L172" s="61"/>
      <c r="M172" s="61"/>
      <c r="N172" s="62"/>
      <c r="O172" s="62"/>
      <c r="P172" s="62"/>
      <c r="Q172" s="62"/>
      <c r="R172" s="63" t="str">
        <f>IFERROR(IF(OR($N172="",$O172="",$F172=""),"",ROUND(('⚙️ Setelan'!$B$3*'⚙️ Setelan'!$B$4/100)/(ABS($N172-$O172)*VLOOKUP($F172,'⚙️ Setelan'!$A$14:$F$20,4,FALSE)),2)),"")</f>
        <v/>
      </c>
      <c r="S172" s="64"/>
      <c r="T172" s="65" t="str">
        <f>IFERROR(IF(OR($N172="",$O172="",$S172=""),"",ABS($N172-$O172)*$S172*VLOOKUP($F172,'⚙️ Setelan'!$A$14:$F$20,4,FALSE)),"")</f>
        <v/>
      </c>
      <c r="U172" s="63" t="str">
        <f t="shared" si="16"/>
        <v/>
      </c>
      <c r="V172" s="65" t="str">
        <f>IFERROR(IF(OR($Q172="",$N172="",$S172=""),"",($Q172-$N172)*IF($G172="Buy",1,-1)*$S172*VLOOKUP($F172,'⚙️ Setelan'!$A$14:$F$20,4,FALSE)),"")</f>
        <v/>
      </c>
      <c r="W172" s="65" t="str">
        <f>IFERROR(IF(OR($S172="",$F172=""),"",$S172*VLOOKUP($F172,'⚙️ Setelan'!$A$14:$F$20,5,FALSE)),"")</f>
        <v/>
      </c>
      <c r="X172" s="65" t="str">
        <f t="shared" si="17"/>
        <v/>
      </c>
      <c r="Y172" s="63" t="str">
        <f t="shared" si="18"/>
        <v/>
      </c>
      <c r="Z172" s="58" t="str">
        <f t="shared" si="19"/>
        <v/>
      </c>
      <c r="AA172" s="66" t="str">
        <f t="shared" si="20"/>
        <v/>
      </c>
      <c r="AB172" s="62"/>
      <c r="AC172" s="62"/>
      <c r="AD172" s="63" t="str">
        <f>IFERROR(IF(OR($AB172="",$T172="",$T172=0),"",ROUND(ABS($N172-$AB172)*$S172*VLOOKUP($F172,'⚙️ Setelan'!$A$14:$F$20,4,FALSE)/$T172,2)),"")</f>
        <v/>
      </c>
      <c r="AE172" s="63" t="str">
        <f>IFERROR(IF(OR($AC172="",$T172="",$T172=0),"",ROUND(ABS($AC172-$N172)*$S172*VLOOKUP($F172,'⚙️ Setelan'!$A$14:$F$20,4,FALSE)/$T172,2)),"")</f>
        <v/>
      </c>
      <c r="AF172" s="61"/>
      <c r="AG172" s="61"/>
      <c r="AH172" s="61"/>
      <c r="AI172" s="61"/>
      <c r="AJ172" s="61"/>
      <c r="AK172" s="67"/>
      <c r="AL172" s="58" t="str">
        <f>IF(OR($C172="",$B172=""),"",IF(AND($Z171="Loss",$B172=$B171,MOD($C172-$D171,1)*1440&lt;'⚙️ Setelan'!$B$9),"⚠️ Revenge",""))</f>
        <v/>
      </c>
      <c r="AM172" s="68"/>
      <c r="AN172" s="58" t="str">
        <f>IF($AM172="","",IFERROR(_xlfn.IMAGE(IF(REGEXMATCH($AM172,"\.(png|jpg|jpeg|gif)$"),$AM172,"https://s3.tradingview.com/snapshots/"&amp;LOWER(MID(REGEXEXTRACT($AM172,"/x/([A-Za-z0-9]+)"),1,1))&amp;"/"&amp;REGEXEXTRACT($AM172,"/x/([A-Za-z0-9]+)")&amp;".png"),1),"⚠️ link tidak dikenali"))</f>
        <v/>
      </c>
      <c r="AO172" s="68"/>
      <c r="AP172" s="58" t="str">
        <f>IF($AO172="","",IFERROR(_xlfn.IMAGE(IF(REGEXMATCH($AO172,"\.(png|jpg|jpeg|gif)$"),$AO172,"https://s3.tradingview.com/snapshots/"&amp;LOWER(MID(REGEXEXTRACT($AO172,"/x/([A-Za-z0-9]+)"),1,1))&amp;"/"&amp;REGEXEXTRACT($AO172,"/x/([A-Za-z0-9]+)")&amp;".png"),1),"⚠️ link tidak dikenali"))</f>
        <v/>
      </c>
      <c r="AQ172" s="66">
        <f>IF($Z172="",0,IF(AND(OR('📊 Dashboard'!$B$4="(Semua)",$F172='📊 Dashboard'!$B$4),OR('📊 Dashboard'!$B$5="(Semua)",$H172='📊 Dashboard'!$B$5),OR('📊 Dashboard'!$B$6="(Semua)",$E172='📊 Dashboard'!$B$6),OR('📊 Dashboard'!$B$7="(Semua)",$AF172='📊 Dashboard'!$B$7),OR('📊 Dashboard'!$B$8="(Semua)",$AG172='📊 Dashboard'!$B$8),OR('📊 Dashboard'!$B$9="(Semua)",$K172='📊 Dashboard'!$B$9)),1,0))</f>
        <v>0</v>
      </c>
      <c r="AR172" s="69"/>
    </row>
    <row r="173" ht="58" customHeight="1" spans="1:44">
      <c r="A173" s="58" t="str">
        <f t="shared" si="14"/>
        <v/>
      </c>
      <c r="B173" s="59"/>
      <c r="C173" s="60"/>
      <c r="D173" s="60"/>
      <c r="E173" s="58" t="str">
        <f t="shared" si="15"/>
        <v/>
      </c>
      <c r="F173" s="61"/>
      <c r="G173" s="61"/>
      <c r="H173" s="61"/>
      <c r="I173" s="61"/>
      <c r="J173" s="61"/>
      <c r="K173" s="61"/>
      <c r="L173" s="61"/>
      <c r="M173" s="61"/>
      <c r="N173" s="62"/>
      <c r="O173" s="62"/>
      <c r="P173" s="62"/>
      <c r="Q173" s="62"/>
      <c r="R173" s="63" t="str">
        <f>IFERROR(IF(OR($N173="",$O173="",$F173=""),"",ROUND(('⚙️ Setelan'!$B$3*'⚙️ Setelan'!$B$4/100)/(ABS($N173-$O173)*VLOOKUP($F173,'⚙️ Setelan'!$A$14:$F$20,4,FALSE)),2)),"")</f>
        <v/>
      </c>
      <c r="S173" s="64"/>
      <c r="T173" s="65" t="str">
        <f>IFERROR(IF(OR($N173="",$O173="",$S173=""),"",ABS($N173-$O173)*$S173*VLOOKUP($F173,'⚙️ Setelan'!$A$14:$F$20,4,FALSE)),"")</f>
        <v/>
      </c>
      <c r="U173" s="63" t="str">
        <f t="shared" si="16"/>
        <v/>
      </c>
      <c r="V173" s="65" t="str">
        <f>IFERROR(IF(OR($Q173="",$N173="",$S173=""),"",($Q173-$N173)*IF($G173="Buy",1,-1)*$S173*VLOOKUP($F173,'⚙️ Setelan'!$A$14:$F$20,4,FALSE)),"")</f>
        <v/>
      </c>
      <c r="W173" s="65" t="str">
        <f>IFERROR(IF(OR($S173="",$F173=""),"",$S173*VLOOKUP($F173,'⚙️ Setelan'!$A$14:$F$20,5,FALSE)),"")</f>
        <v/>
      </c>
      <c r="X173" s="65" t="str">
        <f t="shared" si="17"/>
        <v/>
      </c>
      <c r="Y173" s="63" t="str">
        <f t="shared" si="18"/>
        <v/>
      </c>
      <c r="Z173" s="58" t="str">
        <f t="shared" si="19"/>
        <v/>
      </c>
      <c r="AA173" s="66" t="str">
        <f t="shared" si="20"/>
        <v/>
      </c>
      <c r="AB173" s="62"/>
      <c r="AC173" s="62"/>
      <c r="AD173" s="63" t="str">
        <f>IFERROR(IF(OR($AB173="",$T173="",$T173=0),"",ROUND(ABS($N173-$AB173)*$S173*VLOOKUP($F173,'⚙️ Setelan'!$A$14:$F$20,4,FALSE)/$T173,2)),"")</f>
        <v/>
      </c>
      <c r="AE173" s="63" t="str">
        <f>IFERROR(IF(OR($AC173="",$T173="",$T173=0),"",ROUND(ABS($AC173-$N173)*$S173*VLOOKUP($F173,'⚙️ Setelan'!$A$14:$F$20,4,FALSE)/$T173,2)),"")</f>
        <v/>
      </c>
      <c r="AF173" s="61"/>
      <c r="AG173" s="61"/>
      <c r="AH173" s="61"/>
      <c r="AI173" s="61"/>
      <c r="AJ173" s="61"/>
      <c r="AK173" s="67"/>
      <c r="AL173" s="58" t="str">
        <f>IF(OR($C173="",$B173=""),"",IF(AND($Z172="Loss",$B173=$B172,MOD($C173-$D172,1)*1440&lt;'⚙️ Setelan'!$B$9),"⚠️ Revenge",""))</f>
        <v/>
      </c>
      <c r="AM173" s="68"/>
      <c r="AN173" s="58" t="str">
        <f>IF($AM173="","",IFERROR(_xlfn.IMAGE(IF(REGEXMATCH($AM173,"\.(png|jpg|jpeg|gif)$"),$AM173,"https://s3.tradingview.com/snapshots/"&amp;LOWER(MID(REGEXEXTRACT($AM173,"/x/([A-Za-z0-9]+)"),1,1))&amp;"/"&amp;REGEXEXTRACT($AM173,"/x/([A-Za-z0-9]+)")&amp;".png"),1),"⚠️ link tidak dikenali"))</f>
        <v/>
      </c>
      <c r="AO173" s="68"/>
      <c r="AP173" s="58" t="str">
        <f>IF($AO173="","",IFERROR(_xlfn.IMAGE(IF(REGEXMATCH($AO173,"\.(png|jpg|jpeg|gif)$"),$AO173,"https://s3.tradingview.com/snapshots/"&amp;LOWER(MID(REGEXEXTRACT($AO173,"/x/([A-Za-z0-9]+)"),1,1))&amp;"/"&amp;REGEXEXTRACT($AO173,"/x/([A-Za-z0-9]+)")&amp;".png"),1),"⚠️ link tidak dikenali"))</f>
        <v/>
      </c>
      <c r="AQ173" s="66">
        <f>IF($Z173="",0,IF(AND(OR('📊 Dashboard'!$B$4="(Semua)",$F173='📊 Dashboard'!$B$4),OR('📊 Dashboard'!$B$5="(Semua)",$H173='📊 Dashboard'!$B$5),OR('📊 Dashboard'!$B$6="(Semua)",$E173='📊 Dashboard'!$B$6),OR('📊 Dashboard'!$B$7="(Semua)",$AF173='📊 Dashboard'!$B$7),OR('📊 Dashboard'!$B$8="(Semua)",$AG173='📊 Dashboard'!$B$8),OR('📊 Dashboard'!$B$9="(Semua)",$K173='📊 Dashboard'!$B$9)),1,0))</f>
        <v>0</v>
      </c>
      <c r="AR173" s="69"/>
    </row>
    <row r="174" ht="58" customHeight="1" spans="1:44">
      <c r="A174" s="58" t="str">
        <f t="shared" si="14"/>
        <v/>
      </c>
      <c r="B174" s="59"/>
      <c r="C174" s="60"/>
      <c r="D174" s="60"/>
      <c r="E174" s="58" t="str">
        <f t="shared" si="15"/>
        <v/>
      </c>
      <c r="F174" s="61"/>
      <c r="G174" s="61"/>
      <c r="H174" s="61"/>
      <c r="I174" s="61"/>
      <c r="J174" s="61"/>
      <c r="K174" s="61"/>
      <c r="L174" s="61"/>
      <c r="M174" s="61"/>
      <c r="N174" s="62"/>
      <c r="O174" s="62"/>
      <c r="P174" s="62"/>
      <c r="Q174" s="62"/>
      <c r="R174" s="63" t="str">
        <f>IFERROR(IF(OR($N174="",$O174="",$F174=""),"",ROUND(('⚙️ Setelan'!$B$3*'⚙️ Setelan'!$B$4/100)/(ABS($N174-$O174)*VLOOKUP($F174,'⚙️ Setelan'!$A$14:$F$20,4,FALSE)),2)),"")</f>
        <v/>
      </c>
      <c r="S174" s="64"/>
      <c r="T174" s="65" t="str">
        <f>IFERROR(IF(OR($N174="",$O174="",$S174=""),"",ABS($N174-$O174)*$S174*VLOOKUP($F174,'⚙️ Setelan'!$A$14:$F$20,4,FALSE)),"")</f>
        <v/>
      </c>
      <c r="U174" s="63" t="str">
        <f t="shared" si="16"/>
        <v/>
      </c>
      <c r="V174" s="65" t="str">
        <f>IFERROR(IF(OR($Q174="",$N174="",$S174=""),"",($Q174-$N174)*IF($G174="Buy",1,-1)*$S174*VLOOKUP($F174,'⚙️ Setelan'!$A$14:$F$20,4,FALSE)),"")</f>
        <v/>
      </c>
      <c r="W174" s="65" t="str">
        <f>IFERROR(IF(OR($S174="",$F174=""),"",$S174*VLOOKUP($F174,'⚙️ Setelan'!$A$14:$F$20,5,FALSE)),"")</f>
        <v/>
      </c>
      <c r="X174" s="65" t="str">
        <f t="shared" si="17"/>
        <v/>
      </c>
      <c r="Y174" s="63" t="str">
        <f t="shared" si="18"/>
        <v/>
      </c>
      <c r="Z174" s="58" t="str">
        <f t="shared" si="19"/>
        <v/>
      </c>
      <c r="AA174" s="66" t="str">
        <f t="shared" si="20"/>
        <v/>
      </c>
      <c r="AB174" s="62"/>
      <c r="AC174" s="62"/>
      <c r="AD174" s="63" t="str">
        <f>IFERROR(IF(OR($AB174="",$T174="",$T174=0),"",ROUND(ABS($N174-$AB174)*$S174*VLOOKUP($F174,'⚙️ Setelan'!$A$14:$F$20,4,FALSE)/$T174,2)),"")</f>
        <v/>
      </c>
      <c r="AE174" s="63" t="str">
        <f>IFERROR(IF(OR($AC174="",$T174="",$T174=0),"",ROUND(ABS($AC174-$N174)*$S174*VLOOKUP($F174,'⚙️ Setelan'!$A$14:$F$20,4,FALSE)/$T174,2)),"")</f>
        <v/>
      </c>
      <c r="AF174" s="61"/>
      <c r="AG174" s="61"/>
      <c r="AH174" s="61"/>
      <c r="AI174" s="61"/>
      <c r="AJ174" s="61"/>
      <c r="AK174" s="67"/>
      <c r="AL174" s="58" t="str">
        <f>IF(OR($C174="",$B174=""),"",IF(AND($Z173="Loss",$B174=$B173,MOD($C174-$D173,1)*1440&lt;'⚙️ Setelan'!$B$9),"⚠️ Revenge",""))</f>
        <v/>
      </c>
      <c r="AM174" s="68"/>
      <c r="AN174" s="58" t="str">
        <f>IF($AM174="","",IFERROR(_xlfn.IMAGE(IF(REGEXMATCH($AM174,"\.(png|jpg|jpeg|gif)$"),$AM174,"https://s3.tradingview.com/snapshots/"&amp;LOWER(MID(REGEXEXTRACT($AM174,"/x/([A-Za-z0-9]+)"),1,1))&amp;"/"&amp;REGEXEXTRACT($AM174,"/x/([A-Za-z0-9]+)")&amp;".png"),1),"⚠️ link tidak dikenali"))</f>
        <v/>
      </c>
      <c r="AO174" s="68"/>
      <c r="AP174" s="58" t="str">
        <f>IF($AO174="","",IFERROR(_xlfn.IMAGE(IF(REGEXMATCH($AO174,"\.(png|jpg|jpeg|gif)$"),$AO174,"https://s3.tradingview.com/snapshots/"&amp;LOWER(MID(REGEXEXTRACT($AO174,"/x/([A-Za-z0-9]+)"),1,1))&amp;"/"&amp;REGEXEXTRACT($AO174,"/x/([A-Za-z0-9]+)")&amp;".png"),1),"⚠️ link tidak dikenali"))</f>
        <v/>
      </c>
      <c r="AQ174" s="66">
        <f>IF($Z174="",0,IF(AND(OR('📊 Dashboard'!$B$4="(Semua)",$F174='📊 Dashboard'!$B$4),OR('📊 Dashboard'!$B$5="(Semua)",$H174='📊 Dashboard'!$B$5),OR('📊 Dashboard'!$B$6="(Semua)",$E174='📊 Dashboard'!$B$6),OR('📊 Dashboard'!$B$7="(Semua)",$AF174='📊 Dashboard'!$B$7),OR('📊 Dashboard'!$B$8="(Semua)",$AG174='📊 Dashboard'!$B$8),OR('📊 Dashboard'!$B$9="(Semua)",$K174='📊 Dashboard'!$B$9)),1,0))</f>
        <v>0</v>
      </c>
      <c r="AR174" s="69"/>
    </row>
    <row r="175" ht="58" customHeight="1" spans="1:44">
      <c r="A175" s="58" t="str">
        <f t="shared" si="14"/>
        <v/>
      </c>
      <c r="B175" s="59"/>
      <c r="C175" s="60"/>
      <c r="D175" s="60"/>
      <c r="E175" s="58" t="str">
        <f t="shared" si="15"/>
        <v/>
      </c>
      <c r="F175" s="61"/>
      <c r="G175" s="61"/>
      <c r="H175" s="61"/>
      <c r="I175" s="61"/>
      <c r="J175" s="61"/>
      <c r="K175" s="61"/>
      <c r="L175" s="61"/>
      <c r="M175" s="61"/>
      <c r="N175" s="62"/>
      <c r="O175" s="62"/>
      <c r="P175" s="62"/>
      <c r="Q175" s="62"/>
      <c r="R175" s="63" t="str">
        <f>IFERROR(IF(OR($N175="",$O175="",$F175=""),"",ROUND(('⚙️ Setelan'!$B$3*'⚙️ Setelan'!$B$4/100)/(ABS($N175-$O175)*VLOOKUP($F175,'⚙️ Setelan'!$A$14:$F$20,4,FALSE)),2)),"")</f>
        <v/>
      </c>
      <c r="S175" s="64"/>
      <c r="T175" s="65" t="str">
        <f>IFERROR(IF(OR($N175="",$O175="",$S175=""),"",ABS($N175-$O175)*$S175*VLOOKUP($F175,'⚙️ Setelan'!$A$14:$F$20,4,FALSE)),"")</f>
        <v/>
      </c>
      <c r="U175" s="63" t="str">
        <f t="shared" si="16"/>
        <v/>
      </c>
      <c r="V175" s="65" t="str">
        <f>IFERROR(IF(OR($Q175="",$N175="",$S175=""),"",($Q175-$N175)*IF($G175="Buy",1,-1)*$S175*VLOOKUP($F175,'⚙️ Setelan'!$A$14:$F$20,4,FALSE)),"")</f>
        <v/>
      </c>
      <c r="W175" s="65" t="str">
        <f>IFERROR(IF(OR($S175="",$F175=""),"",$S175*VLOOKUP($F175,'⚙️ Setelan'!$A$14:$F$20,5,FALSE)),"")</f>
        <v/>
      </c>
      <c r="X175" s="65" t="str">
        <f t="shared" si="17"/>
        <v/>
      </c>
      <c r="Y175" s="63" t="str">
        <f t="shared" si="18"/>
        <v/>
      </c>
      <c r="Z175" s="58" t="str">
        <f t="shared" si="19"/>
        <v/>
      </c>
      <c r="AA175" s="66" t="str">
        <f t="shared" si="20"/>
        <v/>
      </c>
      <c r="AB175" s="62"/>
      <c r="AC175" s="62"/>
      <c r="AD175" s="63" t="str">
        <f>IFERROR(IF(OR($AB175="",$T175="",$T175=0),"",ROUND(ABS($N175-$AB175)*$S175*VLOOKUP($F175,'⚙️ Setelan'!$A$14:$F$20,4,FALSE)/$T175,2)),"")</f>
        <v/>
      </c>
      <c r="AE175" s="63" t="str">
        <f>IFERROR(IF(OR($AC175="",$T175="",$T175=0),"",ROUND(ABS($AC175-$N175)*$S175*VLOOKUP($F175,'⚙️ Setelan'!$A$14:$F$20,4,FALSE)/$T175,2)),"")</f>
        <v/>
      </c>
      <c r="AF175" s="61"/>
      <c r="AG175" s="61"/>
      <c r="AH175" s="61"/>
      <c r="AI175" s="61"/>
      <c r="AJ175" s="61"/>
      <c r="AK175" s="67"/>
      <c r="AL175" s="58" t="str">
        <f>IF(OR($C175="",$B175=""),"",IF(AND($Z174="Loss",$B175=$B174,MOD($C175-$D174,1)*1440&lt;'⚙️ Setelan'!$B$9),"⚠️ Revenge",""))</f>
        <v/>
      </c>
      <c r="AM175" s="68"/>
      <c r="AN175" s="58" t="str">
        <f>IF($AM175="","",IFERROR(_xlfn.IMAGE(IF(REGEXMATCH($AM175,"\.(png|jpg|jpeg|gif)$"),$AM175,"https://s3.tradingview.com/snapshots/"&amp;LOWER(MID(REGEXEXTRACT($AM175,"/x/([A-Za-z0-9]+)"),1,1))&amp;"/"&amp;REGEXEXTRACT($AM175,"/x/([A-Za-z0-9]+)")&amp;".png"),1),"⚠️ link tidak dikenali"))</f>
        <v/>
      </c>
      <c r="AO175" s="68"/>
      <c r="AP175" s="58" t="str">
        <f>IF($AO175="","",IFERROR(_xlfn.IMAGE(IF(REGEXMATCH($AO175,"\.(png|jpg|jpeg|gif)$"),$AO175,"https://s3.tradingview.com/snapshots/"&amp;LOWER(MID(REGEXEXTRACT($AO175,"/x/([A-Za-z0-9]+)"),1,1))&amp;"/"&amp;REGEXEXTRACT($AO175,"/x/([A-Za-z0-9]+)")&amp;".png"),1),"⚠️ link tidak dikenali"))</f>
        <v/>
      </c>
      <c r="AQ175" s="66">
        <f>IF($Z175="",0,IF(AND(OR('📊 Dashboard'!$B$4="(Semua)",$F175='📊 Dashboard'!$B$4),OR('📊 Dashboard'!$B$5="(Semua)",$H175='📊 Dashboard'!$B$5),OR('📊 Dashboard'!$B$6="(Semua)",$E175='📊 Dashboard'!$B$6),OR('📊 Dashboard'!$B$7="(Semua)",$AF175='📊 Dashboard'!$B$7),OR('📊 Dashboard'!$B$8="(Semua)",$AG175='📊 Dashboard'!$B$8),OR('📊 Dashboard'!$B$9="(Semua)",$K175='📊 Dashboard'!$B$9)),1,0))</f>
        <v>0</v>
      </c>
      <c r="AR175" s="69"/>
    </row>
    <row r="176" ht="58" customHeight="1" spans="1:44">
      <c r="A176" s="58" t="str">
        <f t="shared" si="14"/>
        <v/>
      </c>
      <c r="B176" s="59"/>
      <c r="C176" s="60"/>
      <c r="D176" s="60"/>
      <c r="E176" s="58" t="str">
        <f t="shared" si="15"/>
        <v/>
      </c>
      <c r="F176" s="61"/>
      <c r="G176" s="61"/>
      <c r="H176" s="61"/>
      <c r="I176" s="61"/>
      <c r="J176" s="61"/>
      <c r="K176" s="61"/>
      <c r="L176" s="61"/>
      <c r="M176" s="61"/>
      <c r="N176" s="62"/>
      <c r="O176" s="62"/>
      <c r="P176" s="62"/>
      <c r="Q176" s="62"/>
      <c r="R176" s="63" t="str">
        <f>IFERROR(IF(OR($N176="",$O176="",$F176=""),"",ROUND(('⚙️ Setelan'!$B$3*'⚙️ Setelan'!$B$4/100)/(ABS($N176-$O176)*VLOOKUP($F176,'⚙️ Setelan'!$A$14:$F$20,4,FALSE)),2)),"")</f>
        <v/>
      </c>
      <c r="S176" s="64"/>
      <c r="T176" s="65" t="str">
        <f>IFERROR(IF(OR($N176="",$O176="",$S176=""),"",ABS($N176-$O176)*$S176*VLOOKUP($F176,'⚙️ Setelan'!$A$14:$F$20,4,FALSE)),"")</f>
        <v/>
      </c>
      <c r="U176" s="63" t="str">
        <f t="shared" si="16"/>
        <v/>
      </c>
      <c r="V176" s="65" t="str">
        <f>IFERROR(IF(OR($Q176="",$N176="",$S176=""),"",($Q176-$N176)*IF($G176="Buy",1,-1)*$S176*VLOOKUP($F176,'⚙️ Setelan'!$A$14:$F$20,4,FALSE)),"")</f>
        <v/>
      </c>
      <c r="W176" s="65" t="str">
        <f>IFERROR(IF(OR($S176="",$F176=""),"",$S176*VLOOKUP($F176,'⚙️ Setelan'!$A$14:$F$20,5,FALSE)),"")</f>
        <v/>
      </c>
      <c r="X176" s="65" t="str">
        <f t="shared" si="17"/>
        <v/>
      </c>
      <c r="Y176" s="63" t="str">
        <f t="shared" si="18"/>
        <v/>
      </c>
      <c r="Z176" s="58" t="str">
        <f t="shared" si="19"/>
        <v/>
      </c>
      <c r="AA176" s="66" t="str">
        <f t="shared" si="20"/>
        <v/>
      </c>
      <c r="AB176" s="62"/>
      <c r="AC176" s="62"/>
      <c r="AD176" s="63" t="str">
        <f>IFERROR(IF(OR($AB176="",$T176="",$T176=0),"",ROUND(ABS($N176-$AB176)*$S176*VLOOKUP($F176,'⚙️ Setelan'!$A$14:$F$20,4,FALSE)/$T176,2)),"")</f>
        <v/>
      </c>
      <c r="AE176" s="63" t="str">
        <f>IFERROR(IF(OR($AC176="",$T176="",$T176=0),"",ROUND(ABS($AC176-$N176)*$S176*VLOOKUP($F176,'⚙️ Setelan'!$A$14:$F$20,4,FALSE)/$T176,2)),"")</f>
        <v/>
      </c>
      <c r="AF176" s="61"/>
      <c r="AG176" s="61"/>
      <c r="AH176" s="61"/>
      <c r="AI176" s="61"/>
      <c r="AJ176" s="61"/>
      <c r="AK176" s="67"/>
      <c r="AL176" s="58" t="str">
        <f>IF(OR($C176="",$B176=""),"",IF(AND($Z175="Loss",$B176=$B175,MOD($C176-$D175,1)*1440&lt;'⚙️ Setelan'!$B$9),"⚠️ Revenge",""))</f>
        <v/>
      </c>
      <c r="AM176" s="68"/>
      <c r="AN176" s="58" t="str">
        <f>IF($AM176="","",IFERROR(_xlfn.IMAGE(IF(REGEXMATCH($AM176,"\.(png|jpg|jpeg|gif)$"),$AM176,"https://s3.tradingview.com/snapshots/"&amp;LOWER(MID(REGEXEXTRACT($AM176,"/x/([A-Za-z0-9]+)"),1,1))&amp;"/"&amp;REGEXEXTRACT($AM176,"/x/([A-Za-z0-9]+)")&amp;".png"),1),"⚠️ link tidak dikenali"))</f>
        <v/>
      </c>
      <c r="AO176" s="68"/>
      <c r="AP176" s="58" t="str">
        <f>IF($AO176="","",IFERROR(_xlfn.IMAGE(IF(REGEXMATCH($AO176,"\.(png|jpg|jpeg|gif)$"),$AO176,"https://s3.tradingview.com/snapshots/"&amp;LOWER(MID(REGEXEXTRACT($AO176,"/x/([A-Za-z0-9]+)"),1,1))&amp;"/"&amp;REGEXEXTRACT($AO176,"/x/([A-Za-z0-9]+)")&amp;".png"),1),"⚠️ link tidak dikenali"))</f>
        <v/>
      </c>
      <c r="AQ176" s="66">
        <f>IF($Z176="",0,IF(AND(OR('📊 Dashboard'!$B$4="(Semua)",$F176='📊 Dashboard'!$B$4),OR('📊 Dashboard'!$B$5="(Semua)",$H176='📊 Dashboard'!$B$5),OR('📊 Dashboard'!$B$6="(Semua)",$E176='📊 Dashboard'!$B$6),OR('📊 Dashboard'!$B$7="(Semua)",$AF176='📊 Dashboard'!$B$7),OR('📊 Dashboard'!$B$8="(Semua)",$AG176='📊 Dashboard'!$B$8),OR('📊 Dashboard'!$B$9="(Semua)",$K176='📊 Dashboard'!$B$9)),1,0))</f>
        <v>0</v>
      </c>
      <c r="AR176" s="69"/>
    </row>
    <row r="177" ht="58" customHeight="1" spans="1:44">
      <c r="A177" s="58" t="str">
        <f t="shared" si="14"/>
        <v/>
      </c>
      <c r="B177" s="59"/>
      <c r="C177" s="60"/>
      <c r="D177" s="60"/>
      <c r="E177" s="58" t="str">
        <f t="shared" si="15"/>
        <v/>
      </c>
      <c r="F177" s="61"/>
      <c r="G177" s="61"/>
      <c r="H177" s="61"/>
      <c r="I177" s="61"/>
      <c r="J177" s="61"/>
      <c r="K177" s="61"/>
      <c r="L177" s="61"/>
      <c r="M177" s="61"/>
      <c r="N177" s="62"/>
      <c r="O177" s="62"/>
      <c r="P177" s="62"/>
      <c r="Q177" s="62"/>
      <c r="R177" s="63" t="str">
        <f>IFERROR(IF(OR($N177="",$O177="",$F177=""),"",ROUND(('⚙️ Setelan'!$B$3*'⚙️ Setelan'!$B$4/100)/(ABS($N177-$O177)*VLOOKUP($F177,'⚙️ Setelan'!$A$14:$F$20,4,FALSE)),2)),"")</f>
        <v/>
      </c>
      <c r="S177" s="64"/>
      <c r="T177" s="65" t="str">
        <f>IFERROR(IF(OR($N177="",$O177="",$S177=""),"",ABS($N177-$O177)*$S177*VLOOKUP($F177,'⚙️ Setelan'!$A$14:$F$20,4,FALSE)),"")</f>
        <v/>
      </c>
      <c r="U177" s="63" t="str">
        <f t="shared" si="16"/>
        <v/>
      </c>
      <c r="V177" s="65" t="str">
        <f>IFERROR(IF(OR($Q177="",$N177="",$S177=""),"",($Q177-$N177)*IF($G177="Buy",1,-1)*$S177*VLOOKUP($F177,'⚙️ Setelan'!$A$14:$F$20,4,FALSE)),"")</f>
        <v/>
      </c>
      <c r="W177" s="65" t="str">
        <f>IFERROR(IF(OR($S177="",$F177=""),"",$S177*VLOOKUP($F177,'⚙️ Setelan'!$A$14:$F$20,5,FALSE)),"")</f>
        <v/>
      </c>
      <c r="X177" s="65" t="str">
        <f t="shared" si="17"/>
        <v/>
      </c>
      <c r="Y177" s="63" t="str">
        <f t="shared" si="18"/>
        <v/>
      </c>
      <c r="Z177" s="58" t="str">
        <f t="shared" si="19"/>
        <v/>
      </c>
      <c r="AA177" s="66" t="str">
        <f t="shared" si="20"/>
        <v/>
      </c>
      <c r="AB177" s="62"/>
      <c r="AC177" s="62"/>
      <c r="AD177" s="63" t="str">
        <f>IFERROR(IF(OR($AB177="",$T177="",$T177=0),"",ROUND(ABS($N177-$AB177)*$S177*VLOOKUP($F177,'⚙️ Setelan'!$A$14:$F$20,4,FALSE)/$T177,2)),"")</f>
        <v/>
      </c>
      <c r="AE177" s="63" t="str">
        <f>IFERROR(IF(OR($AC177="",$T177="",$T177=0),"",ROUND(ABS($AC177-$N177)*$S177*VLOOKUP($F177,'⚙️ Setelan'!$A$14:$F$20,4,FALSE)/$T177,2)),"")</f>
        <v/>
      </c>
      <c r="AF177" s="61"/>
      <c r="AG177" s="61"/>
      <c r="AH177" s="61"/>
      <c r="AI177" s="61"/>
      <c r="AJ177" s="61"/>
      <c r="AK177" s="67"/>
      <c r="AL177" s="58" t="str">
        <f>IF(OR($C177="",$B177=""),"",IF(AND($Z176="Loss",$B177=$B176,MOD($C177-$D176,1)*1440&lt;'⚙️ Setelan'!$B$9),"⚠️ Revenge",""))</f>
        <v/>
      </c>
      <c r="AM177" s="68"/>
      <c r="AN177" s="58" t="str">
        <f>IF($AM177="","",IFERROR(_xlfn.IMAGE(IF(REGEXMATCH($AM177,"\.(png|jpg|jpeg|gif)$"),$AM177,"https://s3.tradingview.com/snapshots/"&amp;LOWER(MID(REGEXEXTRACT($AM177,"/x/([A-Za-z0-9]+)"),1,1))&amp;"/"&amp;REGEXEXTRACT($AM177,"/x/([A-Za-z0-9]+)")&amp;".png"),1),"⚠️ link tidak dikenali"))</f>
        <v/>
      </c>
      <c r="AO177" s="68"/>
      <c r="AP177" s="58" t="str">
        <f>IF($AO177="","",IFERROR(_xlfn.IMAGE(IF(REGEXMATCH($AO177,"\.(png|jpg|jpeg|gif)$"),$AO177,"https://s3.tradingview.com/snapshots/"&amp;LOWER(MID(REGEXEXTRACT($AO177,"/x/([A-Za-z0-9]+)"),1,1))&amp;"/"&amp;REGEXEXTRACT($AO177,"/x/([A-Za-z0-9]+)")&amp;".png"),1),"⚠️ link tidak dikenali"))</f>
        <v/>
      </c>
      <c r="AQ177" s="66">
        <f>IF($Z177="",0,IF(AND(OR('📊 Dashboard'!$B$4="(Semua)",$F177='📊 Dashboard'!$B$4),OR('📊 Dashboard'!$B$5="(Semua)",$H177='📊 Dashboard'!$B$5),OR('📊 Dashboard'!$B$6="(Semua)",$E177='📊 Dashboard'!$B$6),OR('📊 Dashboard'!$B$7="(Semua)",$AF177='📊 Dashboard'!$B$7),OR('📊 Dashboard'!$B$8="(Semua)",$AG177='📊 Dashboard'!$B$8),OR('📊 Dashboard'!$B$9="(Semua)",$K177='📊 Dashboard'!$B$9)),1,0))</f>
        <v>0</v>
      </c>
      <c r="AR177" s="69"/>
    </row>
    <row r="178" ht="58" customHeight="1" spans="1:44">
      <c r="A178" s="58" t="str">
        <f t="shared" si="14"/>
        <v/>
      </c>
      <c r="B178" s="59"/>
      <c r="C178" s="60"/>
      <c r="D178" s="60"/>
      <c r="E178" s="58" t="str">
        <f t="shared" si="15"/>
        <v/>
      </c>
      <c r="F178" s="61"/>
      <c r="G178" s="61"/>
      <c r="H178" s="61"/>
      <c r="I178" s="61"/>
      <c r="J178" s="61"/>
      <c r="K178" s="61"/>
      <c r="L178" s="61"/>
      <c r="M178" s="61"/>
      <c r="N178" s="62"/>
      <c r="O178" s="62"/>
      <c r="P178" s="62"/>
      <c r="Q178" s="62"/>
      <c r="R178" s="63" t="str">
        <f>IFERROR(IF(OR($N178="",$O178="",$F178=""),"",ROUND(('⚙️ Setelan'!$B$3*'⚙️ Setelan'!$B$4/100)/(ABS($N178-$O178)*VLOOKUP($F178,'⚙️ Setelan'!$A$14:$F$20,4,FALSE)),2)),"")</f>
        <v/>
      </c>
      <c r="S178" s="64"/>
      <c r="T178" s="65" t="str">
        <f>IFERROR(IF(OR($N178="",$O178="",$S178=""),"",ABS($N178-$O178)*$S178*VLOOKUP($F178,'⚙️ Setelan'!$A$14:$F$20,4,FALSE)),"")</f>
        <v/>
      </c>
      <c r="U178" s="63" t="str">
        <f t="shared" si="16"/>
        <v/>
      </c>
      <c r="V178" s="65" t="str">
        <f>IFERROR(IF(OR($Q178="",$N178="",$S178=""),"",($Q178-$N178)*IF($G178="Buy",1,-1)*$S178*VLOOKUP($F178,'⚙️ Setelan'!$A$14:$F$20,4,FALSE)),"")</f>
        <v/>
      </c>
      <c r="W178" s="65" t="str">
        <f>IFERROR(IF(OR($S178="",$F178=""),"",$S178*VLOOKUP($F178,'⚙️ Setelan'!$A$14:$F$20,5,FALSE)),"")</f>
        <v/>
      </c>
      <c r="X178" s="65" t="str">
        <f t="shared" si="17"/>
        <v/>
      </c>
      <c r="Y178" s="63" t="str">
        <f t="shared" si="18"/>
        <v/>
      </c>
      <c r="Z178" s="58" t="str">
        <f t="shared" si="19"/>
        <v/>
      </c>
      <c r="AA178" s="66" t="str">
        <f t="shared" si="20"/>
        <v/>
      </c>
      <c r="AB178" s="62"/>
      <c r="AC178" s="62"/>
      <c r="AD178" s="63" t="str">
        <f>IFERROR(IF(OR($AB178="",$T178="",$T178=0),"",ROUND(ABS($N178-$AB178)*$S178*VLOOKUP($F178,'⚙️ Setelan'!$A$14:$F$20,4,FALSE)/$T178,2)),"")</f>
        <v/>
      </c>
      <c r="AE178" s="63" t="str">
        <f>IFERROR(IF(OR($AC178="",$T178="",$T178=0),"",ROUND(ABS($AC178-$N178)*$S178*VLOOKUP($F178,'⚙️ Setelan'!$A$14:$F$20,4,FALSE)/$T178,2)),"")</f>
        <v/>
      </c>
      <c r="AF178" s="61"/>
      <c r="AG178" s="61"/>
      <c r="AH178" s="61"/>
      <c r="AI178" s="61"/>
      <c r="AJ178" s="61"/>
      <c r="AK178" s="67"/>
      <c r="AL178" s="58" t="str">
        <f>IF(OR($C178="",$B178=""),"",IF(AND($Z177="Loss",$B178=$B177,MOD($C178-$D177,1)*1440&lt;'⚙️ Setelan'!$B$9),"⚠️ Revenge",""))</f>
        <v/>
      </c>
      <c r="AM178" s="68"/>
      <c r="AN178" s="58" t="str">
        <f>IF($AM178="","",IFERROR(_xlfn.IMAGE(IF(REGEXMATCH($AM178,"\.(png|jpg|jpeg|gif)$"),$AM178,"https://s3.tradingview.com/snapshots/"&amp;LOWER(MID(REGEXEXTRACT($AM178,"/x/([A-Za-z0-9]+)"),1,1))&amp;"/"&amp;REGEXEXTRACT($AM178,"/x/([A-Za-z0-9]+)")&amp;".png"),1),"⚠️ link tidak dikenali"))</f>
        <v/>
      </c>
      <c r="AO178" s="68"/>
      <c r="AP178" s="58" t="str">
        <f>IF($AO178="","",IFERROR(_xlfn.IMAGE(IF(REGEXMATCH($AO178,"\.(png|jpg|jpeg|gif)$"),$AO178,"https://s3.tradingview.com/snapshots/"&amp;LOWER(MID(REGEXEXTRACT($AO178,"/x/([A-Za-z0-9]+)"),1,1))&amp;"/"&amp;REGEXEXTRACT($AO178,"/x/([A-Za-z0-9]+)")&amp;".png"),1),"⚠️ link tidak dikenali"))</f>
        <v/>
      </c>
      <c r="AQ178" s="66">
        <f>IF($Z178="",0,IF(AND(OR('📊 Dashboard'!$B$4="(Semua)",$F178='📊 Dashboard'!$B$4),OR('📊 Dashboard'!$B$5="(Semua)",$H178='📊 Dashboard'!$B$5),OR('📊 Dashboard'!$B$6="(Semua)",$E178='📊 Dashboard'!$B$6),OR('📊 Dashboard'!$B$7="(Semua)",$AF178='📊 Dashboard'!$B$7),OR('📊 Dashboard'!$B$8="(Semua)",$AG178='📊 Dashboard'!$B$8),OR('📊 Dashboard'!$B$9="(Semua)",$K178='📊 Dashboard'!$B$9)),1,0))</f>
        <v>0</v>
      </c>
      <c r="AR178" s="69"/>
    </row>
    <row r="179" ht="58" customHeight="1" spans="1:44">
      <c r="A179" s="58" t="str">
        <f t="shared" si="14"/>
        <v/>
      </c>
      <c r="B179" s="59"/>
      <c r="C179" s="60"/>
      <c r="D179" s="60"/>
      <c r="E179" s="58" t="str">
        <f t="shared" si="15"/>
        <v/>
      </c>
      <c r="F179" s="61"/>
      <c r="G179" s="61"/>
      <c r="H179" s="61"/>
      <c r="I179" s="61"/>
      <c r="J179" s="61"/>
      <c r="K179" s="61"/>
      <c r="L179" s="61"/>
      <c r="M179" s="61"/>
      <c r="N179" s="62"/>
      <c r="O179" s="62"/>
      <c r="P179" s="62"/>
      <c r="Q179" s="62"/>
      <c r="R179" s="63" t="str">
        <f>IFERROR(IF(OR($N179="",$O179="",$F179=""),"",ROUND(('⚙️ Setelan'!$B$3*'⚙️ Setelan'!$B$4/100)/(ABS($N179-$O179)*VLOOKUP($F179,'⚙️ Setelan'!$A$14:$F$20,4,FALSE)),2)),"")</f>
        <v/>
      </c>
      <c r="S179" s="64"/>
      <c r="T179" s="65" t="str">
        <f>IFERROR(IF(OR($N179="",$O179="",$S179=""),"",ABS($N179-$O179)*$S179*VLOOKUP($F179,'⚙️ Setelan'!$A$14:$F$20,4,FALSE)),"")</f>
        <v/>
      </c>
      <c r="U179" s="63" t="str">
        <f t="shared" si="16"/>
        <v/>
      </c>
      <c r="V179" s="65" t="str">
        <f>IFERROR(IF(OR($Q179="",$N179="",$S179=""),"",($Q179-$N179)*IF($G179="Buy",1,-1)*$S179*VLOOKUP($F179,'⚙️ Setelan'!$A$14:$F$20,4,FALSE)),"")</f>
        <v/>
      </c>
      <c r="W179" s="65" t="str">
        <f>IFERROR(IF(OR($S179="",$F179=""),"",$S179*VLOOKUP($F179,'⚙️ Setelan'!$A$14:$F$20,5,FALSE)),"")</f>
        <v/>
      </c>
      <c r="X179" s="65" t="str">
        <f t="shared" si="17"/>
        <v/>
      </c>
      <c r="Y179" s="63" t="str">
        <f t="shared" si="18"/>
        <v/>
      </c>
      <c r="Z179" s="58" t="str">
        <f t="shared" si="19"/>
        <v/>
      </c>
      <c r="AA179" s="66" t="str">
        <f t="shared" si="20"/>
        <v/>
      </c>
      <c r="AB179" s="62"/>
      <c r="AC179" s="62"/>
      <c r="AD179" s="63" t="str">
        <f>IFERROR(IF(OR($AB179="",$T179="",$T179=0),"",ROUND(ABS($N179-$AB179)*$S179*VLOOKUP($F179,'⚙️ Setelan'!$A$14:$F$20,4,FALSE)/$T179,2)),"")</f>
        <v/>
      </c>
      <c r="AE179" s="63" t="str">
        <f>IFERROR(IF(OR($AC179="",$T179="",$T179=0),"",ROUND(ABS($AC179-$N179)*$S179*VLOOKUP($F179,'⚙️ Setelan'!$A$14:$F$20,4,FALSE)/$T179,2)),"")</f>
        <v/>
      </c>
      <c r="AF179" s="61"/>
      <c r="AG179" s="61"/>
      <c r="AH179" s="61"/>
      <c r="AI179" s="61"/>
      <c r="AJ179" s="61"/>
      <c r="AK179" s="67"/>
      <c r="AL179" s="58" t="str">
        <f>IF(OR($C179="",$B179=""),"",IF(AND($Z178="Loss",$B179=$B178,MOD($C179-$D178,1)*1440&lt;'⚙️ Setelan'!$B$9),"⚠️ Revenge",""))</f>
        <v/>
      </c>
      <c r="AM179" s="68"/>
      <c r="AN179" s="58" t="str">
        <f>IF($AM179="","",IFERROR(_xlfn.IMAGE(IF(REGEXMATCH($AM179,"\.(png|jpg|jpeg|gif)$"),$AM179,"https://s3.tradingview.com/snapshots/"&amp;LOWER(MID(REGEXEXTRACT($AM179,"/x/([A-Za-z0-9]+)"),1,1))&amp;"/"&amp;REGEXEXTRACT($AM179,"/x/([A-Za-z0-9]+)")&amp;".png"),1),"⚠️ link tidak dikenali"))</f>
        <v/>
      </c>
      <c r="AO179" s="68"/>
      <c r="AP179" s="58" t="str">
        <f>IF($AO179="","",IFERROR(_xlfn.IMAGE(IF(REGEXMATCH($AO179,"\.(png|jpg|jpeg|gif)$"),$AO179,"https://s3.tradingview.com/snapshots/"&amp;LOWER(MID(REGEXEXTRACT($AO179,"/x/([A-Za-z0-9]+)"),1,1))&amp;"/"&amp;REGEXEXTRACT($AO179,"/x/([A-Za-z0-9]+)")&amp;".png"),1),"⚠️ link tidak dikenali"))</f>
        <v/>
      </c>
      <c r="AQ179" s="66">
        <f>IF($Z179="",0,IF(AND(OR('📊 Dashboard'!$B$4="(Semua)",$F179='📊 Dashboard'!$B$4),OR('📊 Dashboard'!$B$5="(Semua)",$H179='📊 Dashboard'!$B$5),OR('📊 Dashboard'!$B$6="(Semua)",$E179='📊 Dashboard'!$B$6),OR('📊 Dashboard'!$B$7="(Semua)",$AF179='📊 Dashboard'!$B$7),OR('📊 Dashboard'!$B$8="(Semua)",$AG179='📊 Dashboard'!$B$8),OR('📊 Dashboard'!$B$9="(Semua)",$K179='📊 Dashboard'!$B$9)),1,0))</f>
        <v>0</v>
      </c>
      <c r="AR179" s="69"/>
    </row>
    <row r="180" ht="58" customHeight="1" spans="1:44">
      <c r="A180" s="58" t="str">
        <f t="shared" si="14"/>
        <v/>
      </c>
      <c r="B180" s="59"/>
      <c r="C180" s="60"/>
      <c r="D180" s="60"/>
      <c r="E180" s="58" t="str">
        <f t="shared" si="15"/>
        <v/>
      </c>
      <c r="F180" s="61"/>
      <c r="G180" s="61"/>
      <c r="H180" s="61"/>
      <c r="I180" s="61"/>
      <c r="J180" s="61"/>
      <c r="K180" s="61"/>
      <c r="L180" s="61"/>
      <c r="M180" s="61"/>
      <c r="N180" s="62"/>
      <c r="O180" s="62"/>
      <c r="P180" s="62"/>
      <c r="Q180" s="62"/>
      <c r="R180" s="63" t="str">
        <f>IFERROR(IF(OR($N180="",$O180="",$F180=""),"",ROUND(('⚙️ Setelan'!$B$3*'⚙️ Setelan'!$B$4/100)/(ABS($N180-$O180)*VLOOKUP($F180,'⚙️ Setelan'!$A$14:$F$20,4,FALSE)),2)),"")</f>
        <v/>
      </c>
      <c r="S180" s="64"/>
      <c r="T180" s="65" t="str">
        <f>IFERROR(IF(OR($N180="",$O180="",$S180=""),"",ABS($N180-$O180)*$S180*VLOOKUP($F180,'⚙️ Setelan'!$A$14:$F$20,4,FALSE)),"")</f>
        <v/>
      </c>
      <c r="U180" s="63" t="str">
        <f t="shared" si="16"/>
        <v/>
      </c>
      <c r="V180" s="65" t="str">
        <f>IFERROR(IF(OR($Q180="",$N180="",$S180=""),"",($Q180-$N180)*IF($G180="Buy",1,-1)*$S180*VLOOKUP($F180,'⚙️ Setelan'!$A$14:$F$20,4,FALSE)),"")</f>
        <v/>
      </c>
      <c r="W180" s="65" t="str">
        <f>IFERROR(IF(OR($S180="",$F180=""),"",$S180*VLOOKUP($F180,'⚙️ Setelan'!$A$14:$F$20,5,FALSE)),"")</f>
        <v/>
      </c>
      <c r="X180" s="65" t="str">
        <f t="shared" si="17"/>
        <v/>
      </c>
      <c r="Y180" s="63" t="str">
        <f t="shared" si="18"/>
        <v/>
      </c>
      <c r="Z180" s="58" t="str">
        <f t="shared" si="19"/>
        <v/>
      </c>
      <c r="AA180" s="66" t="str">
        <f t="shared" si="20"/>
        <v/>
      </c>
      <c r="AB180" s="62"/>
      <c r="AC180" s="62"/>
      <c r="AD180" s="63" t="str">
        <f>IFERROR(IF(OR($AB180="",$T180="",$T180=0),"",ROUND(ABS($N180-$AB180)*$S180*VLOOKUP($F180,'⚙️ Setelan'!$A$14:$F$20,4,FALSE)/$T180,2)),"")</f>
        <v/>
      </c>
      <c r="AE180" s="63" t="str">
        <f>IFERROR(IF(OR($AC180="",$T180="",$T180=0),"",ROUND(ABS($AC180-$N180)*$S180*VLOOKUP($F180,'⚙️ Setelan'!$A$14:$F$20,4,FALSE)/$T180,2)),"")</f>
        <v/>
      </c>
      <c r="AF180" s="61"/>
      <c r="AG180" s="61"/>
      <c r="AH180" s="61"/>
      <c r="AI180" s="61"/>
      <c r="AJ180" s="61"/>
      <c r="AK180" s="67"/>
      <c r="AL180" s="58" t="str">
        <f>IF(OR($C180="",$B180=""),"",IF(AND($Z179="Loss",$B180=$B179,MOD($C180-$D179,1)*1440&lt;'⚙️ Setelan'!$B$9),"⚠️ Revenge",""))</f>
        <v/>
      </c>
      <c r="AM180" s="68"/>
      <c r="AN180" s="58" t="str">
        <f>IF($AM180="","",IFERROR(_xlfn.IMAGE(IF(REGEXMATCH($AM180,"\.(png|jpg|jpeg|gif)$"),$AM180,"https://s3.tradingview.com/snapshots/"&amp;LOWER(MID(REGEXEXTRACT($AM180,"/x/([A-Za-z0-9]+)"),1,1))&amp;"/"&amp;REGEXEXTRACT($AM180,"/x/([A-Za-z0-9]+)")&amp;".png"),1),"⚠️ link tidak dikenali"))</f>
        <v/>
      </c>
      <c r="AO180" s="68"/>
      <c r="AP180" s="58" t="str">
        <f>IF($AO180="","",IFERROR(_xlfn.IMAGE(IF(REGEXMATCH($AO180,"\.(png|jpg|jpeg|gif)$"),$AO180,"https://s3.tradingview.com/snapshots/"&amp;LOWER(MID(REGEXEXTRACT($AO180,"/x/([A-Za-z0-9]+)"),1,1))&amp;"/"&amp;REGEXEXTRACT($AO180,"/x/([A-Za-z0-9]+)")&amp;".png"),1),"⚠️ link tidak dikenali"))</f>
        <v/>
      </c>
      <c r="AQ180" s="66">
        <f>IF($Z180="",0,IF(AND(OR('📊 Dashboard'!$B$4="(Semua)",$F180='📊 Dashboard'!$B$4),OR('📊 Dashboard'!$B$5="(Semua)",$H180='📊 Dashboard'!$B$5),OR('📊 Dashboard'!$B$6="(Semua)",$E180='📊 Dashboard'!$B$6),OR('📊 Dashboard'!$B$7="(Semua)",$AF180='📊 Dashboard'!$B$7),OR('📊 Dashboard'!$B$8="(Semua)",$AG180='📊 Dashboard'!$B$8),OR('📊 Dashboard'!$B$9="(Semua)",$K180='📊 Dashboard'!$B$9)),1,0))</f>
        <v>0</v>
      </c>
      <c r="AR180" s="69"/>
    </row>
    <row r="181" ht="58" customHeight="1" spans="1:44">
      <c r="A181" s="58" t="str">
        <f t="shared" si="14"/>
        <v/>
      </c>
      <c r="B181" s="59"/>
      <c r="C181" s="60"/>
      <c r="D181" s="60"/>
      <c r="E181" s="58" t="str">
        <f t="shared" si="15"/>
        <v/>
      </c>
      <c r="F181" s="61"/>
      <c r="G181" s="61"/>
      <c r="H181" s="61"/>
      <c r="I181" s="61"/>
      <c r="J181" s="61"/>
      <c r="K181" s="61"/>
      <c r="L181" s="61"/>
      <c r="M181" s="61"/>
      <c r="N181" s="62"/>
      <c r="O181" s="62"/>
      <c r="P181" s="62"/>
      <c r="Q181" s="62"/>
      <c r="R181" s="63" t="str">
        <f>IFERROR(IF(OR($N181="",$O181="",$F181=""),"",ROUND(('⚙️ Setelan'!$B$3*'⚙️ Setelan'!$B$4/100)/(ABS($N181-$O181)*VLOOKUP($F181,'⚙️ Setelan'!$A$14:$F$20,4,FALSE)),2)),"")</f>
        <v/>
      </c>
      <c r="S181" s="64"/>
      <c r="T181" s="65" t="str">
        <f>IFERROR(IF(OR($N181="",$O181="",$S181=""),"",ABS($N181-$O181)*$S181*VLOOKUP($F181,'⚙️ Setelan'!$A$14:$F$20,4,FALSE)),"")</f>
        <v/>
      </c>
      <c r="U181" s="63" t="str">
        <f t="shared" si="16"/>
        <v/>
      </c>
      <c r="V181" s="65" t="str">
        <f>IFERROR(IF(OR($Q181="",$N181="",$S181=""),"",($Q181-$N181)*IF($G181="Buy",1,-1)*$S181*VLOOKUP($F181,'⚙️ Setelan'!$A$14:$F$20,4,FALSE)),"")</f>
        <v/>
      </c>
      <c r="W181" s="65" t="str">
        <f>IFERROR(IF(OR($S181="",$F181=""),"",$S181*VLOOKUP($F181,'⚙️ Setelan'!$A$14:$F$20,5,FALSE)),"")</f>
        <v/>
      </c>
      <c r="X181" s="65" t="str">
        <f t="shared" si="17"/>
        <v/>
      </c>
      <c r="Y181" s="63" t="str">
        <f t="shared" si="18"/>
        <v/>
      </c>
      <c r="Z181" s="58" t="str">
        <f t="shared" si="19"/>
        <v/>
      </c>
      <c r="AA181" s="66" t="str">
        <f t="shared" si="20"/>
        <v/>
      </c>
      <c r="AB181" s="62"/>
      <c r="AC181" s="62"/>
      <c r="AD181" s="63" t="str">
        <f>IFERROR(IF(OR($AB181="",$T181="",$T181=0),"",ROUND(ABS($N181-$AB181)*$S181*VLOOKUP($F181,'⚙️ Setelan'!$A$14:$F$20,4,FALSE)/$T181,2)),"")</f>
        <v/>
      </c>
      <c r="AE181" s="63" t="str">
        <f>IFERROR(IF(OR($AC181="",$T181="",$T181=0),"",ROUND(ABS($AC181-$N181)*$S181*VLOOKUP($F181,'⚙️ Setelan'!$A$14:$F$20,4,FALSE)/$T181,2)),"")</f>
        <v/>
      </c>
      <c r="AF181" s="61"/>
      <c r="AG181" s="61"/>
      <c r="AH181" s="61"/>
      <c r="AI181" s="61"/>
      <c r="AJ181" s="61"/>
      <c r="AK181" s="67"/>
      <c r="AL181" s="58" t="str">
        <f>IF(OR($C181="",$B181=""),"",IF(AND($Z180="Loss",$B181=$B180,MOD($C181-$D180,1)*1440&lt;'⚙️ Setelan'!$B$9),"⚠️ Revenge",""))</f>
        <v/>
      </c>
      <c r="AM181" s="68"/>
      <c r="AN181" s="58" t="str">
        <f>IF($AM181="","",IFERROR(_xlfn.IMAGE(IF(REGEXMATCH($AM181,"\.(png|jpg|jpeg|gif)$"),$AM181,"https://s3.tradingview.com/snapshots/"&amp;LOWER(MID(REGEXEXTRACT($AM181,"/x/([A-Za-z0-9]+)"),1,1))&amp;"/"&amp;REGEXEXTRACT($AM181,"/x/([A-Za-z0-9]+)")&amp;".png"),1),"⚠️ link tidak dikenali"))</f>
        <v/>
      </c>
      <c r="AO181" s="68"/>
      <c r="AP181" s="58" t="str">
        <f>IF($AO181="","",IFERROR(_xlfn.IMAGE(IF(REGEXMATCH($AO181,"\.(png|jpg|jpeg|gif)$"),$AO181,"https://s3.tradingview.com/snapshots/"&amp;LOWER(MID(REGEXEXTRACT($AO181,"/x/([A-Za-z0-9]+)"),1,1))&amp;"/"&amp;REGEXEXTRACT($AO181,"/x/([A-Za-z0-9]+)")&amp;".png"),1),"⚠️ link tidak dikenali"))</f>
        <v/>
      </c>
      <c r="AQ181" s="66">
        <f>IF($Z181="",0,IF(AND(OR('📊 Dashboard'!$B$4="(Semua)",$F181='📊 Dashboard'!$B$4),OR('📊 Dashboard'!$B$5="(Semua)",$H181='📊 Dashboard'!$B$5),OR('📊 Dashboard'!$B$6="(Semua)",$E181='📊 Dashboard'!$B$6),OR('📊 Dashboard'!$B$7="(Semua)",$AF181='📊 Dashboard'!$B$7),OR('📊 Dashboard'!$B$8="(Semua)",$AG181='📊 Dashboard'!$B$8),OR('📊 Dashboard'!$B$9="(Semua)",$K181='📊 Dashboard'!$B$9)),1,0))</f>
        <v>0</v>
      </c>
      <c r="AR181" s="69"/>
    </row>
    <row r="182" ht="58" customHeight="1" spans="1:44">
      <c r="A182" s="58" t="str">
        <f t="shared" si="14"/>
        <v/>
      </c>
      <c r="B182" s="59"/>
      <c r="C182" s="60"/>
      <c r="D182" s="60"/>
      <c r="E182" s="58" t="str">
        <f t="shared" si="15"/>
        <v/>
      </c>
      <c r="F182" s="61"/>
      <c r="G182" s="61"/>
      <c r="H182" s="61"/>
      <c r="I182" s="61"/>
      <c r="J182" s="61"/>
      <c r="K182" s="61"/>
      <c r="L182" s="61"/>
      <c r="M182" s="61"/>
      <c r="N182" s="62"/>
      <c r="O182" s="62"/>
      <c r="P182" s="62"/>
      <c r="Q182" s="62"/>
      <c r="R182" s="63" t="str">
        <f>IFERROR(IF(OR($N182="",$O182="",$F182=""),"",ROUND(('⚙️ Setelan'!$B$3*'⚙️ Setelan'!$B$4/100)/(ABS($N182-$O182)*VLOOKUP($F182,'⚙️ Setelan'!$A$14:$F$20,4,FALSE)),2)),"")</f>
        <v/>
      </c>
      <c r="S182" s="64"/>
      <c r="T182" s="65" t="str">
        <f>IFERROR(IF(OR($N182="",$O182="",$S182=""),"",ABS($N182-$O182)*$S182*VLOOKUP($F182,'⚙️ Setelan'!$A$14:$F$20,4,FALSE)),"")</f>
        <v/>
      </c>
      <c r="U182" s="63" t="str">
        <f t="shared" si="16"/>
        <v/>
      </c>
      <c r="V182" s="65" t="str">
        <f>IFERROR(IF(OR($Q182="",$N182="",$S182=""),"",($Q182-$N182)*IF($G182="Buy",1,-1)*$S182*VLOOKUP($F182,'⚙️ Setelan'!$A$14:$F$20,4,FALSE)),"")</f>
        <v/>
      </c>
      <c r="W182" s="65" t="str">
        <f>IFERROR(IF(OR($S182="",$F182=""),"",$S182*VLOOKUP($F182,'⚙️ Setelan'!$A$14:$F$20,5,FALSE)),"")</f>
        <v/>
      </c>
      <c r="X182" s="65" t="str">
        <f t="shared" si="17"/>
        <v/>
      </c>
      <c r="Y182" s="63" t="str">
        <f t="shared" si="18"/>
        <v/>
      </c>
      <c r="Z182" s="58" t="str">
        <f t="shared" si="19"/>
        <v/>
      </c>
      <c r="AA182" s="66" t="str">
        <f t="shared" si="20"/>
        <v/>
      </c>
      <c r="AB182" s="62"/>
      <c r="AC182" s="62"/>
      <c r="AD182" s="63" t="str">
        <f>IFERROR(IF(OR($AB182="",$T182="",$T182=0),"",ROUND(ABS($N182-$AB182)*$S182*VLOOKUP($F182,'⚙️ Setelan'!$A$14:$F$20,4,FALSE)/$T182,2)),"")</f>
        <v/>
      </c>
      <c r="AE182" s="63" t="str">
        <f>IFERROR(IF(OR($AC182="",$T182="",$T182=0),"",ROUND(ABS($AC182-$N182)*$S182*VLOOKUP($F182,'⚙️ Setelan'!$A$14:$F$20,4,FALSE)/$T182,2)),"")</f>
        <v/>
      </c>
      <c r="AF182" s="61"/>
      <c r="AG182" s="61"/>
      <c r="AH182" s="61"/>
      <c r="AI182" s="61"/>
      <c r="AJ182" s="61"/>
      <c r="AK182" s="67"/>
      <c r="AL182" s="58" t="str">
        <f>IF(OR($C182="",$B182=""),"",IF(AND($Z181="Loss",$B182=$B181,MOD($C182-$D181,1)*1440&lt;'⚙️ Setelan'!$B$9),"⚠️ Revenge",""))</f>
        <v/>
      </c>
      <c r="AM182" s="68"/>
      <c r="AN182" s="58" t="str">
        <f>IF($AM182="","",IFERROR(_xlfn.IMAGE(IF(REGEXMATCH($AM182,"\.(png|jpg|jpeg|gif)$"),$AM182,"https://s3.tradingview.com/snapshots/"&amp;LOWER(MID(REGEXEXTRACT($AM182,"/x/([A-Za-z0-9]+)"),1,1))&amp;"/"&amp;REGEXEXTRACT($AM182,"/x/([A-Za-z0-9]+)")&amp;".png"),1),"⚠️ link tidak dikenali"))</f>
        <v/>
      </c>
      <c r="AO182" s="68"/>
      <c r="AP182" s="58" t="str">
        <f>IF($AO182="","",IFERROR(_xlfn.IMAGE(IF(REGEXMATCH($AO182,"\.(png|jpg|jpeg|gif)$"),$AO182,"https://s3.tradingview.com/snapshots/"&amp;LOWER(MID(REGEXEXTRACT($AO182,"/x/([A-Za-z0-9]+)"),1,1))&amp;"/"&amp;REGEXEXTRACT($AO182,"/x/([A-Za-z0-9]+)")&amp;".png"),1),"⚠️ link tidak dikenali"))</f>
        <v/>
      </c>
      <c r="AQ182" s="66">
        <f>IF($Z182="",0,IF(AND(OR('📊 Dashboard'!$B$4="(Semua)",$F182='📊 Dashboard'!$B$4),OR('📊 Dashboard'!$B$5="(Semua)",$H182='📊 Dashboard'!$B$5),OR('📊 Dashboard'!$B$6="(Semua)",$E182='📊 Dashboard'!$B$6),OR('📊 Dashboard'!$B$7="(Semua)",$AF182='📊 Dashboard'!$B$7),OR('📊 Dashboard'!$B$8="(Semua)",$AG182='📊 Dashboard'!$B$8),OR('📊 Dashboard'!$B$9="(Semua)",$K182='📊 Dashboard'!$B$9)),1,0))</f>
        <v>0</v>
      </c>
      <c r="AR182" s="69"/>
    </row>
    <row r="183" ht="58" customHeight="1" spans="1:44">
      <c r="A183" s="58" t="str">
        <f t="shared" si="14"/>
        <v/>
      </c>
      <c r="B183" s="59"/>
      <c r="C183" s="60"/>
      <c r="D183" s="60"/>
      <c r="E183" s="58" t="str">
        <f t="shared" si="15"/>
        <v/>
      </c>
      <c r="F183" s="61"/>
      <c r="G183" s="61"/>
      <c r="H183" s="61"/>
      <c r="I183" s="61"/>
      <c r="J183" s="61"/>
      <c r="K183" s="61"/>
      <c r="L183" s="61"/>
      <c r="M183" s="61"/>
      <c r="N183" s="62"/>
      <c r="O183" s="62"/>
      <c r="P183" s="62"/>
      <c r="Q183" s="62"/>
      <c r="R183" s="63" t="str">
        <f>IFERROR(IF(OR($N183="",$O183="",$F183=""),"",ROUND(('⚙️ Setelan'!$B$3*'⚙️ Setelan'!$B$4/100)/(ABS($N183-$O183)*VLOOKUP($F183,'⚙️ Setelan'!$A$14:$F$20,4,FALSE)),2)),"")</f>
        <v/>
      </c>
      <c r="S183" s="64"/>
      <c r="T183" s="65" t="str">
        <f>IFERROR(IF(OR($N183="",$O183="",$S183=""),"",ABS($N183-$O183)*$S183*VLOOKUP($F183,'⚙️ Setelan'!$A$14:$F$20,4,FALSE)),"")</f>
        <v/>
      </c>
      <c r="U183" s="63" t="str">
        <f t="shared" si="16"/>
        <v/>
      </c>
      <c r="V183" s="65" t="str">
        <f>IFERROR(IF(OR($Q183="",$N183="",$S183=""),"",($Q183-$N183)*IF($G183="Buy",1,-1)*$S183*VLOOKUP($F183,'⚙️ Setelan'!$A$14:$F$20,4,FALSE)),"")</f>
        <v/>
      </c>
      <c r="W183" s="65" t="str">
        <f>IFERROR(IF(OR($S183="",$F183=""),"",$S183*VLOOKUP($F183,'⚙️ Setelan'!$A$14:$F$20,5,FALSE)),"")</f>
        <v/>
      </c>
      <c r="X183" s="65" t="str">
        <f t="shared" si="17"/>
        <v/>
      </c>
      <c r="Y183" s="63" t="str">
        <f t="shared" si="18"/>
        <v/>
      </c>
      <c r="Z183" s="58" t="str">
        <f t="shared" si="19"/>
        <v/>
      </c>
      <c r="AA183" s="66" t="str">
        <f t="shared" si="20"/>
        <v/>
      </c>
      <c r="AB183" s="62"/>
      <c r="AC183" s="62"/>
      <c r="AD183" s="63" t="str">
        <f>IFERROR(IF(OR($AB183="",$T183="",$T183=0),"",ROUND(ABS($N183-$AB183)*$S183*VLOOKUP($F183,'⚙️ Setelan'!$A$14:$F$20,4,FALSE)/$T183,2)),"")</f>
        <v/>
      </c>
      <c r="AE183" s="63" t="str">
        <f>IFERROR(IF(OR($AC183="",$T183="",$T183=0),"",ROUND(ABS($AC183-$N183)*$S183*VLOOKUP($F183,'⚙️ Setelan'!$A$14:$F$20,4,FALSE)/$T183,2)),"")</f>
        <v/>
      </c>
      <c r="AF183" s="61"/>
      <c r="AG183" s="61"/>
      <c r="AH183" s="61"/>
      <c r="AI183" s="61"/>
      <c r="AJ183" s="61"/>
      <c r="AK183" s="67"/>
      <c r="AL183" s="58" t="str">
        <f>IF(OR($C183="",$B183=""),"",IF(AND($Z182="Loss",$B183=$B182,MOD($C183-$D182,1)*1440&lt;'⚙️ Setelan'!$B$9),"⚠️ Revenge",""))</f>
        <v/>
      </c>
      <c r="AM183" s="68"/>
      <c r="AN183" s="58" t="str">
        <f>IF($AM183="","",IFERROR(_xlfn.IMAGE(IF(REGEXMATCH($AM183,"\.(png|jpg|jpeg|gif)$"),$AM183,"https://s3.tradingview.com/snapshots/"&amp;LOWER(MID(REGEXEXTRACT($AM183,"/x/([A-Za-z0-9]+)"),1,1))&amp;"/"&amp;REGEXEXTRACT($AM183,"/x/([A-Za-z0-9]+)")&amp;".png"),1),"⚠️ link tidak dikenali"))</f>
        <v/>
      </c>
      <c r="AO183" s="68"/>
      <c r="AP183" s="58" t="str">
        <f>IF($AO183="","",IFERROR(_xlfn.IMAGE(IF(REGEXMATCH($AO183,"\.(png|jpg|jpeg|gif)$"),$AO183,"https://s3.tradingview.com/snapshots/"&amp;LOWER(MID(REGEXEXTRACT($AO183,"/x/([A-Za-z0-9]+)"),1,1))&amp;"/"&amp;REGEXEXTRACT($AO183,"/x/([A-Za-z0-9]+)")&amp;".png"),1),"⚠️ link tidak dikenali"))</f>
        <v/>
      </c>
      <c r="AQ183" s="66">
        <f>IF($Z183="",0,IF(AND(OR('📊 Dashboard'!$B$4="(Semua)",$F183='📊 Dashboard'!$B$4),OR('📊 Dashboard'!$B$5="(Semua)",$H183='📊 Dashboard'!$B$5),OR('📊 Dashboard'!$B$6="(Semua)",$E183='📊 Dashboard'!$B$6),OR('📊 Dashboard'!$B$7="(Semua)",$AF183='📊 Dashboard'!$B$7),OR('📊 Dashboard'!$B$8="(Semua)",$AG183='📊 Dashboard'!$B$8),OR('📊 Dashboard'!$B$9="(Semua)",$K183='📊 Dashboard'!$B$9)),1,0))</f>
        <v>0</v>
      </c>
      <c r="AR183" s="69"/>
    </row>
    <row r="184" ht="58" customHeight="1" spans="1:44">
      <c r="A184" s="58" t="str">
        <f t="shared" si="14"/>
        <v/>
      </c>
      <c r="B184" s="59"/>
      <c r="C184" s="60"/>
      <c r="D184" s="60"/>
      <c r="E184" s="58" t="str">
        <f t="shared" si="15"/>
        <v/>
      </c>
      <c r="F184" s="61"/>
      <c r="G184" s="61"/>
      <c r="H184" s="61"/>
      <c r="I184" s="61"/>
      <c r="J184" s="61"/>
      <c r="K184" s="61"/>
      <c r="L184" s="61"/>
      <c r="M184" s="61"/>
      <c r="N184" s="62"/>
      <c r="O184" s="62"/>
      <c r="P184" s="62"/>
      <c r="Q184" s="62"/>
      <c r="R184" s="63" t="str">
        <f>IFERROR(IF(OR($N184="",$O184="",$F184=""),"",ROUND(('⚙️ Setelan'!$B$3*'⚙️ Setelan'!$B$4/100)/(ABS($N184-$O184)*VLOOKUP($F184,'⚙️ Setelan'!$A$14:$F$20,4,FALSE)),2)),"")</f>
        <v/>
      </c>
      <c r="S184" s="64"/>
      <c r="T184" s="65" t="str">
        <f>IFERROR(IF(OR($N184="",$O184="",$S184=""),"",ABS($N184-$O184)*$S184*VLOOKUP($F184,'⚙️ Setelan'!$A$14:$F$20,4,FALSE)),"")</f>
        <v/>
      </c>
      <c r="U184" s="63" t="str">
        <f t="shared" si="16"/>
        <v/>
      </c>
      <c r="V184" s="65" t="str">
        <f>IFERROR(IF(OR($Q184="",$N184="",$S184=""),"",($Q184-$N184)*IF($G184="Buy",1,-1)*$S184*VLOOKUP($F184,'⚙️ Setelan'!$A$14:$F$20,4,FALSE)),"")</f>
        <v/>
      </c>
      <c r="W184" s="65" t="str">
        <f>IFERROR(IF(OR($S184="",$F184=""),"",$S184*VLOOKUP($F184,'⚙️ Setelan'!$A$14:$F$20,5,FALSE)),"")</f>
        <v/>
      </c>
      <c r="X184" s="65" t="str">
        <f t="shared" si="17"/>
        <v/>
      </c>
      <c r="Y184" s="63" t="str">
        <f t="shared" si="18"/>
        <v/>
      </c>
      <c r="Z184" s="58" t="str">
        <f t="shared" si="19"/>
        <v/>
      </c>
      <c r="AA184" s="66" t="str">
        <f t="shared" si="20"/>
        <v/>
      </c>
      <c r="AB184" s="62"/>
      <c r="AC184" s="62"/>
      <c r="AD184" s="63" t="str">
        <f>IFERROR(IF(OR($AB184="",$T184="",$T184=0),"",ROUND(ABS($N184-$AB184)*$S184*VLOOKUP($F184,'⚙️ Setelan'!$A$14:$F$20,4,FALSE)/$T184,2)),"")</f>
        <v/>
      </c>
      <c r="AE184" s="63" t="str">
        <f>IFERROR(IF(OR($AC184="",$T184="",$T184=0),"",ROUND(ABS($AC184-$N184)*$S184*VLOOKUP($F184,'⚙️ Setelan'!$A$14:$F$20,4,FALSE)/$T184,2)),"")</f>
        <v/>
      </c>
      <c r="AF184" s="61"/>
      <c r="AG184" s="61"/>
      <c r="AH184" s="61"/>
      <c r="AI184" s="61"/>
      <c r="AJ184" s="61"/>
      <c r="AK184" s="67"/>
      <c r="AL184" s="58" t="str">
        <f>IF(OR($C184="",$B184=""),"",IF(AND($Z183="Loss",$B184=$B183,MOD($C184-$D183,1)*1440&lt;'⚙️ Setelan'!$B$9),"⚠️ Revenge",""))</f>
        <v/>
      </c>
      <c r="AM184" s="68"/>
      <c r="AN184" s="58" t="str">
        <f>IF($AM184="","",IFERROR(_xlfn.IMAGE(IF(REGEXMATCH($AM184,"\.(png|jpg|jpeg|gif)$"),$AM184,"https://s3.tradingview.com/snapshots/"&amp;LOWER(MID(REGEXEXTRACT($AM184,"/x/([A-Za-z0-9]+)"),1,1))&amp;"/"&amp;REGEXEXTRACT($AM184,"/x/([A-Za-z0-9]+)")&amp;".png"),1),"⚠️ link tidak dikenali"))</f>
        <v/>
      </c>
      <c r="AO184" s="68"/>
      <c r="AP184" s="58" t="str">
        <f>IF($AO184="","",IFERROR(_xlfn.IMAGE(IF(REGEXMATCH($AO184,"\.(png|jpg|jpeg|gif)$"),$AO184,"https://s3.tradingview.com/snapshots/"&amp;LOWER(MID(REGEXEXTRACT($AO184,"/x/([A-Za-z0-9]+)"),1,1))&amp;"/"&amp;REGEXEXTRACT($AO184,"/x/([A-Za-z0-9]+)")&amp;".png"),1),"⚠️ link tidak dikenali"))</f>
        <v/>
      </c>
      <c r="AQ184" s="66">
        <f>IF($Z184="",0,IF(AND(OR('📊 Dashboard'!$B$4="(Semua)",$F184='📊 Dashboard'!$B$4),OR('📊 Dashboard'!$B$5="(Semua)",$H184='📊 Dashboard'!$B$5),OR('📊 Dashboard'!$B$6="(Semua)",$E184='📊 Dashboard'!$B$6),OR('📊 Dashboard'!$B$7="(Semua)",$AF184='📊 Dashboard'!$B$7),OR('📊 Dashboard'!$B$8="(Semua)",$AG184='📊 Dashboard'!$B$8),OR('📊 Dashboard'!$B$9="(Semua)",$K184='📊 Dashboard'!$B$9)),1,0))</f>
        <v>0</v>
      </c>
      <c r="AR184" s="69"/>
    </row>
    <row r="185" ht="58" customHeight="1" spans="1:44">
      <c r="A185" s="58" t="str">
        <f t="shared" si="14"/>
        <v/>
      </c>
      <c r="B185" s="59"/>
      <c r="C185" s="60"/>
      <c r="D185" s="60"/>
      <c r="E185" s="58" t="str">
        <f t="shared" si="15"/>
        <v/>
      </c>
      <c r="F185" s="61"/>
      <c r="G185" s="61"/>
      <c r="H185" s="61"/>
      <c r="I185" s="61"/>
      <c r="J185" s="61"/>
      <c r="K185" s="61"/>
      <c r="L185" s="61"/>
      <c r="M185" s="61"/>
      <c r="N185" s="62"/>
      <c r="O185" s="62"/>
      <c r="P185" s="62"/>
      <c r="Q185" s="62"/>
      <c r="R185" s="63" t="str">
        <f>IFERROR(IF(OR($N185="",$O185="",$F185=""),"",ROUND(('⚙️ Setelan'!$B$3*'⚙️ Setelan'!$B$4/100)/(ABS($N185-$O185)*VLOOKUP($F185,'⚙️ Setelan'!$A$14:$F$20,4,FALSE)),2)),"")</f>
        <v/>
      </c>
      <c r="S185" s="64"/>
      <c r="T185" s="65" t="str">
        <f>IFERROR(IF(OR($N185="",$O185="",$S185=""),"",ABS($N185-$O185)*$S185*VLOOKUP($F185,'⚙️ Setelan'!$A$14:$F$20,4,FALSE)),"")</f>
        <v/>
      </c>
      <c r="U185" s="63" t="str">
        <f t="shared" si="16"/>
        <v/>
      </c>
      <c r="V185" s="65" t="str">
        <f>IFERROR(IF(OR($Q185="",$N185="",$S185=""),"",($Q185-$N185)*IF($G185="Buy",1,-1)*$S185*VLOOKUP($F185,'⚙️ Setelan'!$A$14:$F$20,4,FALSE)),"")</f>
        <v/>
      </c>
      <c r="W185" s="65" t="str">
        <f>IFERROR(IF(OR($S185="",$F185=""),"",$S185*VLOOKUP($F185,'⚙️ Setelan'!$A$14:$F$20,5,FALSE)),"")</f>
        <v/>
      </c>
      <c r="X185" s="65" t="str">
        <f t="shared" si="17"/>
        <v/>
      </c>
      <c r="Y185" s="63" t="str">
        <f t="shared" si="18"/>
        <v/>
      </c>
      <c r="Z185" s="58" t="str">
        <f t="shared" si="19"/>
        <v/>
      </c>
      <c r="AA185" s="66" t="str">
        <f t="shared" si="20"/>
        <v/>
      </c>
      <c r="AB185" s="62"/>
      <c r="AC185" s="62"/>
      <c r="AD185" s="63" t="str">
        <f>IFERROR(IF(OR($AB185="",$T185="",$T185=0),"",ROUND(ABS($N185-$AB185)*$S185*VLOOKUP($F185,'⚙️ Setelan'!$A$14:$F$20,4,FALSE)/$T185,2)),"")</f>
        <v/>
      </c>
      <c r="AE185" s="63" t="str">
        <f>IFERROR(IF(OR($AC185="",$T185="",$T185=0),"",ROUND(ABS($AC185-$N185)*$S185*VLOOKUP($F185,'⚙️ Setelan'!$A$14:$F$20,4,FALSE)/$T185,2)),"")</f>
        <v/>
      </c>
      <c r="AF185" s="61"/>
      <c r="AG185" s="61"/>
      <c r="AH185" s="61"/>
      <c r="AI185" s="61"/>
      <c r="AJ185" s="61"/>
      <c r="AK185" s="67"/>
      <c r="AL185" s="58" t="str">
        <f>IF(OR($C185="",$B185=""),"",IF(AND($Z184="Loss",$B185=$B184,MOD($C185-$D184,1)*1440&lt;'⚙️ Setelan'!$B$9),"⚠️ Revenge",""))</f>
        <v/>
      </c>
      <c r="AM185" s="68"/>
      <c r="AN185" s="58" t="str">
        <f>IF($AM185="","",IFERROR(_xlfn.IMAGE(IF(REGEXMATCH($AM185,"\.(png|jpg|jpeg|gif)$"),$AM185,"https://s3.tradingview.com/snapshots/"&amp;LOWER(MID(REGEXEXTRACT($AM185,"/x/([A-Za-z0-9]+)"),1,1))&amp;"/"&amp;REGEXEXTRACT($AM185,"/x/([A-Za-z0-9]+)")&amp;".png"),1),"⚠️ link tidak dikenali"))</f>
        <v/>
      </c>
      <c r="AO185" s="68"/>
      <c r="AP185" s="58" t="str">
        <f>IF($AO185="","",IFERROR(_xlfn.IMAGE(IF(REGEXMATCH($AO185,"\.(png|jpg|jpeg|gif)$"),$AO185,"https://s3.tradingview.com/snapshots/"&amp;LOWER(MID(REGEXEXTRACT($AO185,"/x/([A-Za-z0-9]+)"),1,1))&amp;"/"&amp;REGEXEXTRACT($AO185,"/x/([A-Za-z0-9]+)")&amp;".png"),1),"⚠️ link tidak dikenali"))</f>
        <v/>
      </c>
      <c r="AQ185" s="66">
        <f>IF($Z185="",0,IF(AND(OR('📊 Dashboard'!$B$4="(Semua)",$F185='📊 Dashboard'!$B$4),OR('📊 Dashboard'!$B$5="(Semua)",$H185='📊 Dashboard'!$B$5),OR('📊 Dashboard'!$B$6="(Semua)",$E185='📊 Dashboard'!$B$6),OR('📊 Dashboard'!$B$7="(Semua)",$AF185='📊 Dashboard'!$B$7),OR('📊 Dashboard'!$B$8="(Semua)",$AG185='📊 Dashboard'!$B$8),OR('📊 Dashboard'!$B$9="(Semua)",$K185='📊 Dashboard'!$B$9)),1,0))</f>
        <v>0</v>
      </c>
      <c r="AR185" s="69"/>
    </row>
    <row r="186" ht="58" customHeight="1" spans="1:44">
      <c r="A186" s="58" t="str">
        <f t="shared" si="14"/>
        <v/>
      </c>
      <c r="B186" s="59"/>
      <c r="C186" s="60"/>
      <c r="D186" s="60"/>
      <c r="E186" s="58" t="str">
        <f t="shared" si="15"/>
        <v/>
      </c>
      <c r="F186" s="61"/>
      <c r="G186" s="61"/>
      <c r="H186" s="61"/>
      <c r="I186" s="61"/>
      <c r="J186" s="61"/>
      <c r="K186" s="61"/>
      <c r="L186" s="61"/>
      <c r="M186" s="61"/>
      <c r="N186" s="62"/>
      <c r="O186" s="62"/>
      <c r="P186" s="62"/>
      <c r="Q186" s="62"/>
      <c r="R186" s="63" t="str">
        <f>IFERROR(IF(OR($N186="",$O186="",$F186=""),"",ROUND(('⚙️ Setelan'!$B$3*'⚙️ Setelan'!$B$4/100)/(ABS($N186-$O186)*VLOOKUP($F186,'⚙️ Setelan'!$A$14:$F$20,4,FALSE)),2)),"")</f>
        <v/>
      </c>
      <c r="S186" s="64"/>
      <c r="T186" s="65" t="str">
        <f>IFERROR(IF(OR($N186="",$O186="",$S186=""),"",ABS($N186-$O186)*$S186*VLOOKUP($F186,'⚙️ Setelan'!$A$14:$F$20,4,FALSE)),"")</f>
        <v/>
      </c>
      <c r="U186" s="63" t="str">
        <f t="shared" si="16"/>
        <v/>
      </c>
      <c r="V186" s="65" t="str">
        <f>IFERROR(IF(OR($Q186="",$N186="",$S186=""),"",($Q186-$N186)*IF($G186="Buy",1,-1)*$S186*VLOOKUP($F186,'⚙️ Setelan'!$A$14:$F$20,4,FALSE)),"")</f>
        <v/>
      </c>
      <c r="W186" s="65" t="str">
        <f>IFERROR(IF(OR($S186="",$F186=""),"",$S186*VLOOKUP($F186,'⚙️ Setelan'!$A$14:$F$20,5,FALSE)),"")</f>
        <v/>
      </c>
      <c r="X186" s="65" t="str">
        <f t="shared" si="17"/>
        <v/>
      </c>
      <c r="Y186" s="63" t="str">
        <f t="shared" si="18"/>
        <v/>
      </c>
      <c r="Z186" s="58" t="str">
        <f t="shared" si="19"/>
        <v/>
      </c>
      <c r="AA186" s="66" t="str">
        <f t="shared" si="20"/>
        <v/>
      </c>
      <c r="AB186" s="62"/>
      <c r="AC186" s="62"/>
      <c r="AD186" s="63" t="str">
        <f>IFERROR(IF(OR($AB186="",$T186="",$T186=0),"",ROUND(ABS($N186-$AB186)*$S186*VLOOKUP($F186,'⚙️ Setelan'!$A$14:$F$20,4,FALSE)/$T186,2)),"")</f>
        <v/>
      </c>
      <c r="AE186" s="63" t="str">
        <f>IFERROR(IF(OR($AC186="",$T186="",$T186=0),"",ROUND(ABS($AC186-$N186)*$S186*VLOOKUP($F186,'⚙️ Setelan'!$A$14:$F$20,4,FALSE)/$T186,2)),"")</f>
        <v/>
      </c>
      <c r="AF186" s="61"/>
      <c r="AG186" s="61"/>
      <c r="AH186" s="61"/>
      <c r="AI186" s="61"/>
      <c r="AJ186" s="61"/>
      <c r="AK186" s="67"/>
      <c r="AL186" s="58" t="str">
        <f>IF(OR($C186="",$B186=""),"",IF(AND($Z185="Loss",$B186=$B185,MOD($C186-$D185,1)*1440&lt;'⚙️ Setelan'!$B$9),"⚠️ Revenge",""))</f>
        <v/>
      </c>
      <c r="AM186" s="68"/>
      <c r="AN186" s="58" t="str">
        <f>IF($AM186="","",IFERROR(_xlfn.IMAGE(IF(REGEXMATCH($AM186,"\.(png|jpg|jpeg|gif)$"),$AM186,"https://s3.tradingview.com/snapshots/"&amp;LOWER(MID(REGEXEXTRACT($AM186,"/x/([A-Za-z0-9]+)"),1,1))&amp;"/"&amp;REGEXEXTRACT($AM186,"/x/([A-Za-z0-9]+)")&amp;".png"),1),"⚠️ link tidak dikenali"))</f>
        <v/>
      </c>
      <c r="AO186" s="68"/>
      <c r="AP186" s="58" t="str">
        <f>IF($AO186="","",IFERROR(_xlfn.IMAGE(IF(REGEXMATCH($AO186,"\.(png|jpg|jpeg|gif)$"),$AO186,"https://s3.tradingview.com/snapshots/"&amp;LOWER(MID(REGEXEXTRACT($AO186,"/x/([A-Za-z0-9]+)"),1,1))&amp;"/"&amp;REGEXEXTRACT($AO186,"/x/([A-Za-z0-9]+)")&amp;".png"),1),"⚠️ link tidak dikenali"))</f>
        <v/>
      </c>
      <c r="AQ186" s="66">
        <f>IF($Z186="",0,IF(AND(OR('📊 Dashboard'!$B$4="(Semua)",$F186='📊 Dashboard'!$B$4),OR('📊 Dashboard'!$B$5="(Semua)",$H186='📊 Dashboard'!$B$5),OR('📊 Dashboard'!$B$6="(Semua)",$E186='📊 Dashboard'!$B$6),OR('📊 Dashboard'!$B$7="(Semua)",$AF186='📊 Dashboard'!$B$7),OR('📊 Dashboard'!$B$8="(Semua)",$AG186='📊 Dashboard'!$B$8),OR('📊 Dashboard'!$B$9="(Semua)",$K186='📊 Dashboard'!$B$9)),1,0))</f>
        <v>0</v>
      </c>
      <c r="AR186" s="69"/>
    </row>
    <row r="187" ht="58" customHeight="1" spans="1:44">
      <c r="A187" s="58" t="str">
        <f t="shared" si="14"/>
        <v/>
      </c>
      <c r="B187" s="59"/>
      <c r="C187" s="60"/>
      <c r="D187" s="60"/>
      <c r="E187" s="58" t="str">
        <f t="shared" si="15"/>
        <v/>
      </c>
      <c r="F187" s="61"/>
      <c r="G187" s="61"/>
      <c r="H187" s="61"/>
      <c r="I187" s="61"/>
      <c r="J187" s="61"/>
      <c r="K187" s="61"/>
      <c r="L187" s="61"/>
      <c r="M187" s="61"/>
      <c r="N187" s="62"/>
      <c r="O187" s="62"/>
      <c r="P187" s="62"/>
      <c r="Q187" s="62"/>
      <c r="R187" s="63" t="str">
        <f>IFERROR(IF(OR($N187="",$O187="",$F187=""),"",ROUND(('⚙️ Setelan'!$B$3*'⚙️ Setelan'!$B$4/100)/(ABS($N187-$O187)*VLOOKUP($F187,'⚙️ Setelan'!$A$14:$F$20,4,FALSE)),2)),"")</f>
        <v/>
      </c>
      <c r="S187" s="64"/>
      <c r="T187" s="65" t="str">
        <f>IFERROR(IF(OR($N187="",$O187="",$S187=""),"",ABS($N187-$O187)*$S187*VLOOKUP($F187,'⚙️ Setelan'!$A$14:$F$20,4,FALSE)),"")</f>
        <v/>
      </c>
      <c r="U187" s="63" t="str">
        <f t="shared" si="16"/>
        <v/>
      </c>
      <c r="V187" s="65" t="str">
        <f>IFERROR(IF(OR($Q187="",$N187="",$S187=""),"",($Q187-$N187)*IF($G187="Buy",1,-1)*$S187*VLOOKUP($F187,'⚙️ Setelan'!$A$14:$F$20,4,FALSE)),"")</f>
        <v/>
      </c>
      <c r="W187" s="65" t="str">
        <f>IFERROR(IF(OR($S187="",$F187=""),"",$S187*VLOOKUP($F187,'⚙️ Setelan'!$A$14:$F$20,5,FALSE)),"")</f>
        <v/>
      </c>
      <c r="X187" s="65" t="str">
        <f t="shared" si="17"/>
        <v/>
      </c>
      <c r="Y187" s="63" t="str">
        <f t="shared" si="18"/>
        <v/>
      </c>
      <c r="Z187" s="58" t="str">
        <f t="shared" si="19"/>
        <v/>
      </c>
      <c r="AA187" s="66" t="str">
        <f t="shared" si="20"/>
        <v/>
      </c>
      <c r="AB187" s="62"/>
      <c r="AC187" s="62"/>
      <c r="AD187" s="63" t="str">
        <f>IFERROR(IF(OR($AB187="",$T187="",$T187=0),"",ROUND(ABS($N187-$AB187)*$S187*VLOOKUP($F187,'⚙️ Setelan'!$A$14:$F$20,4,FALSE)/$T187,2)),"")</f>
        <v/>
      </c>
      <c r="AE187" s="63" t="str">
        <f>IFERROR(IF(OR($AC187="",$T187="",$T187=0),"",ROUND(ABS($AC187-$N187)*$S187*VLOOKUP($F187,'⚙️ Setelan'!$A$14:$F$20,4,FALSE)/$T187,2)),"")</f>
        <v/>
      </c>
      <c r="AF187" s="61"/>
      <c r="AG187" s="61"/>
      <c r="AH187" s="61"/>
      <c r="AI187" s="61"/>
      <c r="AJ187" s="61"/>
      <c r="AK187" s="67"/>
      <c r="AL187" s="58" t="str">
        <f>IF(OR($C187="",$B187=""),"",IF(AND($Z186="Loss",$B187=$B186,MOD($C187-$D186,1)*1440&lt;'⚙️ Setelan'!$B$9),"⚠️ Revenge",""))</f>
        <v/>
      </c>
      <c r="AM187" s="68"/>
      <c r="AN187" s="58" t="str">
        <f>IF($AM187="","",IFERROR(_xlfn.IMAGE(IF(REGEXMATCH($AM187,"\.(png|jpg|jpeg|gif)$"),$AM187,"https://s3.tradingview.com/snapshots/"&amp;LOWER(MID(REGEXEXTRACT($AM187,"/x/([A-Za-z0-9]+)"),1,1))&amp;"/"&amp;REGEXEXTRACT($AM187,"/x/([A-Za-z0-9]+)")&amp;".png"),1),"⚠️ link tidak dikenali"))</f>
        <v/>
      </c>
      <c r="AO187" s="68"/>
      <c r="AP187" s="58" t="str">
        <f>IF($AO187="","",IFERROR(_xlfn.IMAGE(IF(REGEXMATCH($AO187,"\.(png|jpg|jpeg|gif)$"),$AO187,"https://s3.tradingview.com/snapshots/"&amp;LOWER(MID(REGEXEXTRACT($AO187,"/x/([A-Za-z0-9]+)"),1,1))&amp;"/"&amp;REGEXEXTRACT($AO187,"/x/([A-Za-z0-9]+)")&amp;".png"),1),"⚠️ link tidak dikenali"))</f>
        <v/>
      </c>
      <c r="AQ187" s="66">
        <f>IF($Z187="",0,IF(AND(OR('📊 Dashboard'!$B$4="(Semua)",$F187='📊 Dashboard'!$B$4),OR('📊 Dashboard'!$B$5="(Semua)",$H187='📊 Dashboard'!$B$5),OR('📊 Dashboard'!$B$6="(Semua)",$E187='📊 Dashboard'!$B$6),OR('📊 Dashboard'!$B$7="(Semua)",$AF187='📊 Dashboard'!$B$7),OR('📊 Dashboard'!$B$8="(Semua)",$AG187='📊 Dashboard'!$B$8),OR('📊 Dashboard'!$B$9="(Semua)",$K187='📊 Dashboard'!$B$9)),1,0))</f>
        <v>0</v>
      </c>
      <c r="AR187" s="69"/>
    </row>
    <row r="188" ht="58" customHeight="1" spans="1:44">
      <c r="A188" s="58" t="str">
        <f t="shared" si="14"/>
        <v/>
      </c>
      <c r="B188" s="59"/>
      <c r="C188" s="60"/>
      <c r="D188" s="60"/>
      <c r="E188" s="58" t="str">
        <f t="shared" si="15"/>
        <v/>
      </c>
      <c r="F188" s="61"/>
      <c r="G188" s="61"/>
      <c r="H188" s="61"/>
      <c r="I188" s="61"/>
      <c r="J188" s="61"/>
      <c r="K188" s="61"/>
      <c r="L188" s="61"/>
      <c r="M188" s="61"/>
      <c r="N188" s="62"/>
      <c r="O188" s="62"/>
      <c r="P188" s="62"/>
      <c r="Q188" s="62"/>
      <c r="R188" s="63" t="str">
        <f>IFERROR(IF(OR($N188="",$O188="",$F188=""),"",ROUND(('⚙️ Setelan'!$B$3*'⚙️ Setelan'!$B$4/100)/(ABS($N188-$O188)*VLOOKUP($F188,'⚙️ Setelan'!$A$14:$F$20,4,FALSE)),2)),"")</f>
        <v/>
      </c>
      <c r="S188" s="64"/>
      <c r="T188" s="65" t="str">
        <f>IFERROR(IF(OR($N188="",$O188="",$S188=""),"",ABS($N188-$O188)*$S188*VLOOKUP($F188,'⚙️ Setelan'!$A$14:$F$20,4,FALSE)),"")</f>
        <v/>
      </c>
      <c r="U188" s="63" t="str">
        <f t="shared" si="16"/>
        <v/>
      </c>
      <c r="V188" s="65" t="str">
        <f>IFERROR(IF(OR($Q188="",$N188="",$S188=""),"",($Q188-$N188)*IF($G188="Buy",1,-1)*$S188*VLOOKUP($F188,'⚙️ Setelan'!$A$14:$F$20,4,FALSE)),"")</f>
        <v/>
      </c>
      <c r="W188" s="65" t="str">
        <f>IFERROR(IF(OR($S188="",$F188=""),"",$S188*VLOOKUP($F188,'⚙️ Setelan'!$A$14:$F$20,5,FALSE)),"")</f>
        <v/>
      </c>
      <c r="X188" s="65" t="str">
        <f t="shared" si="17"/>
        <v/>
      </c>
      <c r="Y188" s="63" t="str">
        <f t="shared" si="18"/>
        <v/>
      </c>
      <c r="Z188" s="58" t="str">
        <f t="shared" si="19"/>
        <v/>
      </c>
      <c r="AA188" s="66" t="str">
        <f t="shared" si="20"/>
        <v/>
      </c>
      <c r="AB188" s="62"/>
      <c r="AC188" s="62"/>
      <c r="AD188" s="63" t="str">
        <f>IFERROR(IF(OR($AB188="",$T188="",$T188=0),"",ROUND(ABS($N188-$AB188)*$S188*VLOOKUP($F188,'⚙️ Setelan'!$A$14:$F$20,4,FALSE)/$T188,2)),"")</f>
        <v/>
      </c>
      <c r="AE188" s="63" t="str">
        <f>IFERROR(IF(OR($AC188="",$T188="",$T188=0),"",ROUND(ABS($AC188-$N188)*$S188*VLOOKUP($F188,'⚙️ Setelan'!$A$14:$F$20,4,FALSE)/$T188,2)),"")</f>
        <v/>
      </c>
      <c r="AF188" s="61"/>
      <c r="AG188" s="61"/>
      <c r="AH188" s="61"/>
      <c r="AI188" s="61"/>
      <c r="AJ188" s="61"/>
      <c r="AK188" s="67"/>
      <c r="AL188" s="58" t="str">
        <f>IF(OR($C188="",$B188=""),"",IF(AND($Z187="Loss",$B188=$B187,MOD($C188-$D187,1)*1440&lt;'⚙️ Setelan'!$B$9),"⚠️ Revenge",""))</f>
        <v/>
      </c>
      <c r="AM188" s="68"/>
      <c r="AN188" s="58" t="str">
        <f>IF($AM188="","",IFERROR(_xlfn.IMAGE(IF(REGEXMATCH($AM188,"\.(png|jpg|jpeg|gif)$"),$AM188,"https://s3.tradingview.com/snapshots/"&amp;LOWER(MID(REGEXEXTRACT($AM188,"/x/([A-Za-z0-9]+)"),1,1))&amp;"/"&amp;REGEXEXTRACT($AM188,"/x/([A-Za-z0-9]+)")&amp;".png"),1),"⚠️ link tidak dikenali"))</f>
        <v/>
      </c>
      <c r="AO188" s="68"/>
      <c r="AP188" s="58" t="str">
        <f>IF($AO188="","",IFERROR(_xlfn.IMAGE(IF(REGEXMATCH($AO188,"\.(png|jpg|jpeg|gif)$"),$AO188,"https://s3.tradingview.com/snapshots/"&amp;LOWER(MID(REGEXEXTRACT($AO188,"/x/([A-Za-z0-9]+)"),1,1))&amp;"/"&amp;REGEXEXTRACT($AO188,"/x/([A-Za-z0-9]+)")&amp;".png"),1),"⚠️ link tidak dikenali"))</f>
        <v/>
      </c>
      <c r="AQ188" s="66">
        <f>IF($Z188="",0,IF(AND(OR('📊 Dashboard'!$B$4="(Semua)",$F188='📊 Dashboard'!$B$4),OR('📊 Dashboard'!$B$5="(Semua)",$H188='📊 Dashboard'!$B$5),OR('📊 Dashboard'!$B$6="(Semua)",$E188='📊 Dashboard'!$B$6),OR('📊 Dashboard'!$B$7="(Semua)",$AF188='📊 Dashboard'!$B$7),OR('📊 Dashboard'!$B$8="(Semua)",$AG188='📊 Dashboard'!$B$8),OR('📊 Dashboard'!$B$9="(Semua)",$K188='📊 Dashboard'!$B$9)),1,0))</f>
        <v>0</v>
      </c>
      <c r="AR188" s="69"/>
    </row>
    <row r="189" ht="58" customHeight="1" spans="1:44">
      <c r="A189" s="58" t="str">
        <f t="shared" si="14"/>
        <v/>
      </c>
      <c r="B189" s="59"/>
      <c r="C189" s="60"/>
      <c r="D189" s="60"/>
      <c r="E189" s="58" t="str">
        <f t="shared" si="15"/>
        <v/>
      </c>
      <c r="F189" s="61"/>
      <c r="G189" s="61"/>
      <c r="H189" s="61"/>
      <c r="I189" s="61"/>
      <c r="J189" s="61"/>
      <c r="K189" s="61"/>
      <c r="L189" s="61"/>
      <c r="M189" s="61"/>
      <c r="N189" s="62"/>
      <c r="O189" s="62"/>
      <c r="P189" s="62"/>
      <c r="Q189" s="62"/>
      <c r="R189" s="63" t="str">
        <f>IFERROR(IF(OR($N189="",$O189="",$F189=""),"",ROUND(('⚙️ Setelan'!$B$3*'⚙️ Setelan'!$B$4/100)/(ABS($N189-$O189)*VLOOKUP($F189,'⚙️ Setelan'!$A$14:$F$20,4,FALSE)),2)),"")</f>
        <v/>
      </c>
      <c r="S189" s="64"/>
      <c r="T189" s="65" t="str">
        <f>IFERROR(IF(OR($N189="",$O189="",$S189=""),"",ABS($N189-$O189)*$S189*VLOOKUP($F189,'⚙️ Setelan'!$A$14:$F$20,4,FALSE)),"")</f>
        <v/>
      </c>
      <c r="U189" s="63" t="str">
        <f t="shared" si="16"/>
        <v/>
      </c>
      <c r="V189" s="65" t="str">
        <f>IFERROR(IF(OR($Q189="",$N189="",$S189=""),"",($Q189-$N189)*IF($G189="Buy",1,-1)*$S189*VLOOKUP($F189,'⚙️ Setelan'!$A$14:$F$20,4,FALSE)),"")</f>
        <v/>
      </c>
      <c r="W189" s="65" t="str">
        <f>IFERROR(IF(OR($S189="",$F189=""),"",$S189*VLOOKUP($F189,'⚙️ Setelan'!$A$14:$F$20,5,FALSE)),"")</f>
        <v/>
      </c>
      <c r="X189" s="65" t="str">
        <f t="shared" si="17"/>
        <v/>
      </c>
      <c r="Y189" s="63" t="str">
        <f t="shared" si="18"/>
        <v/>
      </c>
      <c r="Z189" s="58" t="str">
        <f t="shared" si="19"/>
        <v/>
      </c>
      <c r="AA189" s="66" t="str">
        <f t="shared" si="20"/>
        <v/>
      </c>
      <c r="AB189" s="62"/>
      <c r="AC189" s="62"/>
      <c r="AD189" s="63" t="str">
        <f>IFERROR(IF(OR($AB189="",$T189="",$T189=0),"",ROUND(ABS($N189-$AB189)*$S189*VLOOKUP($F189,'⚙️ Setelan'!$A$14:$F$20,4,FALSE)/$T189,2)),"")</f>
        <v/>
      </c>
      <c r="AE189" s="63" t="str">
        <f>IFERROR(IF(OR($AC189="",$T189="",$T189=0),"",ROUND(ABS($AC189-$N189)*$S189*VLOOKUP($F189,'⚙️ Setelan'!$A$14:$F$20,4,FALSE)/$T189,2)),"")</f>
        <v/>
      </c>
      <c r="AF189" s="61"/>
      <c r="AG189" s="61"/>
      <c r="AH189" s="61"/>
      <c r="AI189" s="61"/>
      <c r="AJ189" s="61"/>
      <c r="AK189" s="67"/>
      <c r="AL189" s="58" t="str">
        <f>IF(OR($C189="",$B189=""),"",IF(AND($Z188="Loss",$B189=$B188,MOD($C189-$D188,1)*1440&lt;'⚙️ Setelan'!$B$9),"⚠️ Revenge",""))</f>
        <v/>
      </c>
      <c r="AM189" s="68"/>
      <c r="AN189" s="58" t="str">
        <f>IF($AM189="","",IFERROR(_xlfn.IMAGE(IF(REGEXMATCH($AM189,"\.(png|jpg|jpeg|gif)$"),$AM189,"https://s3.tradingview.com/snapshots/"&amp;LOWER(MID(REGEXEXTRACT($AM189,"/x/([A-Za-z0-9]+)"),1,1))&amp;"/"&amp;REGEXEXTRACT($AM189,"/x/([A-Za-z0-9]+)")&amp;".png"),1),"⚠️ link tidak dikenali"))</f>
        <v/>
      </c>
      <c r="AO189" s="68"/>
      <c r="AP189" s="58" t="str">
        <f>IF($AO189="","",IFERROR(_xlfn.IMAGE(IF(REGEXMATCH($AO189,"\.(png|jpg|jpeg|gif)$"),$AO189,"https://s3.tradingview.com/snapshots/"&amp;LOWER(MID(REGEXEXTRACT($AO189,"/x/([A-Za-z0-9]+)"),1,1))&amp;"/"&amp;REGEXEXTRACT($AO189,"/x/([A-Za-z0-9]+)")&amp;".png"),1),"⚠️ link tidak dikenali"))</f>
        <v/>
      </c>
      <c r="AQ189" s="66">
        <f>IF($Z189="",0,IF(AND(OR('📊 Dashboard'!$B$4="(Semua)",$F189='📊 Dashboard'!$B$4),OR('📊 Dashboard'!$B$5="(Semua)",$H189='📊 Dashboard'!$B$5),OR('📊 Dashboard'!$B$6="(Semua)",$E189='📊 Dashboard'!$B$6),OR('📊 Dashboard'!$B$7="(Semua)",$AF189='📊 Dashboard'!$B$7),OR('📊 Dashboard'!$B$8="(Semua)",$AG189='📊 Dashboard'!$B$8),OR('📊 Dashboard'!$B$9="(Semua)",$K189='📊 Dashboard'!$B$9)),1,0))</f>
        <v>0</v>
      </c>
      <c r="AR189" s="69"/>
    </row>
    <row r="190" ht="58" customHeight="1" spans="1:44">
      <c r="A190" s="58" t="str">
        <f t="shared" si="14"/>
        <v/>
      </c>
      <c r="B190" s="59"/>
      <c r="C190" s="60"/>
      <c r="D190" s="60"/>
      <c r="E190" s="58" t="str">
        <f t="shared" si="15"/>
        <v/>
      </c>
      <c r="F190" s="61"/>
      <c r="G190" s="61"/>
      <c r="H190" s="61"/>
      <c r="I190" s="61"/>
      <c r="J190" s="61"/>
      <c r="K190" s="61"/>
      <c r="L190" s="61"/>
      <c r="M190" s="61"/>
      <c r="N190" s="62"/>
      <c r="O190" s="62"/>
      <c r="P190" s="62"/>
      <c r="Q190" s="62"/>
      <c r="R190" s="63" t="str">
        <f>IFERROR(IF(OR($N190="",$O190="",$F190=""),"",ROUND(('⚙️ Setelan'!$B$3*'⚙️ Setelan'!$B$4/100)/(ABS($N190-$O190)*VLOOKUP($F190,'⚙️ Setelan'!$A$14:$F$20,4,FALSE)),2)),"")</f>
        <v/>
      </c>
      <c r="S190" s="64"/>
      <c r="T190" s="65" t="str">
        <f>IFERROR(IF(OR($N190="",$O190="",$S190=""),"",ABS($N190-$O190)*$S190*VLOOKUP($F190,'⚙️ Setelan'!$A$14:$F$20,4,FALSE)),"")</f>
        <v/>
      </c>
      <c r="U190" s="63" t="str">
        <f t="shared" si="16"/>
        <v/>
      </c>
      <c r="V190" s="65" t="str">
        <f>IFERROR(IF(OR($Q190="",$N190="",$S190=""),"",($Q190-$N190)*IF($G190="Buy",1,-1)*$S190*VLOOKUP($F190,'⚙️ Setelan'!$A$14:$F$20,4,FALSE)),"")</f>
        <v/>
      </c>
      <c r="W190" s="65" t="str">
        <f>IFERROR(IF(OR($S190="",$F190=""),"",$S190*VLOOKUP($F190,'⚙️ Setelan'!$A$14:$F$20,5,FALSE)),"")</f>
        <v/>
      </c>
      <c r="X190" s="65" t="str">
        <f t="shared" si="17"/>
        <v/>
      </c>
      <c r="Y190" s="63" t="str">
        <f t="shared" si="18"/>
        <v/>
      </c>
      <c r="Z190" s="58" t="str">
        <f t="shared" si="19"/>
        <v/>
      </c>
      <c r="AA190" s="66" t="str">
        <f t="shared" si="20"/>
        <v/>
      </c>
      <c r="AB190" s="62"/>
      <c r="AC190" s="62"/>
      <c r="AD190" s="63" t="str">
        <f>IFERROR(IF(OR($AB190="",$T190="",$T190=0),"",ROUND(ABS($N190-$AB190)*$S190*VLOOKUP($F190,'⚙️ Setelan'!$A$14:$F$20,4,FALSE)/$T190,2)),"")</f>
        <v/>
      </c>
      <c r="AE190" s="63" t="str">
        <f>IFERROR(IF(OR($AC190="",$T190="",$T190=0),"",ROUND(ABS($AC190-$N190)*$S190*VLOOKUP($F190,'⚙️ Setelan'!$A$14:$F$20,4,FALSE)/$T190,2)),"")</f>
        <v/>
      </c>
      <c r="AF190" s="61"/>
      <c r="AG190" s="61"/>
      <c r="AH190" s="61"/>
      <c r="AI190" s="61"/>
      <c r="AJ190" s="61"/>
      <c r="AK190" s="67"/>
      <c r="AL190" s="58" t="str">
        <f>IF(OR($C190="",$B190=""),"",IF(AND($Z189="Loss",$B190=$B189,MOD($C190-$D189,1)*1440&lt;'⚙️ Setelan'!$B$9),"⚠️ Revenge",""))</f>
        <v/>
      </c>
      <c r="AM190" s="68"/>
      <c r="AN190" s="58" t="str">
        <f>IF($AM190="","",IFERROR(_xlfn.IMAGE(IF(REGEXMATCH($AM190,"\.(png|jpg|jpeg|gif)$"),$AM190,"https://s3.tradingview.com/snapshots/"&amp;LOWER(MID(REGEXEXTRACT($AM190,"/x/([A-Za-z0-9]+)"),1,1))&amp;"/"&amp;REGEXEXTRACT($AM190,"/x/([A-Za-z0-9]+)")&amp;".png"),1),"⚠️ link tidak dikenali"))</f>
        <v/>
      </c>
      <c r="AO190" s="68"/>
      <c r="AP190" s="58" t="str">
        <f>IF($AO190="","",IFERROR(_xlfn.IMAGE(IF(REGEXMATCH($AO190,"\.(png|jpg|jpeg|gif)$"),$AO190,"https://s3.tradingview.com/snapshots/"&amp;LOWER(MID(REGEXEXTRACT($AO190,"/x/([A-Za-z0-9]+)"),1,1))&amp;"/"&amp;REGEXEXTRACT($AO190,"/x/([A-Za-z0-9]+)")&amp;".png"),1),"⚠️ link tidak dikenali"))</f>
        <v/>
      </c>
      <c r="AQ190" s="66">
        <f>IF($Z190="",0,IF(AND(OR('📊 Dashboard'!$B$4="(Semua)",$F190='📊 Dashboard'!$B$4),OR('📊 Dashboard'!$B$5="(Semua)",$H190='📊 Dashboard'!$B$5),OR('📊 Dashboard'!$B$6="(Semua)",$E190='📊 Dashboard'!$B$6),OR('📊 Dashboard'!$B$7="(Semua)",$AF190='📊 Dashboard'!$B$7),OR('📊 Dashboard'!$B$8="(Semua)",$AG190='📊 Dashboard'!$B$8),OR('📊 Dashboard'!$B$9="(Semua)",$K190='📊 Dashboard'!$B$9)),1,0))</f>
        <v>0</v>
      </c>
      <c r="AR190" s="69"/>
    </row>
    <row r="191" ht="58" customHeight="1" spans="1:44">
      <c r="A191" s="58" t="str">
        <f t="shared" si="14"/>
        <v/>
      </c>
      <c r="B191" s="59"/>
      <c r="C191" s="60"/>
      <c r="D191" s="60"/>
      <c r="E191" s="58" t="str">
        <f t="shared" si="15"/>
        <v/>
      </c>
      <c r="F191" s="61"/>
      <c r="G191" s="61"/>
      <c r="H191" s="61"/>
      <c r="I191" s="61"/>
      <c r="J191" s="61"/>
      <c r="K191" s="61"/>
      <c r="L191" s="61"/>
      <c r="M191" s="61"/>
      <c r="N191" s="62"/>
      <c r="O191" s="62"/>
      <c r="P191" s="62"/>
      <c r="Q191" s="62"/>
      <c r="R191" s="63" t="str">
        <f>IFERROR(IF(OR($N191="",$O191="",$F191=""),"",ROUND(('⚙️ Setelan'!$B$3*'⚙️ Setelan'!$B$4/100)/(ABS($N191-$O191)*VLOOKUP($F191,'⚙️ Setelan'!$A$14:$F$20,4,FALSE)),2)),"")</f>
        <v/>
      </c>
      <c r="S191" s="64"/>
      <c r="T191" s="65" t="str">
        <f>IFERROR(IF(OR($N191="",$O191="",$S191=""),"",ABS($N191-$O191)*$S191*VLOOKUP($F191,'⚙️ Setelan'!$A$14:$F$20,4,FALSE)),"")</f>
        <v/>
      </c>
      <c r="U191" s="63" t="str">
        <f t="shared" si="16"/>
        <v/>
      </c>
      <c r="V191" s="65" t="str">
        <f>IFERROR(IF(OR($Q191="",$N191="",$S191=""),"",($Q191-$N191)*IF($G191="Buy",1,-1)*$S191*VLOOKUP($F191,'⚙️ Setelan'!$A$14:$F$20,4,FALSE)),"")</f>
        <v/>
      </c>
      <c r="W191" s="65" t="str">
        <f>IFERROR(IF(OR($S191="",$F191=""),"",$S191*VLOOKUP($F191,'⚙️ Setelan'!$A$14:$F$20,5,FALSE)),"")</f>
        <v/>
      </c>
      <c r="X191" s="65" t="str">
        <f t="shared" si="17"/>
        <v/>
      </c>
      <c r="Y191" s="63" t="str">
        <f t="shared" si="18"/>
        <v/>
      </c>
      <c r="Z191" s="58" t="str">
        <f t="shared" si="19"/>
        <v/>
      </c>
      <c r="AA191" s="66" t="str">
        <f t="shared" si="20"/>
        <v/>
      </c>
      <c r="AB191" s="62"/>
      <c r="AC191" s="62"/>
      <c r="AD191" s="63" t="str">
        <f>IFERROR(IF(OR($AB191="",$T191="",$T191=0),"",ROUND(ABS($N191-$AB191)*$S191*VLOOKUP($F191,'⚙️ Setelan'!$A$14:$F$20,4,FALSE)/$T191,2)),"")</f>
        <v/>
      </c>
      <c r="AE191" s="63" t="str">
        <f>IFERROR(IF(OR($AC191="",$T191="",$T191=0),"",ROUND(ABS($AC191-$N191)*$S191*VLOOKUP($F191,'⚙️ Setelan'!$A$14:$F$20,4,FALSE)/$T191,2)),"")</f>
        <v/>
      </c>
      <c r="AF191" s="61"/>
      <c r="AG191" s="61"/>
      <c r="AH191" s="61"/>
      <c r="AI191" s="61"/>
      <c r="AJ191" s="61"/>
      <c r="AK191" s="67"/>
      <c r="AL191" s="58" t="str">
        <f>IF(OR($C191="",$B191=""),"",IF(AND($Z190="Loss",$B191=$B190,MOD($C191-$D190,1)*1440&lt;'⚙️ Setelan'!$B$9),"⚠️ Revenge",""))</f>
        <v/>
      </c>
      <c r="AM191" s="68"/>
      <c r="AN191" s="58" t="str">
        <f>IF($AM191="","",IFERROR(_xlfn.IMAGE(IF(REGEXMATCH($AM191,"\.(png|jpg|jpeg|gif)$"),$AM191,"https://s3.tradingview.com/snapshots/"&amp;LOWER(MID(REGEXEXTRACT($AM191,"/x/([A-Za-z0-9]+)"),1,1))&amp;"/"&amp;REGEXEXTRACT($AM191,"/x/([A-Za-z0-9]+)")&amp;".png"),1),"⚠️ link tidak dikenali"))</f>
        <v/>
      </c>
      <c r="AO191" s="68"/>
      <c r="AP191" s="58" t="str">
        <f>IF($AO191="","",IFERROR(_xlfn.IMAGE(IF(REGEXMATCH($AO191,"\.(png|jpg|jpeg|gif)$"),$AO191,"https://s3.tradingview.com/snapshots/"&amp;LOWER(MID(REGEXEXTRACT($AO191,"/x/([A-Za-z0-9]+)"),1,1))&amp;"/"&amp;REGEXEXTRACT($AO191,"/x/([A-Za-z0-9]+)")&amp;".png"),1),"⚠️ link tidak dikenali"))</f>
        <v/>
      </c>
      <c r="AQ191" s="66">
        <f>IF($Z191="",0,IF(AND(OR('📊 Dashboard'!$B$4="(Semua)",$F191='📊 Dashboard'!$B$4),OR('📊 Dashboard'!$B$5="(Semua)",$H191='📊 Dashboard'!$B$5),OR('📊 Dashboard'!$B$6="(Semua)",$E191='📊 Dashboard'!$B$6),OR('📊 Dashboard'!$B$7="(Semua)",$AF191='📊 Dashboard'!$B$7),OR('📊 Dashboard'!$B$8="(Semua)",$AG191='📊 Dashboard'!$B$8),OR('📊 Dashboard'!$B$9="(Semua)",$K191='📊 Dashboard'!$B$9)),1,0))</f>
        <v>0</v>
      </c>
      <c r="AR191" s="69"/>
    </row>
    <row r="192" ht="58" customHeight="1" spans="1:44">
      <c r="A192" s="58" t="str">
        <f t="shared" si="14"/>
        <v/>
      </c>
      <c r="B192" s="59"/>
      <c r="C192" s="60"/>
      <c r="D192" s="60"/>
      <c r="E192" s="58" t="str">
        <f t="shared" si="15"/>
        <v/>
      </c>
      <c r="F192" s="61"/>
      <c r="G192" s="61"/>
      <c r="H192" s="61"/>
      <c r="I192" s="61"/>
      <c r="J192" s="61"/>
      <c r="K192" s="61"/>
      <c r="L192" s="61"/>
      <c r="M192" s="61"/>
      <c r="N192" s="62"/>
      <c r="O192" s="62"/>
      <c r="P192" s="62"/>
      <c r="Q192" s="62"/>
      <c r="R192" s="63" t="str">
        <f>IFERROR(IF(OR($N192="",$O192="",$F192=""),"",ROUND(('⚙️ Setelan'!$B$3*'⚙️ Setelan'!$B$4/100)/(ABS($N192-$O192)*VLOOKUP($F192,'⚙️ Setelan'!$A$14:$F$20,4,FALSE)),2)),"")</f>
        <v/>
      </c>
      <c r="S192" s="64"/>
      <c r="T192" s="65" t="str">
        <f>IFERROR(IF(OR($N192="",$O192="",$S192=""),"",ABS($N192-$O192)*$S192*VLOOKUP($F192,'⚙️ Setelan'!$A$14:$F$20,4,FALSE)),"")</f>
        <v/>
      </c>
      <c r="U192" s="63" t="str">
        <f t="shared" si="16"/>
        <v/>
      </c>
      <c r="V192" s="65" t="str">
        <f>IFERROR(IF(OR($Q192="",$N192="",$S192=""),"",($Q192-$N192)*IF($G192="Buy",1,-1)*$S192*VLOOKUP($F192,'⚙️ Setelan'!$A$14:$F$20,4,FALSE)),"")</f>
        <v/>
      </c>
      <c r="W192" s="65" t="str">
        <f>IFERROR(IF(OR($S192="",$F192=""),"",$S192*VLOOKUP($F192,'⚙️ Setelan'!$A$14:$F$20,5,FALSE)),"")</f>
        <v/>
      </c>
      <c r="X192" s="65" t="str">
        <f t="shared" si="17"/>
        <v/>
      </c>
      <c r="Y192" s="63" t="str">
        <f t="shared" si="18"/>
        <v/>
      </c>
      <c r="Z192" s="58" t="str">
        <f t="shared" si="19"/>
        <v/>
      </c>
      <c r="AA192" s="66" t="str">
        <f t="shared" si="20"/>
        <v/>
      </c>
      <c r="AB192" s="62"/>
      <c r="AC192" s="62"/>
      <c r="AD192" s="63" t="str">
        <f>IFERROR(IF(OR($AB192="",$T192="",$T192=0),"",ROUND(ABS($N192-$AB192)*$S192*VLOOKUP($F192,'⚙️ Setelan'!$A$14:$F$20,4,FALSE)/$T192,2)),"")</f>
        <v/>
      </c>
      <c r="AE192" s="63" t="str">
        <f>IFERROR(IF(OR($AC192="",$T192="",$T192=0),"",ROUND(ABS($AC192-$N192)*$S192*VLOOKUP($F192,'⚙️ Setelan'!$A$14:$F$20,4,FALSE)/$T192,2)),"")</f>
        <v/>
      </c>
      <c r="AF192" s="61"/>
      <c r="AG192" s="61"/>
      <c r="AH192" s="61"/>
      <c r="AI192" s="61"/>
      <c r="AJ192" s="61"/>
      <c r="AK192" s="67"/>
      <c r="AL192" s="58" t="str">
        <f>IF(OR($C192="",$B192=""),"",IF(AND($Z191="Loss",$B192=$B191,MOD($C192-$D191,1)*1440&lt;'⚙️ Setelan'!$B$9),"⚠️ Revenge",""))</f>
        <v/>
      </c>
      <c r="AM192" s="68"/>
      <c r="AN192" s="58" t="str">
        <f>IF($AM192="","",IFERROR(_xlfn.IMAGE(IF(REGEXMATCH($AM192,"\.(png|jpg|jpeg|gif)$"),$AM192,"https://s3.tradingview.com/snapshots/"&amp;LOWER(MID(REGEXEXTRACT($AM192,"/x/([A-Za-z0-9]+)"),1,1))&amp;"/"&amp;REGEXEXTRACT($AM192,"/x/([A-Za-z0-9]+)")&amp;".png"),1),"⚠️ link tidak dikenali"))</f>
        <v/>
      </c>
      <c r="AO192" s="68"/>
      <c r="AP192" s="58" t="str">
        <f>IF($AO192="","",IFERROR(_xlfn.IMAGE(IF(REGEXMATCH($AO192,"\.(png|jpg|jpeg|gif)$"),$AO192,"https://s3.tradingview.com/snapshots/"&amp;LOWER(MID(REGEXEXTRACT($AO192,"/x/([A-Za-z0-9]+)"),1,1))&amp;"/"&amp;REGEXEXTRACT($AO192,"/x/([A-Za-z0-9]+)")&amp;".png"),1),"⚠️ link tidak dikenali"))</f>
        <v/>
      </c>
      <c r="AQ192" s="66">
        <f>IF($Z192="",0,IF(AND(OR('📊 Dashboard'!$B$4="(Semua)",$F192='📊 Dashboard'!$B$4),OR('📊 Dashboard'!$B$5="(Semua)",$H192='📊 Dashboard'!$B$5),OR('📊 Dashboard'!$B$6="(Semua)",$E192='📊 Dashboard'!$B$6),OR('📊 Dashboard'!$B$7="(Semua)",$AF192='📊 Dashboard'!$B$7),OR('📊 Dashboard'!$B$8="(Semua)",$AG192='📊 Dashboard'!$B$8),OR('📊 Dashboard'!$B$9="(Semua)",$K192='📊 Dashboard'!$B$9)),1,0))</f>
        <v>0</v>
      </c>
      <c r="AR192" s="69"/>
    </row>
    <row r="193" ht="58" customHeight="1" spans="1:44">
      <c r="A193" s="58" t="str">
        <f t="shared" si="14"/>
        <v/>
      </c>
      <c r="B193" s="59"/>
      <c r="C193" s="60"/>
      <c r="D193" s="60"/>
      <c r="E193" s="58" t="str">
        <f t="shared" si="15"/>
        <v/>
      </c>
      <c r="F193" s="61"/>
      <c r="G193" s="61"/>
      <c r="H193" s="61"/>
      <c r="I193" s="61"/>
      <c r="J193" s="61"/>
      <c r="K193" s="61"/>
      <c r="L193" s="61"/>
      <c r="M193" s="61"/>
      <c r="N193" s="62"/>
      <c r="O193" s="62"/>
      <c r="P193" s="62"/>
      <c r="Q193" s="62"/>
      <c r="R193" s="63" t="str">
        <f>IFERROR(IF(OR($N193="",$O193="",$F193=""),"",ROUND(('⚙️ Setelan'!$B$3*'⚙️ Setelan'!$B$4/100)/(ABS($N193-$O193)*VLOOKUP($F193,'⚙️ Setelan'!$A$14:$F$20,4,FALSE)),2)),"")</f>
        <v/>
      </c>
      <c r="S193" s="64"/>
      <c r="T193" s="65" t="str">
        <f>IFERROR(IF(OR($N193="",$O193="",$S193=""),"",ABS($N193-$O193)*$S193*VLOOKUP($F193,'⚙️ Setelan'!$A$14:$F$20,4,FALSE)),"")</f>
        <v/>
      </c>
      <c r="U193" s="63" t="str">
        <f t="shared" si="16"/>
        <v/>
      </c>
      <c r="V193" s="65" t="str">
        <f>IFERROR(IF(OR($Q193="",$N193="",$S193=""),"",($Q193-$N193)*IF($G193="Buy",1,-1)*$S193*VLOOKUP($F193,'⚙️ Setelan'!$A$14:$F$20,4,FALSE)),"")</f>
        <v/>
      </c>
      <c r="W193" s="65" t="str">
        <f>IFERROR(IF(OR($S193="",$F193=""),"",$S193*VLOOKUP($F193,'⚙️ Setelan'!$A$14:$F$20,5,FALSE)),"")</f>
        <v/>
      </c>
      <c r="X193" s="65" t="str">
        <f t="shared" si="17"/>
        <v/>
      </c>
      <c r="Y193" s="63" t="str">
        <f t="shared" si="18"/>
        <v/>
      </c>
      <c r="Z193" s="58" t="str">
        <f t="shared" si="19"/>
        <v/>
      </c>
      <c r="AA193" s="66" t="str">
        <f t="shared" si="20"/>
        <v/>
      </c>
      <c r="AB193" s="62"/>
      <c r="AC193" s="62"/>
      <c r="AD193" s="63" t="str">
        <f>IFERROR(IF(OR($AB193="",$T193="",$T193=0),"",ROUND(ABS($N193-$AB193)*$S193*VLOOKUP($F193,'⚙️ Setelan'!$A$14:$F$20,4,FALSE)/$T193,2)),"")</f>
        <v/>
      </c>
      <c r="AE193" s="63" t="str">
        <f>IFERROR(IF(OR($AC193="",$T193="",$T193=0),"",ROUND(ABS($AC193-$N193)*$S193*VLOOKUP($F193,'⚙️ Setelan'!$A$14:$F$20,4,FALSE)/$T193,2)),"")</f>
        <v/>
      </c>
      <c r="AF193" s="61"/>
      <c r="AG193" s="61"/>
      <c r="AH193" s="61"/>
      <c r="AI193" s="61"/>
      <c r="AJ193" s="61"/>
      <c r="AK193" s="67"/>
      <c r="AL193" s="58" t="str">
        <f>IF(OR($C193="",$B193=""),"",IF(AND($Z192="Loss",$B193=$B192,MOD($C193-$D192,1)*1440&lt;'⚙️ Setelan'!$B$9),"⚠️ Revenge",""))</f>
        <v/>
      </c>
      <c r="AM193" s="68"/>
      <c r="AN193" s="58" t="str">
        <f>IF($AM193="","",IFERROR(_xlfn.IMAGE(IF(REGEXMATCH($AM193,"\.(png|jpg|jpeg|gif)$"),$AM193,"https://s3.tradingview.com/snapshots/"&amp;LOWER(MID(REGEXEXTRACT($AM193,"/x/([A-Za-z0-9]+)"),1,1))&amp;"/"&amp;REGEXEXTRACT($AM193,"/x/([A-Za-z0-9]+)")&amp;".png"),1),"⚠️ link tidak dikenali"))</f>
        <v/>
      </c>
      <c r="AO193" s="68"/>
      <c r="AP193" s="58" t="str">
        <f>IF($AO193="","",IFERROR(_xlfn.IMAGE(IF(REGEXMATCH($AO193,"\.(png|jpg|jpeg|gif)$"),$AO193,"https://s3.tradingview.com/snapshots/"&amp;LOWER(MID(REGEXEXTRACT($AO193,"/x/([A-Za-z0-9]+)"),1,1))&amp;"/"&amp;REGEXEXTRACT($AO193,"/x/([A-Za-z0-9]+)")&amp;".png"),1),"⚠️ link tidak dikenali"))</f>
        <v/>
      </c>
      <c r="AQ193" s="66">
        <f>IF($Z193="",0,IF(AND(OR('📊 Dashboard'!$B$4="(Semua)",$F193='📊 Dashboard'!$B$4),OR('📊 Dashboard'!$B$5="(Semua)",$H193='📊 Dashboard'!$B$5),OR('📊 Dashboard'!$B$6="(Semua)",$E193='📊 Dashboard'!$B$6),OR('📊 Dashboard'!$B$7="(Semua)",$AF193='📊 Dashboard'!$B$7),OR('📊 Dashboard'!$B$8="(Semua)",$AG193='📊 Dashboard'!$B$8),OR('📊 Dashboard'!$B$9="(Semua)",$K193='📊 Dashboard'!$B$9)),1,0))</f>
        <v>0</v>
      </c>
      <c r="AR193" s="69"/>
    </row>
    <row r="194" ht="58" customHeight="1" spans="1:44">
      <c r="A194" s="58" t="str">
        <f t="shared" si="14"/>
        <v/>
      </c>
      <c r="B194" s="59"/>
      <c r="C194" s="60"/>
      <c r="D194" s="60"/>
      <c r="E194" s="58" t="str">
        <f t="shared" si="15"/>
        <v/>
      </c>
      <c r="F194" s="61"/>
      <c r="G194" s="61"/>
      <c r="H194" s="61"/>
      <c r="I194" s="61"/>
      <c r="J194" s="61"/>
      <c r="K194" s="61"/>
      <c r="L194" s="61"/>
      <c r="M194" s="61"/>
      <c r="N194" s="62"/>
      <c r="O194" s="62"/>
      <c r="P194" s="62"/>
      <c r="Q194" s="62"/>
      <c r="R194" s="63" t="str">
        <f>IFERROR(IF(OR($N194="",$O194="",$F194=""),"",ROUND(('⚙️ Setelan'!$B$3*'⚙️ Setelan'!$B$4/100)/(ABS($N194-$O194)*VLOOKUP($F194,'⚙️ Setelan'!$A$14:$F$20,4,FALSE)),2)),"")</f>
        <v/>
      </c>
      <c r="S194" s="64"/>
      <c r="T194" s="65" t="str">
        <f>IFERROR(IF(OR($N194="",$O194="",$S194=""),"",ABS($N194-$O194)*$S194*VLOOKUP($F194,'⚙️ Setelan'!$A$14:$F$20,4,FALSE)),"")</f>
        <v/>
      </c>
      <c r="U194" s="63" t="str">
        <f t="shared" si="16"/>
        <v/>
      </c>
      <c r="V194" s="65" t="str">
        <f>IFERROR(IF(OR($Q194="",$N194="",$S194=""),"",($Q194-$N194)*IF($G194="Buy",1,-1)*$S194*VLOOKUP($F194,'⚙️ Setelan'!$A$14:$F$20,4,FALSE)),"")</f>
        <v/>
      </c>
      <c r="W194" s="65" t="str">
        <f>IFERROR(IF(OR($S194="",$F194=""),"",$S194*VLOOKUP($F194,'⚙️ Setelan'!$A$14:$F$20,5,FALSE)),"")</f>
        <v/>
      </c>
      <c r="X194" s="65" t="str">
        <f t="shared" si="17"/>
        <v/>
      </c>
      <c r="Y194" s="63" t="str">
        <f t="shared" si="18"/>
        <v/>
      </c>
      <c r="Z194" s="58" t="str">
        <f t="shared" si="19"/>
        <v/>
      </c>
      <c r="AA194" s="66" t="str">
        <f t="shared" si="20"/>
        <v/>
      </c>
      <c r="AB194" s="62"/>
      <c r="AC194" s="62"/>
      <c r="AD194" s="63" t="str">
        <f>IFERROR(IF(OR($AB194="",$T194="",$T194=0),"",ROUND(ABS($N194-$AB194)*$S194*VLOOKUP($F194,'⚙️ Setelan'!$A$14:$F$20,4,FALSE)/$T194,2)),"")</f>
        <v/>
      </c>
      <c r="AE194" s="63" t="str">
        <f>IFERROR(IF(OR($AC194="",$T194="",$T194=0),"",ROUND(ABS($AC194-$N194)*$S194*VLOOKUP($F194,'⚙️ Setelan'!$A$14:$F$20,4,FALSE)/$T194,2)),"")</f>
        <v/>
      </c>
      <c r="AF194" s="61"/>
      <c r="AG194" s="61"/>
      <c r="AH194" s="61"/>
      <c r="AI194" s="61"/>
      <c r="AJ194" s="61"/>
      <c r="AK194" s="67"/>
      <c r="AL194" s="58" t="str">
        <f>IF(OR($C194="",$B194=""),"",IF(AND($Z193="Loss",$B194=$B193,MOD($C194-$D193,1)*1440&lt;'⚙️ Setelan'!$B$9),"⚠️ Revenge",""))</f>
        <v/>
      </c>
      <c r="AM194" s="68"/>
      <c r="AN194" s="58" t="str">
        <f>IF($AM194="","",IFERROR(_xlfn.IMAGE(IF(REGEXMATCH($AM194,"\.(png|jpg|jpeg|gif)$"),$AM194,"https://s3.tradingview.com/snapshots/"&amp;LOWER(MID(REGEXEXTRACT($AM194,"/x/([A-Za-z0-9]+)"),1,1))&amp;"/"&amp;REGEXEXTRACT($AM194,"/x/([A-Za-z0-9]+)")&amp;".png"),1),"⚠️ link tidak dikenali"))</f>
        <v/>
      </c>
      <c r="AO194" s="68"/>
      <c r="AP194" s="58" t="str">
        <f>IF($AO194="","",IFERROR(_xlfn.IMAGE(IF(REGEXMATCH($AO194,"\.(png|jpg|jpeg|gif)$"),$AO194,"https://s3.tradingview.com/snapshots/"&amp;LOWER(MID(REGEXEXTRACT($AO194,"/x/([A-Za-z0-9]+)"),1,1))&amp;"/"&amp;REGEXEXTRACT($AO194,"/x/([A-Za-z0-9]+)")&amp;".png"),1),"⚠️ link tidak dikenali"))</f>
        <v/>
      </c>
      <c r="AQ194" s="66">
        <f>IF($Z194="",0,IF(AND(OR('📊 Dashboard'!$B$4="(Semua)",$F194='📊 Dashboard'!$B$4),OR('📊 Dashboard'!$B$5="(Semua)",$H194='📊 Dashboard'!$B$5),OR('📊 Dashboard'!$B$6="(Semua)",$E194='📊 Dashboard'!$B$6),OR('📊 Dashboard'!$B$7="(Semua)",$AF194='📊 Dashboard'!$B$7),OR('📊 Dashboard'!$B$8="(Semua)",$AG194='📊 Dashboard'!$B$8),OR('📊 Dashboard'!$B$9="(Semua)",$K194='📊 Dashboard'!$B$9)),1,0))</f>
        <v>0</v>
      </c>
      <c r="AR194" s="69"/>
    </row>
    <row r="195" ht="58" customHeight="1" spans="1:44">
      <c r="A195" s="58" t="str">
        <f t="shared" ref="A195:A258" si="21">IF($B195="","",ROW()-2)</f>
        <v/>
      </c>
      <c r="B195" s="59"/>
      <c r="C195" s="60"/>
      <c r="D195" s="60"/>
      <c r="E195" s="58" t="str">
        <f t="shared" ref="E195:E258" si="22">IF($C195="","",IF(AND($C195&gt;=TIME(14,0,0),$C195&lt;TIME(19,30,0)),"London",IF(AND($C195&gt;=TIME(19,30,0),$C195&lt;TIME(23,0,0)),"Overlap LDN+NY",IF(OR($C195&gt;=TIME(23,0,0),$C195&lt;TIME(4,0,0)),"New York","Asia"))))</f>
        <v/>
      </c>
      <c r="F195" s="61"/>
      <c r="G195" s="61"/>
      <c r="H195" s="61"/>
      <c r="I195" s="61"/>
      <c r="J195" s="61"/>
      <c r="K195" s="61"/>
      <c r="L195" s="61"/>
      <c r="M195" s="61"/>
      <c r="N195" s="62"/>
      <c r="O195" s="62"/>
      <c r="P195" s="62"/>
      <c r="Q195" s="62"/>
      <c r="R195" s="63" t="str">
        <f>IFERROR(IF(OR($N195="",$O195="",$F195=""),"",ROUND(('⚙️ Setelan'!$B$3*'⚙️ Setelan'!$B$4/100)/(ABS($N195-$O195)*VLOOKUP($F195,'⚙️ Setelan'!$A$14:$F$20,4,FALSE)),2)),"")</f>
        <v/>
      </c>
      <c r="S195" s="64"/>
      <c r="T195" s="65" t="str">
        <f>IFERROR(IF(OR($N195="",$O195="",$S195=""),"",ABS($N195-$O195)*$S195*VLOOKUP($F195,'⚙️ Setelan'!$A$14:$F$20,4,FALSE)),"")</f>
        <v/>
      </c>
      <c r="U195" s="63" t="str">
        <f t="shared" ref="U195:U258" si="23">IFERROR(IF(OR($N195="",$O195="",$P195=""),"",ROUND(ABS($P195-$N195)/ABS($N195-$O195),2)),"")</f>
        <v/>
      </c>
      <c r="V195" s="65" t="str">
        <f>IFERROR(IF(OR($Q195="",$N195="",$S195=""),"",($Q195-$N195)*IF($G195="Buy",1,-1)*$S195*VLOOKUP($F195,'⚙️ Setelan'!$A$14:$F$20,4,FALSE)),"")</f>
        <v/>
      </c>
      <c r="W195" s="65" t="str">
        <f>IFERROR(IF(OR($S195="",$F195=""),"",$S195*VLOOKUP($F195,'⚙️ Setelan'!$A$14:$F$20,5,FALSE)),"")</f>
        <v/>
      </c>
      <c r="X195" s="65" t="str">
        <f t="shared" ref="X195:X258" si="24">IF($V195="","",$V195-IF($W195="",0,$W195))</f>
        <v/>
      </c>
      <c r="Y195" s="63" t="str">
        <f t="shared" ref="Y195:Y258" si="25">IF(OR($X195="",$T195="",$T195=0),"",ROUND($X195/$T195,2))</f>
        <v/>
      </c>
      <c r="Z195" s="58" t="str">
        <f t="shared" ref="Z195:Z258" si="26">IF($X195="","",IF($X195&gt;0,"Win",IF($X195&lt;0,"Loss","BE")))</f>
        <v/>
      </c>
      <c r="AA195" s="66" t="str">
        <f t="shared" ref="AA195:AA258" si="27">IF(OR($C195="",$D195=""),"",ROUND(MOD($D195-$C195,1)*1440,0))</f>
        <v/>
      </c>
      <c r="AB195" s="62"/>
      <c r="AC195" s="62"/>
      <c r="AD195" s="63" t="str">
        <f>IFERROR(IF(OR($AB195="",$T195="",$T195=0),"",ROUND(ABS($N195-$AB195)*$S195*VLOOKUP($F195,'⚙️ Setelan'!$A$14:$F$20,4,FALSE)/$T195,2)),"")</f>
        <v/>
      </c>
      <c r="AE195" s="63" t="str">
        <f>IFERROR(IF(OR($AC195="",$T195="",$T195=0),"",ROUND(ABS($AC195-$N195)*$S195*VLOOKUP($F195,'⚙️ Setelan'!$A$14:$F$20,4,FALSE)/$T195,2)),"")</f>
        <v/>
      </c>
      <c r="AF195" s="61"/>
      <c r="AG195" s="61"/>
      <c r="AH195" s="61"/>
      <c r="AI195" s="61"/>
      <c r="AJ195" s="61"/>
      <c r="AK195" s="67"/>
      <c r="AL195" s="58" t="str">
        <f>IF(OR($C195="",$B195=""),"",IF(AND($Z194="Loss",$B195=$B194,MOD($C195-$D194,1)*1440&lt;'⚙️ Setelan'!$B$9),"⚠️ Revenge",""))</f>
        <v/>
      </c>
      <c r="AM195" s="68"/>
      <c r="AN195" s="58" t="str">
        <f>IF($AM195="","",IFERROR(_xlfn.IMAGE(IF(REGEXMATCH($AM195,"\.(png|jpg|jpeg|gif)$"),$AM195,"https://s3.tradingview.com/snapshots/"&amp;LOWER(MID(REGEXEXTRACT($AM195,"/x/([A-Za-z0-9]+)"),1,1))&amp;"/"&amp;REGEXEXTRACT($AM195,"/x/([A-Za-z0-9]+)")&amp;".png"),1),"⚠️ link tidak dikenali"))</f>
        <v/>
      </c>
      <c r="AO195" s="68"/>
      <c r="AP195" s="58" t="str">
        <f>IF($AO195="","",IFERROR(_xlfn.IMAGE(IF(REGEXMATCH($AO195,"\.(png|jpg|jpeg|gif)$"),$AO195,"https://s3.tradingview.com/snapshots/"&amp;LOWER(MID(REGEXEXTRACT($AO195,"/x/([A-Za-z0-9]+)"),1,1))&amp;"/"&amp;REGEXEXTRACT($AO195,"/x/([A-Za-z0-9]+)")&amp;".png"),1),"⚠️ link tidak dikenali"))</f>
        <v/>
      </c>
      <c r="AQ195" s="66">
        <f>IF($Z195="",0,IF(AND(OR('📊 Dashboard'!$B$4="(Semua)",$F195='📊 Dashboard'!$B$4),OR('📊 Dashboard'!$B$5="(Semua)",$H195='📊 Dashboard'!$B$5),OR('📊 Dashboard'!$B$6="(Semua)",$E195='📊 Dashboard'!$B$6),OR('📊 Dashboard'!$B$7="(Semua)",$AF195='📊 Dashboard'!$B$7),OR('📊 Dashboard'!$B$8="(Semua)",$AG195='📊 Dashboard'!$B$8),OR('📊 Dashboard'!$B$9="(Semua)",$K195='📊 Dashboard'!$B$9)),1,0))</f>
        <v>0</v>
      </c>
      <c r="AR195" s="69"/>
    </row>
    <row r="196" ht="58" customHeight="1" spans="1:44">
      <c r="A196" s="58" t="str">
        <f t="shared" si="21"/>
        <v/>
      </c>
      <c r="B196" s="59"/>
      <c r="C196" s="60"/>
      <c r="D196" s="60"/>
      <c r="E196" s="58" t="str">
        <f t="shared" si="22"/>
        <v/>
      </c>
      <c r="F196" s="61"/>
      <c r="G196" s="61"/>
      <c r="H196" s="61"/>
      <c r="I196" s="61"/>
      <c r="J196" s="61"/>
      <c r="K196" s="61"/>
      <c r="L196" s="61"/>
      <c r="M196" s="61"/>
      <c r="N196" s="62"/>
      <c r="O196" s="62"/>
      <c r="P196" s="62"/>
      <c r="Q196" s="62"/>
      <c r="R196" s="63" t="str">
        <f>IFERROR(IF(OR($N196="",$O196="",$F196=""),"",ROUND(('⚙️ Setelan'!$B$3*'⚙️ Setelan'!$B$4/100)/(ABS($N196-$O196)*VLOOKUP($F196,'⚙️ Setelan'!$A$14:$F$20,4,FALSE)),2)),"")</f>
        <v/>
      </c>
      <c r="S196" s="64"/>
      <c r="T196" s="65" t="str">
        <f>IFERROR(IF(OR($N196="",$O196="",$S196=""),"",ABS($N196-$O196)*$S196*VLOOKUP($F196,'⚙️ Setelan'!$A$14:$F$20,4,FALSE)),"")</f>
        <v/>
      </c>
      <c r="U196" s="63" t="str">
        <f t="shared" si="23"/>
        <v/>
      </c>
      <c r="V196" s="65" t="str">
        <f>IFERROR(IF(OR($Q196="",$N196="",$S196=""),"",($Q196-$N196)*IF($G196="Buy",1,-1)*$S196*VLOOKUP($F196,'⚙️ Setelan'!$A$14:$F$20,4,FALSE)),"")</f>
        <v/>
      </c>
      <c r="W196" s="65" t="str">
        <f>IFERROR(IF(OR($S196="",$F196=""),"",$S196*VLOOKUP($F196,'⚙️ Setelan'!$A$14:$F$20,5,FALSE)),"")</f>
        <v/>
      </c>
      <c r="X196" s="65" t="str">
        <f t="shared" si="24"/>
        <v/>
      </c>
      <c r="Y196" s="63" t="str">
        <f t="shared" si="25"/>
        <v/>
      </c>
      <c r="Z196" s="58" t="str">
        <f t="shared" si="26"/>
        <v/>
      </c>
      <c r="AA196" s="66" t="str">
        <f t="shared" si="27"/>
        <v/>
      </c>
      <c r="AB196" s="62"/>
      <c r="AC196" s="62"/>
      <c r="AD196" s="63" t="str">
        <f>IFERROR(IF(OR($AB196="",$T196="",$T196=0),"",ROUND(ABS($N196-$AB196)*$S196*VLOOKUP($F196,'⚙️ Setelan'!$A$14:$F$20,4,FALSE)/$T196,2)),"")</f>
        <v/>
      </c>
      <c r="AE196" s="63" t="str">
        <f>IFERROR(IF(OR($AC196="",$T196="",$T196=0),"",ROUND(ABS($AC196-$N196)*$S196*VLOOKUP($F196,'⚙️ Setelan'!$A$14:$F$20,4,FALSE)/$T196,2)),"")</f>
        <v/>
      </c>
      <c r="AF196" s="61"/>
      <c r="AG196" s="61"/>
      <c r="AH196" s="61"/>
      <c r="AI196" s="61"/>
      <c r="AJ196" s="61"/>
      <c r="AK196" s="67"/>
      <c r="AL196" s="58" t="str">
        <f>IF(OR($C196="",$B196=""),"",IF(AND($Z195="Loss",$B196=$B195,MOD($C196-$D195,1)*1440&lt;'⚙️ Setelan'!$B$9),"⚠️ Revenge",""))</f>
        <v/>
      </c>
      <c r="AM196" s="68"/>
      <c r="AN196" s="58" t="str">
        <f>IF($AM196="","",IFERROR(_xlfn.IMAGE(IF(REGEXMATCH($AM196,"\.(png|jpg|jpeg|gif)$"),$AM196,"https://s3.tradingview.com/snapshots/"&amp;LOWER(MID(REGEXEXTRACT($AM196,"/x/([A-Za-z0-9]+)"),1,1))&amp;"/"&amp;REGEXEXTRACT($AM196,"/x/([A-Za-z0-9]+)")&amp;".png"),1),"⚠️ link tidak dikenali"))</f>
        <v/>
      </c>
      <c r="AO196" s="68"/>
      <c r="AP196" s="58" t="str">
        <f>IF($AO196="","",IFERROR(_xlfn.IMAGE(IF(REGEXMATCH($AO196,"\.(png|jpg|jpeg|gif)$"),$AO196,"https://s3.tradingview.com/snapshots/"&amp;LOWER(MID(REGEXEXTRACT($AO196,"/x/([A-Za-z0-9]+)"),1,1))&amp;"/"&amp;REGEXEXTRACT($AO196,"/x/([A-Za-z0-9]+)")&amp;".png"),1),"⚠️ link tidak dikenali"))</f>
        <v/>
      </c>
      <c r="AQ196" s="66">
        <f>IF($Z196="",0,IF(AND(OR('📊 Dashboard'!$B$4="(Semua)",$F196='📊 Dashboard'!$B$4),OR('📊 Dashboard'!$B$5="(Semua)",$H196='📊 Dashboard'!$B$5),OR('📊 Dashboard'!$B$6="(Semua)",$E196='📊 Dashboard'!$B$6),OR('📊 Dashboard'!$B$7="(Semua)",$AF196='📊 Dashboard'!$B$7),OR('📊 Dashboard'!$B$8="(Semua)",$AG196='📊 Dashboard'!$B$8),OR('📊 Dashboard'!$B$9="(Semua)",$K196='📊 Dashboard'!$B$9)),1,0))</f>
        <v>0</v>
      </c>
      <c r="AR196" s="69"/>
    </row>
    <row r="197" ht="58" customHeight="1" spans="1:44">
      <c r="A197" s="58" t="str">
        <f t="shared" si="21"/>
        <v/>
      </c>
      <c r="B197" s="59"/>
      <c r="C197" s="60"/>
      <c r="D197" s="60"/>
      <c r="E197" s="58" t="str">
        <f t="shared" si="22"/>
        <v/>
      </c>
      <c r="F197" s="61"/>
      <c r="G197" s="61"/>
      <c r="H197" s="61"/>
      <c r="I197" s="61"/>
      <c r="J197" s="61"/>
      <c r="K197" s="61"/>
      <c r="L197" s="61"/>
      <c r="M197" s="61"/>
      <c r="N197" s="62"/>
      <c r="O197" s="62"/>
      <c r="P197" s="62"/>
      <c r="Q197" s="62"/>
      <c r="R197" s="63" t="str">
        <f>IFERROR(IF(OR($N197="",$O197="",$F197=""),"",ROUND(('⚙️ Setelan'!$B$3*'⚙️ Setelan'!$B$4/100)/(ABS($N197-$O197)*VLOOKUP($F197,'⚙️ Setelan'!$A$14:$F$20,4,FALSE)),2)),"")</f>
        <v/>
      </c>
      <c r="S197" s="64"/>
      <c r="T197" s="65" t="str">
        <f>IFERROR(IF(OR($N197="",$O197="",$S197=""),"",ABS($N197-$O197)*$S197*VLOOKUP($F197,'⚙️ Setelan'!$A$14:$F$20,4,FALSE)),"")</f>
        <v/>
      </c>
      <c r="U197" s="63" t="str">
        <f t="shared" si="23"/>
        <v/>
      </c>
      <c r="V197" s="65" t="str">
        <f>IFERROR(IF(OR($Q197="",$N197="",$S197=""),"",($Q197-$N197)*IF($G197="Buy",1,-1)*$S197*VLOOKUP($F197,'⚙️ Setelan'!$A$14:$F$20,4,FALSE)),"")</f>
        <v/>
      </c>
      <c r="W197" s="65" t="str">
        <f>IFERROR(IF(OR($S197="",$F197=""),"",$S197*VLOOKUP($F197,'⚙️ Setelan'!$A$14:$F$20,5,FALSE)),"")</f>
        <v/>
      </c>
      <c r="X197" s="65" t="str">
        <f t="shared" si="24"/>
        <v/>
      </c>
      <c r="Y197" s="63" t="str">
        <f t="shared" si="25"/>
        <v/>
      </c>
      <c r="Z197" s="58" t="str">
        <f t="shared" si="26"/>
        <v/>
      </c>
      <c r="AA197" s="66" t="str">
        <f t="shared" si="27"/>
        <v/>
      </c>
      <c r="AB197" s="62"/>
      <c r="AC197" s="62"/>
      <c r="AD197" s="63" t="str">
        <f>IFERROR(IF(OR($AB197="",$T197="",$T197=0),"",ROUND(ABS($N197-$AB197)*$S197*VLOOKUP($F197,'⚙️ Setelan'!$A$14:$F$20,4,FALSE)/$T197,2)),"")</f>
        <v/>
      </c>
      <c r="AE197" s="63" t="str">
        <f>IFERROR(IF(OR($AC197="",$T197="",$T197=0),"",ROUND(ABS($AC197-$N197)*$S197*VLOOKUP($F197,'⚙️ Setelan'!$A$14:$F$20,4,FALSE)/$T197,2)),"")</f>
        <v/>
      </c>
      <c r="AF197" s="61"/>
      <c r="AG197" s="61"/>
      <c r="AH197" s="61"/>
      <c r="AI197" s="61"/>
      <c r="AJ197" s="61"/>
      <c r="AK197" s="67"/>
      <c r="AL197" s="58" t="str">
        <f>IF(OR($C197="",$B197=""),"",IF(AND($Z196="Loss",$B197=$B196,MOD($C197-$D196,1)*1440&lt;'⚙️ Setelan'!$B$9),"⚠️ Revenge",""))</f>
        <v/>
      </c>
      <c r="AM197" s="68"/>
      <c r="AN197" s="58" t="str">
        <f>IF($AM197="","",IFERROR(_xlfn.IMAGE(IF(REGEXMATCH($AM197,"\.(png|jpg|jpeg|gif)$"),$AM197,"https://s3.tradingview.com/snapshots/"&amp;LOWER(MID(REGEXEXTRACT($AM197,"/x/([A-Za-z0-9]+)"),1,1))&amp;"/"&amp;REGEXEXTRACT($AM197,"/x/([A-Za-z0-9]+)")&amp;".png"),1),"⚠️ link tidak dikenali"))</f>
        <v/>
      </c>
      <c r="AO197" s="68"/>
      <c r="AP197" s="58" t="str">
        <f>IF($AO197="","",IFERROR(_xlfn.IMAGE(IF(REGEXMATCH($AO197,"\.(png|jpg|jpeg|gif)$"),$AO197,"https://s3.tradingview.com/snapshots/"&amp;LOWER(MID(REGEXEXTRACT($AO197,"/x/([A-Za-z0-9]+)"),1,1))&amp;"/"&amp;REGEXEXTRACT($AO197,"/x/([A-Za-z0-9]+)")&amp;".png"),1),"⚠️ link tidak dikenali"))</f>
        <v/>
      </c>
      <c r="AQ197" s="66">
        <f>IF($Z197="",0,IF(AND(OR('📊 Dashboard'!$B$4="(Semua)",$F197='📊 Dashboard'!$B$4),OR('📊 Dashboard'!$B$5="(Semua)",$H197='📊 Dashboard'!$B$5),OR('📊 Dashboard'!$B$6="(Semua)",$E197='📊 Dashboard'!$B$6),OR('📊 Dashboard'!$B$7="(Semua)",$AF197='📊 Dashboard'!$B$7),OR('📊 Dashboard'!$B$8="(Semua)",$AG197='📊 Dashboard'!$B$8),OR('📊 Dashboard'!$B$9="(Semua)",$K197='📊 Dashboard'!$B$9)),1,0))</f>
        <v>0</v>
      </c>
      <c r="AR197" s="69"/>
    </row>
    <row r="198" ht="58" customHeight="1" spans="1:44">
      <c r="A198" s="58" t="str">
        <f t="shared" si="21"/>
        <v/>
      </c>
      <c r="B198" s="59"/>
      <c r="C198" s="60"/>
      <c r="D198" s="60"/>
      <c r="E198" s="58" t="str">
        <f t="shared" si="22"/>
        <v/>
      </c>
      <c r="F198" s="61"/>
      <c r="G198" s="61"/>
      <c r="H198" s="61"/>
      <c r="I198" s="61"/>
      <c r="J198" s="61"/>
      <c r="K198" s="61"/>
      <c r="L198" s="61"/>
      <c r="M198" s="61"/>
      <c r="N198" s="62"/>
      <c r="O198" s="62"/>
      <c r="P198" s="62"/>
      <c r="Q198" s="62"/>
      <c r="R198" s="63" t="str">
        <f>IFERROR(IF(OR($N198="",$O198="",$F198=""),"",ROUND(('⚙️ Setelan'!$B$3*'⚙️ Setelan'!$B$4/100)/(ABS($N198-$O198)*VLOOKUP($F198,'⚙️ Setelan'!$A$14:$F$20,4,FALSE)),2)),"")</f>
        <v/>
      </c>
      <c r="S198" s="64"/>
      <c r="T198" s="65" t="str">
        <f>IFERROR(IF(OR($N198="",$O198="",$S198=""),"",ABS($N198-$O198)*$S198*VLOOKUP($F198,'⚙️ Setelan'!$A$14:$F$20,4,FALSE)),"")</f>
        <v/>
      </c>
      <c r="U198" s="63" t="str">
        <f t="shared" si="23"/>
        <v/>
      </c>
      <c r="V198" s="65" t="str">
        <f>IFERROR(IF(OR($Q198="",$N198="",$S198=""),"",($Q198-$N198)*IF($G198="Buy",1,-1)*$S198*VLOOKUP($F198,'⚙️ Setelan'!$A$14:$F$20,4,FALSE)),"")</f>
        <v/>
      </c>
      <c r="W198" s="65" t="str">
        <f>IFERROR(IF(OR($S198="",$F198=""),"",$S198*VLOOKUP($F198,'⚙️ Setelan'!$A$14:$F$20,5,FALSE)),"")</f>
        <v/>
      </c>
      <c r="X198" s="65" t="str">
        <f t="shared" si="24"/>
        <v/>
      </c>
      <c r="Y198" s="63" t="str">
        <f t="shared" si="25"/>
        <v/>
      </c>
      <c r="Z198" s="58" t="str">
        <f t="shared" si="26"/>
        <v/>
      </c>
      <c r="AA198" s="66" t="str">
        <f t="shared" si="27"/>
        <v/>
      </c>
      <c r="AB198" s="62"/>
      <c r="AC198" s="62"/>
      <c r="AD198" s="63" t="str">
        <f>IFERROR(IF(OR($AB198="",$T198="",$T198=0),"",ROUND(ABS($N198-$AB198)*$S198*VLOOKUP($F198,'⚙️ Setelan'!$A$14:$F$20,4,FALSE)/$T198,2)),"")</f>
        <v/>
      </c>
      <c r="AE198" s="63" t="str">
        <f>IFERROR(IF(OR($AC198="",$T198="",$T198=0),"",ROUND(ABS($AC198-$N198)*$S198*VLOOKUP($F198,'⚙️ Setelan'!$A$14:$F$20,4,FALSE)/$T198,2)),"")</f>
        <v/>
      </c>
      <c r="AF198" s="61"/>
      <c r="AG198" s="61"/>
      <c r="AH198" s="61"/>
      <c r="AI198" s="61"/>
      <c r="AJ198" s="61"/>
      <c r="AK198" s="67"/>
      <c r="AL198" s="58" t="str">
        <f>IF(OR($C198="",$B198=""),"",IF(AND($Z197="Loss",$B198=$B197,MOD($C198-$D197,1)*1440&lt;'⚙️ Setelan'!$B$9),"⚠️ Revenge",""))</f>
        <v/>
      </c>
      <c r="AM198" s="68"/>
      <c r="AN198" s="58" t="str">
        <f>IF($AM198="","",IFERROR(_xlfn.IMAGE(IF(REGEXMATCH($AM198,"\.(png|jpg|jpeg|gif)$"),$AM198,"https://s3.tradingview.com/snapshots/"&amp;LOWER(MID(REGEXEXTRACT($AM198,"/x/([A-Za-z0-9]+)"),1,1))&amp;"/"&amp;REGEXEXTRACT($AM198,"/x/([A-Za-z0-9]+)")&amp;".png"),1),"⚠️ link tidak dikenali"))</f>
        <v/>
      </c>
      <c r="AO198" s="68"/>
      <c r="AP198" s="58" t="str">
        <f>IF($AO198="","",IFERROR(_xlfn.IMAGE(IF(REGEXMATCH($AO198,"\.(png|jpg|jpeg|gif)$"),$AO198,"https://s3.tradingview.com/snapshots/"&amp;LOWER(MID(REGEXEXTRACT($AO198,"/x/([A-Za-z0-9]+)"),1,1))&amp;"/"&amp;REGEXEXTRACT($AO198,"/x/([A-Za-z0-9]+)")&amp;".png"),1),"⚠️ link tidak dikenali"))</f>
        <v/>
      </c>
      <c r="AQ198" s="66">
        <f>IF($Z198="",0,IF(AND(OR('📊 Dashboard'!$B$4="(Semua)",$F198='📊 Dashboard'!$B$4),OR('📊 Dashboard'!$B$5="(Semua)",$H198='📊 Dashboard'!$B$5),OR('📊 Dashboard'!$B$6="(Semua)",$E198='📊 Dashboard'!$B$6),OR('📊 Dashboard'!$B$7="(Semua)",$AF198='📊 Dashboard'!$B$7),OR('📊 Dashboard'!$B$8="(Semua)",$AG198='📊 Dashboard'!$B$8),OR('📊 Dashboard'!$B$9="(Semua)",$K198='📊 Dashboard'!$B$9)),1,0))</f>
        <v>0</v>
      </c>
      <c r="AR198" s="69"/>
    </row>
    <row r="199" ht="58" customHeight="1" spans="1:44">
      <c r="A199" s="58" t="str">
        <f t="shared" si="21"/>
        <v/>
      </c>
      <c r="B199" s="59"/>
      <c r="C199" s="60"/>
      <c r="D199" s="60"/>
      <c r="E199" s="58" t="str">
        <f t="shared" si="22"/>
        <v/>
      </c>
      <c r="F199" s="61"/>
      <c r="G199" s="61"/>
      <c r="H199" s="61"/>
      <c r="I199" s="61"/>
      <c r="J199" s="61"/>
      <c r="K199" s="61"/>
      <c r="L199" s="61"/>
      <c r="M199" s="61"/>
      <c r="N199" s="62"/>
      <c r="O199" s="62"/>
      <c r="P199" s="62"/>
      <c r="Q199" s="62"/>
      <c r="R199" s="63" t="str">
        <f>IFERROR(IF(OR($N199="",$O199="",$F199=""),"",ROUND(('⚙️ Setelan'!$B$3*'⚙️ Setelan'!$B$4/100)/(ABS($N199-$O199)*VLOOKUP($F199,'⚙️ Setelan'!$A$14:$F$20,4,FALSE)),2)),"")</f>
        <v/>
      </c>
      <c r="S199" s="64"/>
      <c r="T199" s="65" t="str">
        <f>IFERROR(IF(OR($N199="",$O199="",$S199=""),"",ABS($N199-$O199)*$S199*VLOOKUP($F199,'⚙️ Setelan'!$A$14:$F$20,4,FALSE)),"")</f>
        <v/>
      </c>
      <c r="U199" s="63" t="str">
        <f t="shared" si="23"/>
        <v/>
      </c>
      <c r="V199" s="65" t="str">
        <f>IFERROR(IF(OR($Q199="",$N199="",$S199=""),"",($Q199-$N199)*IF($G199="Buy",1,-1)*$S199*VLOOKUP($F199,'⚙️ Setelan'!$A$14:$F$20,4,FALSE)),"")</f>
        <v/>
      </c>
      <c r="W199" s="65" t="str">
        <f>IFERROR(IF(OR($S199="",$F199=""),"",$S199*VLOOKUP($F199,'⚙️ Setelan'!$A$14:$F$20,5,FALSE)),"")</f>
        <v/>
      </c>
      <c r="X199" s="65" t="str">
        <f t="shared" si="24"/>
        <v/>
      </c>
      <c r="Y199" s="63" t="str">
        <f t="shared" si="25"/>
        <v/>
      </c>
      <c r="Z199" s="58" t="str">
        <f t="shared" si="26"/>
        <v/>
      </c>
      <c r="AA199" s="66" t="str">
        <f t="shared" si="27"/>
        <v/>
      </c>
      <c r="AB199" s="62"/>
      <c r="AC199" s="62"/>
      <c r="AD199" s="63" t="str">
        <f>IFERROR(IF(OR($AB199="",$T199="",$T199=0),"",ROUND(ABS($N199-$AB199)*$S199*VLOOKUP($F199,'⚙️ Setelan'!$A$14:$F$20,4,FALSE)/$T199,2)),"")</f>
        <v/>
      </c>
      <c r="AE199" s="63" t="str">
        <f>IFERROR(IF(OR($AC199="",$T199="",$T199=0),"",ROUND(ABS($AC199-$N199)*$S199*VLOOKUP($F199,'⚙️ Setelan'!$A$14:$F$20,4,FALSE)/$T199,2)),"")</f>
        <v/>
      </c>
      <c r="AF199" s="61"/>
      <c r="AG199" s="61"/>
      <c r="AH199" s="61"/>
      <c r="AI199" s="61"/>
      <c r="AJ199" s="61"/>
      <c r="AK199" s="67"/>
      <c r="AL199" s="58" t="str">
        <f>IF(OR($C199="",$B199=""),"",IF(AND($Z198="Loss",$B199=$B198,MOD($C199-$D198,1)*1440&lt;'⚙️ Setelan'!$B$9),"⚠️ Revenge",""))</f>
        <v/>
      </c>
      <c r="AM199" s="68"/>
      <c r="AN199" s="58" t="str">
        <f>IF($AM199="","",IFERROR(_xlfn.IMAGE(IF(REGEXMATCH($AM199,"\.(png|jpg|jpeg|gif)$"),$AM199,"https://s3.tradingview.com/snapshots/"&amp;LOWER(MID(REGEXEXTRACT($AM199,"/x/([A-Za-z0-9]+)"),1,1))&amp;"/"&amp;REGEXEXTRACT($AM199,"/x/([A-Za-z0-9]+)")&amp;".png"),1),"⚠️ link tidak dikenali"))</f>
        <v/>
      </c>
      <c r="AO199" s="68"/>
      <c r="AP199" s="58" t="str">
        <f>IF($AO199="","",IFERROR(_xlfn.IMAGE(IF(REGEXMATCH($AO199,"\.(png|jpg|jpeg|gif)$"),$AO199,"https://s3.tradingview.com/snapshots/"&amp;LOWER(MID(REGEXEXTRACT($AO199,"/x/([A-Za-z0-9]+)"),1,1))&amp;"/"&amp;REGEXEXTRACT($AO199,"/x/([A-Za-z0-9]+)")&amp;".png"),1),"⚠️ link tidak dikenali"))</f>
        <v/>
      </c>
      <c r="AQ199" s="66">
        <f>IF($Z199="",0,IF(AND(OR('📊 Dashboard'!$B$4="(Semua)",$F199='📊 Dashboard'!$B$4),OR('📊 Dashboard'!$B$5="(Semua)",$H199='📊 Dashboard'!$B$5),OR('📊 Dashboard'!$B$6="(Semua)",$E199='📊 Dashboard'!$B$6),OR('📊 Dashboard'!$B$7="(Semua)",$AF199='📊 Dashboard'!$B$7),OR('📊 Dashboard'!$B$8="(Semua)",$AG199='📊 Dashboard'!$B$8),OR('📊 Dashboard'!$B$9="(Semua)",$K199='📊 Dashboard'!$B$9)),1,0))</f>
        <v>0</v>
      </c>
      <c r="AR199" s="69"/>
    </row>
    <row r="200" ht="58" customHeight="1" spans="1:44">
      <c r="A200" s="58" t="str">
        <f t="shared" si="21"/>
        <v/>
      </c>
      <c r="B200" s="59"/>
      <c r="C200" s="60"/>
      <c r="D200" s="60"/>
      <c r="E200" s="58" t="str">
        <f t="shared" si="22"/>
        <v/>
      </c>
      <c r="F200" s="61"/>
      <c r="G200" s="61"/>
      <c r="H200" s="61"/>
      <c r="I200" s="61"/>
      <c r="J200" s="61"/>
      <c r="K200" s="61"/>
      <c r="L200" s="61"/>
      <c r="M200" s="61"/>
      <c r="N200" s="62"/>
      <c r="O200" s="62"/>
      <c r="P200" s="62"/>
      <c r="Q200" s="62"/>
      <c r="R200" s="63" t="str">
        <f>IFERROR(IF(OR($N200="",$O200="",$F200=""),"",ROUND(('⚙️ Setelan'!$B$3*'⚙️ Setelan'!$B$4/100)/(ABS($N200-$O200)*VLOOKUP($F200,'⚙️ Setelan'!$A$14:$F$20,4,FALSE)),2)),"")</f>
        <v/>
      </c>
      <c r="S200" s="64"/>
      <c r="T200" s="65" t="str">
        <f>IFERROR(IF(OR($N200="",$O200="",$S200=""),"",ABS($N200-$O200)*$S200*VLOOKUP($F200,'⚙️ Setelan'!$A$14:$F$20,4,FALSE)),"")</f>
        <v/>
      </c>
      <c r="U200" s="63" t="str">
        <f t="shared" si="23"/>
        <v/>
      </c>
      <c r="V200" s="65" t="str">
        <f>IFERROR(IF(OR($Q200="",$N200="",$S200=""),"",($Q200-$N200)*IF($G200="Buy",1,-1)*$S200*VLOOKUP($F200,'⚙️ Setelan'!$A$14:$F$20,4,FALSE)),"")</f>
        <v/>
      </c>
      <c r="W200" s="65" t="str">
        <f>IFERROR(IF(OR($S200="",$F200=""),"",$S200*VLOOKUP($F200,'⚙️ Setelan'!$A$14:$F$20,5,FALSE)),"")</f>
        <v/>
      </c>
      <c r="X200" s="65" t="str">
        <f t="shared" si="24"/>
        <v/>
      </c>
      <c r="Y200" s="63" t="str">
        <f t="shared" si="25"/>
        <v/>
      </c>
      <c r="Z200" s="58" t="str">
        <f t="shared" si="26"/>
        <v/>
      </c>
      <c r="AA200" s="66" t="str">
        <f t="shared" si="27"/>
        <v/>
      </c>
      <c r="AB200" s="62"/>
      <c r="AC200" s="62"/>
      <c r="AD200" s="63" t="str">
        <f>IFERROR(IF(OR($AB200="",$T200="",$T200=0),"",ROUND(ABS($N200-$AB200)*$S200*VLOOKUP($F200,'⚙️ Setelan'!$A$14:$F$20,4,FALSE)/$T200,2)),"")</f>
        <v/>
      </c>
      <c r="AE200" s="63" t="str">
        <f>IFERROR(IF(OR($AC200="",$T200="",$T200=0),"",ROUND(ABS($AC200-$N200)*$S200*VLOOKUP($F200,'⚙️ Setelan'!$A$14:$F$20,4,FALSE)/$T200,2)),"")</f>
        <v/>
      </c>
      <c r="AF200" s="61"/>
      <c r="AG200" s="61"/>
      <c r="AH200" s="61"/>
      <c r="AI200" s="61"/>
      <c r="AJ200" s="61"/>
      <c r="AK200" s="67"/>
      <c r="AL200" s="58" t="str">
        <f>IF(OR($C200="",$B200=""),"",IF(AND($Z199="Loss",$B200=$B199,MOD($C200-$D199,1)*1440&lt;'⚙️ Setelan'!$B$9),"⚠️ Revenge",""))</f>
        <v/>
      </c>
      <c r="AM200" s="68"/>
      <c r="AN200" s="58" t="str">
        <f>IF($AM200="","",IFERROR(_xlfn.IMAGE(IF(REGEXMATCH($AM200,"\.(png|jpg|jpeg|gif)$"),$AM200,"https://s3.tradingview.com/snapshots/"&amp;LOWER(MID(REGEXEXTRACT($AM200,"/x/([A-Za-z0-9]+)"),1,1))&amp;"/"&amp;REGEXEXTRACT($AM200,"/x/([A-Za-z0-9]+)")&amp;".png"),1),"⚠️ link tidak dikenali"))</f>
        <v/>
      </c>
      <c r="AO200" s="68"/>
      <c r="AP200" s="58" t="str">
        <f>IF($AO200="","",IFERROR(_xlfn.IMAGE(IF(REGEXMATCH($AO200,"\.(png|jpg|jpeg|gif)$"),$AO200,"https://s3.tradingview.com/snapshots/"&amp;LOWER(MID(REGEXEXTRACT($AO200,"/x/([A-Za-z0-9]+)"),1,1))&amp;"/"&amp;REGEXEXTRACT($AO200,"/x/([A-Za-z0-9]+)")&amp;".png"),1),"⚠️ link tidak dikenali"))</f>
        <v/>
      </c>
      <c r="AQ200" s="66">
        <f>IF($Z200="",0,IF(AND(OR('📊 Dashboard'!$B$4="(Semua)",$F200='📊 Dashboard'!$B$4),OR('📊 Dashboard'!$B$5="(Semua)",$H200='📊 Dashboard'!$B$5),OR('📊 Dashboard'!$B$6="(Semua)",$E200='📊 Dashboard'!$B$6),OR('📊 Dashboard'!$B$7="(Semua)",$AF200='📊 Dashboard'!$B$7),OR('📊 Dashboard'!$B$8="(Semua)",$AG200='📊 Dashboard'!$B$8),OR('📊 Dashboard'!$B$9="(Semua)",$K200='📊 Dashboard'!$B$9)),1,0))</f>
        <v>0</v>
      </c>
      <c r="AR200" s="69"/>
    </row>
    <row r="201" ht="58" customHeight="1" spans="1:44">
      <c r="A201" s="58" t="str">
        <f t="shared" si="21"/>
        <v/>
      </c>
      <c r="B201" s="59"/>
      <c r="C201" s="60"/>
      <c r="D201" s="60"/>
      <c r="E201" s="58" t="str">
        <f t="shared" si="22"/>
        <v/>
      </c>
      <c r="F201" s="61"/>
      <c r="G201" s="61"/>
      <c r="H201" s="61"/>
      <c r="I201" s="61"/>
      <c r="J201" s="61"/>
      <c r="K201" s="61"/>
      <c r="L201" s="61"/>
      <c r="M201" s="61"/>
      <c r="N201" s="62"/>
      <c r="O201" s="62"/>
      <c r="P201" s="62"/>
      <c r="Q201" s="62"/>
      <c r="R201" s="63" t="str">
        <f>IFERROR(IF(OR($N201="",$O201="",$F201=""),"",ROUND(('⚙️ Setelan'!$B$3*'⚙️ Setelan'!$B$4/100)/(ABS($N201-$O201)*VLOOKUP($F201,'⚙️ Setelan'!$A$14:$F$20,4,FALSE)),2)),"")</f>
        <v/>
      </c>
      <c r="S201" s="64"/>
      <c r="T201" s="65" t="str">
        <f>IFERROR(IF(OR($N201="",$O201="",$S201=""),"",ABS($N201-$O201)*$S201*VLOOKUP($F201,'⚙️ Setelan'!$A$14:$F$20,4,FALSE)),"")</f>
        <v/>
      </c>
      <c r="U201" s="63" t="str">
        <f t="shared" si="23"/>
        <v/>
      </c>
      <c r="V201" s="65" t="str">
        <f>IFERROR(IF(OR($Q201="",$N201="",$S201=""),"",($Q201-$N201)*IF($G201="Buy",1,-1)*$S201*VLOOKUP($F201,'⚙️ Setelan'!$A$14:$F$20,4,FALSE)),"")</f>
        <v/>
      </c>
      <c r="W201" s="65" t="str">
        <f>IFERROR(IF(OR($S201="",$F201=""),"",$S201*VLOOKUP($F201,'⚙️ Setelan'!$A$14:$F$20,5,FALSE)),"")</f>
        <v/>
      </c>
      <c r="X201" s="65" t="str">
        <f t="shared" si="24"/>
        <v/>
      </c>
      <c r="Y201" s="63" t="str">
        <f t="shared" si="25"/>
        <v/>
      </c>
      <c r="Z201" s="58" t="str">
        <f t="shared" si="26"/>
        <v/>
      </c>
      <c r="AA201" s="66" t="str">
        <f t="shared" si="27"/>
        <v/>
      </c>
      <c r="AB201" s="62"/>
      <c r="AC201" s="62"/>
      <c r="AD201" s="63" t="str">
        <f>IFERROR(IF(OR($AB201="",$T201="",$T201=0),"",ROUND(ABS($N201-$AB201)*$S201*VLOOKUP($F201,'⚙️ Setelan'!$A$14:$F$20,4,FALSE)/$T201,2)),"")</f>
        <v/>
      </c>
      <c r="AE201" s="63" t="str">
        <f>IFERROR(IF(OR($AC201="",$T201="",$T201=0),"",ROUND(ABS($AC201-$N201)*$S201*VLOOKUP($F201,'⚙️ Setelan'!$A$14:$F$20,4,FALSE)/$T201,2)),"")</f>
        <v/>
      </c>
      <c r="AF201" s="61"/>
      <c r="AG201" s="61"/>
      <c r="AH201" s="61"/>
      <c r="AI201" s="61"/>
      <c r="AJ201" s="61"/>
      <c r="AK201" s="67"/>
      <c r="AL201" s="58" t="str">
        <f>IF(OR($C201="",$B201=""),"",IF(AND($Z200="Loss",$B201=$B200,MOD($C201-$D200,1)*1440&lt;'⚙️ Setelan'!$B$9),"⚠️ Revenge",""))</f>
        <v/>
      </c>
      <c r="AM201" s="68"/>
      <c r="AN201" s="58" t="str">
        <f>IF($AM201="","",IFERROR(_xlfn.IMAGE(IF(REGEXMATCH($AM201,"\.(png|jpg|jpeg|gif)$"),$AM201,"https://s3.tradingview.com/snapshots/"&amp;LOWER(MID(REGEXEXTRACT($AM201,"/x/([A-Za-z0-9]+)"),1,1))&amp;"/"&amp;REGEXEXTRACT($AM201,"/x/([A-Za-z0-9]+)")&amp;".png"),1),"⚠️ link tidak dikenali"))</f>
        <v/>
      </c>
      <c r="AO201" s="68"/>
      <c r="AP201" s="58" t="str">
        <f>IF($AO201="","",IFERROR(_xlfn.IMAGE(IF(REGEXMATCH($AO201,"\.(png|jpg|jpeg|gif)$"),$AO201,"https://s3.tradingview.com/snapshots/"&amp;LOWER(MID(REGEXEXTRACT($AO201,"/x/([A-Za-z0-9]+)"),1,1))&amp;"/"&amp;REGEXEXTRACT($AO201,"/x/([A-Za-z0-9]+)")&amp;".png"),1),"⚠️ link tidak dikenali"))</f>
        <v/>
      </c>
      <c r="AQ201" s="66">
        <f>IF($Z201="",0,IF(AND(OR('📊 Dashboard'!$B$4="(Semua)",$F201='📊 Dashboard'!$B$4),OR('📊 Dashboard'!$B$5="(Semua)",$H201='📊 Dashboard'!$B$5),OR('📊 Dashboard'!$B$6="(Semua)",$E201='📊 Dashboard'!$B$6),OR('📊 Dashboard'!$B$7="(Semua)",$AF201='📊 Dashboard'!$B$7),OR('📊 Dashboard'!$B$8="(Semua)",$AG201='📊 Dashboard'!$B$8),OR('📊 Dashboard'!$B$9="(Semua)",$K201='📊 Dashboard'!$B$9)),1,0))</f>
        <v>0</v>
      </c>
      <c r="AR201" s="69"/>
    </row>
    <row r="202" ht="58" customHeight="1" spans="1:44">
      <c r="A202" s="58" t="str">
        <f t="shared" si="21"/>
        <v/>
      </c>
      <c r="B202" s="59"/>
      <c r="C202" s="60"/>
      <c r="D202" s="60"/>
      <c r="E202" s="58" t="str">
        <f t="shared" si="22"/>
        <v/>
      </c>
      <c r="F202" s="61"/>
      <c r="G202" s="61"/>
      <c r="H202" s="61"/>
      <c r="I202" s="61"/>
      <c r="J202" s="61"/>
      <c r="K202" s="61"/>
      <c r="L202" s="61"/>
      <c r="M202" s="61"/>
      <c r="N202" s="62"/>
      <c r="O202" s="62"/>
      <c r="P202" s="62"/>
      <c r="Q202" s="62"/>
      <c r="R202" s="63" t="str">
        <f>IFERROR(IF(OR($N202="",$O202="",$F202=""),"",ROUND(('⚙️ Setelan'!$B$3*'⚙️ Setelan'!$B$4/100)/(ABS($N202-$O202)*VLOOKUP($F202,'⚙️ Setelan'!$A$14:$F$20,4,FALSE)),2)),"")</f>
        <v/>
      </c>
      <c r="S202" s="64"/>
      <c r="T202" s="65" t="str">
        <f>IFERROR(IF(OR($N202="",$O202="",$S202=""),"",ABS($N202-$O202)*$S202*VLOOKUP($F202,'⚙️ Setelan'!$A$14:$F$20,4,FALSE)),"")</f>
        <v/>
      </c>
      <c r="U202" s="63" t="str">
        <f t="shared" si="23"/>
        <v/>
      </c>
      <c r="V202" s="65" t="str">
        <f>IFERROR(IF(OR($Q202="",$N202="",$S202=""),"",($Q202-$N202)*IF($G202="Buy",1,-1)*$S202*VLOOKUP($F202,'⚙️ Setelan'!$A$14:$F$20,4,FALSE)),"")</f>
        <v/>
      </c>
      <c r="W202" s="65" t="str">
        <f>IFERROR(IF(OR($S202="",$F202=""),"",$S202*VLOOKUP($F202,'⚙️ Setelan'!$A$14:$F$20,5,FALSE)),"")</f>
        <v/>
      </c>
      <c r="X202" s="65" t="str">
        <f t="shared" si="24"/>
        <v/>
      </c>
      <c r="Y202" s="63" t="str">
        <f t="shared" si="25"/>
        <v/>
      </c>
      <c r="Z202" s="58" t="str">
        <f t="shared" si="26"/>
        <v/>
      </c>
      <c r="AA202" s="66" t="str">
        <f t="shared" si="27"/>
        <v/>
      </c>
      <c r="AB202" s="62"/>
      <c r="AC202" s="62"/>
      <c r="AD202" s="63" t="str">
        <f>IFERROR(IF(OR($AB202="",$T202="",$T202=0),"",ROUND(ABS($N202-$AB202)*$S202*VLOOKUP($F202,'⚙️ Setelan'!$A$14:$F$20,4,FALSE)/$T202,2)),"")</f>
        <v/>
      </c>
      <c r="AE202" s="63" t="str">
        <f>IFERROR(IF(OR($AC202="",$T202="",$T202=0),"",ROUND(ABS($AC202-$N202)*$S202*VLOOKUP($F202,'⚙️ Setelan'!$A$14:$F$20,4,FALSE)/$T202,2)),"")</f>
        <v/>
      </c>
      <c r="AF202" s="61"/>
      <c r="AG202" s="61"/>
      <c r="AH202" s="61"/>
      <c r="AI202" s="61"/>
      <c r="AJ202" s="61"/>
      <c r="AK202" s="67"/>
      <c r="AL202" s="58" t="str">
        <f>IF(OR($C202="",$B202=""),"",IF(AND($Z201="Loss",$B202=$B201,MOD($C202-$D201,1)*1440&lt;'⚙️ Setelan'!$B$9),"⚠️ Revenge",""))</f>
        <v/>
      </c>
      <c r="AM202" s="68"/>
      <c r="AN202" s="58" t="str">
        <f>IF($AM202="","",IFERROR(_xlfn.IMAGE(IF(REGEXMATCH($AM202,"\.(png|jpg|jpeg|gif)$"),$AM202,"https://s3.tradingview.com/snapshots/"&amp;LOWER(MID(REGEXEXTRACT($AM202,"/x/([A-Za-z0-9]+)"),1,1))&amp;"/"&amp;REGEXEXTRACT($AM202,"/x/([A-Za-z0-9]+)")&amp;".png"),1),"⚠️ link tidak dikenali"))</f>
        <v/>
      </c>
      <c r="AO202" s="68"/>
      <c r="AP202" s="58" t="str">
        <f>IF($AO202="","",IFERROR(_xlfn.IMAGE(IF(REGEXMATCH($AO202,"\.(png|jpg|jpeg|gif)$"),$AO202,"https://s3.tradingview.com/snapshots/"&amp;LOWER(MID(REGEXEXTRACT($AO202,"/x/([A-Za-z0-9]+)"),1,1))&amp;"/"&amp;REGEXEXTRACT($AO202,"/x/([A-Za-z0-9]+)")&amp;".png"),1),"⚠️ link tidak dikenali"))</f>
        <v/>
      </c>
      <c r="AQ202" s="66">
        <f>IF($Z202="",0,IF(AND(OR('📊 Dashboard'!$B$4="(Semua)",$F202='📊 Dashboard'!$B$4),OR('📊 Dashboard'!$B$5="(Semua)",$H202='📊 Dashboard'!$B$5),OR('📊 Dashboard'!$B$6="(Semua)",$E202='📊 Dashboard'!$B$6),OR('📊 Dashboard'!$B$7="(Semua)",$AF202='📊 Dashboard'!$B$7),OR('📊 Dashboard'!$B$8="(Semua)",$AG202='📊 Dashboard'!$B$8),OR('📊 Dashboard'!$B$9="(Semua)",$K202='📊 Dashboard'!$B$9)),1,0))</f>
        <v>0</v>
      </c>
      <c r="AR202" s="69"/>
    </row>
    <row r="203" ht="58" customHeight="1" spans="1:44">
      <c r="A203" s="58" t="str">
        <f t="shared" si="21"/>
        <v/>
      </c>
      <c r="B203" s="59"/>
      <c r="C203" s="60"/>
      <c r="D203" s="60"/>
      <c r="E203" s="58" t="str">
        <f t="shared" si="22"/>
        <v/>
      </c>
      <c r="F203" s="61"/>
      <c r="G203" s="61"/>
      <c r="H203" s="61"/>
      <c r="I203" s="61"/>
      <c r="J203" s="61"/>
      <c r="K203" s="61"/>
      <c r="L203" s="61"/>
      <c r="M203" s="61"/>
      <c r="N203" s="62"/>
      <c r="O203" s="62"/>
      <c r="P203" s="62"/>
      <c r="Q203" s="62"/>
      <c r="R203" s="63" t="str">
        <f>IFERROR(IF(OR($N203="",$O203="",$F203=""),"",ROUND(('⚙️ Setelan'!$B$3*'⚙️ Setelan'!$B$4/100)/(ABS($N203-$O203)*VLOOKUP($F203,'⚙️ Setelan'!$A$14:$F$20,4,FALSE)),2)),"")</f>
        <v/>
      </c>
      <c r="S203" s="64"/>
      <c r="T203" s="65" t="str">
        <f>IFERROR(IF(OR($N203="",$O203="",$S203=""),"",ABS($N203-$O203)*$S203*VLOOKUP($F203,'⚙️ Setelan'!$A$14:$F$20,4,FALSE)),"")</f>
        <v/>
      </c>
      <c r="U203" s="63" t="str">
        <f t="shared" si="23"/>
        <v/>
      </c>
      <c r="V203" s="65" t="str">
        <f>IFERROR(IF(OR($Q203="",$N203="",$S203=""),"",($Q203-$N203)*IF($G203="Buy",1,-1)*$S203*VLOOKUP($F203,'⚙️ Setelan'!$A$14:$F$20,4,FALSE)),"")</f>
        <v/>
      </c>
      <c r="W203" s="65" t="str">
        <f>IFERROR(IF(OR($S203="",$F203=""),"",$S203*VLOOKUP($F203,'⚙️ Setelan'!$A$14:$F$20,5,FALSE)),"")</f>
        <v/>
      </c>
      <c r="X203" s="65" t="str">
        <f t="shared" si="24"/>
        <v/>
      </c>
      <c r="Y203" s="63" t="str">
        <f t="shared" si="25"/>
        <v/>
      </c>
      <c r="Z203" s="58" t="str">
        <f t="shared" si="26"/>
        <v/>
      </c>
      <c r="AA203" s="66" t="str">
        <f t="shared" si="27"/>
        <v/>
      </c>
      <c r="AB203" s="62"/>
      <c r="AC203" s="62"/>
      <c r="AD203" s="63" t="str">
        <f>IFERROR(IF(OR($AB203="",$T203="",$T203=0),"",ROUND(ABS($N203-$AB203)*$S203*VLOOKUP($F203,'⚙️ Setelan'!$A$14:$F$20,4,FALSE)/$T203,2)),"")</f>
        <v/>
      </c>
      <c r="AE203" s="63" t="str">
        <f>IFERROR(IF(OR($AC203="",$T203="",$T203=0),"",ROUND(ABS($AC203-$N203)*$S203*VLOOKUP($F203,'⚙️ Setelan'!$A$14:$F$20,4,FALSE)/$T203,2)),"")</f>
        <v/>
      </c>
      <c r="AF203" s="61"/>
      <c r="AG203" s="61"/>
      <c r="AH203" s="61"/>
      <c r="AI203" s="61"/>
      <c r="AJ203" s="61"/>
      <c r="AK203" s="67"/>
      <c r="AL203" s="58" t="str">
        <f>IF(OR($C203="",$B203=""),"",IF(AND($Z202="Loss",$B203=$B202,MOD($C203-$D202,1)*1440&lt;'⚙️ Setelan'!$B$9),"⚠️ Revenge",""))</f>
        <v/>
      </c>
      <c r="AM203" s="68"/>
      <c r="AN203" s="58" t="str">
        <f>IF($AM203="","",IFERROR(_xlfn.IMAGE(IF(REGEXMATCH($AM203,"\.(png|jpg|jpeg|gif)$"),$AM203,"https://s3.tradingview.com/snapshots/"&amp;LOWER(MID(REGEXEXTRACT($AM203,"/x/([A-Za-z0-9]+)"),1,1))&amp;"/"&amp;REGEXEXTRACT($AM203,"/x/([A-Za-z0-9]+)")&amp;".png"),1),"⚠️ link tidak dikenali"))</f>
        <v/>
      </c>
      <c r="AO203" s="68"/>
      <c r="AP203" s="58" t="str">
        <f>IF($AO203="","",IFERROR(_xlfn.IMAGE(IF(REGEXMATCH($AO203,"\.(png|jpg|jpeg|gif)$"),$AO203,"https://s3.tradingview.com/snapshots/"&amp;LOWER(MID(REGEXEXTRACT($AO203,"/x/([A-Za-z0-9]+)"),1,1))&amp;"/"&amp;REGEXEXTRACT($AO203,"/x/([A-Za-z0-9]+)")&amp;".png"),1),"⚠️ link tidak dikenali"))</f>
        <v/>
      </c>
      <c r="AQ203" s="66">
        <f>IF($Z203="",0,IF(AND(OR('📊 Dashboard'!$B$4="(Semua)",$F203='📊 Dashboard'!$B$4),OR('📊 Dashboard'!$B$5="(Semua)",$H203='📊 Dashboard'!$B$5),OR('📊 Dashboard'!$B$6="(Semua)",$E203='📊 Dashboard'!$B$6),OR('📊 Dashboard'!$B$7="(Semua)",$AF203='📊 Dashboard'!$B$7),OR('📊 Dashboard'!$B$8="(Semua)",$AG203='📊 Dashboard'!$B$8),OR('📊 Dashboard'!$B$9="(Semua)",$K203='📊 Dashboard'!$B$9)),1,0))</f>
        <v>0</v>
      </c>
      <c r="AR203" s="69"/>
    </row>
    <row r="204" ht="58" customHeight="1" spans="1:44">
      <c r="A204" s="58" t="str">
        <f t="shared" si="21"/>
        <v/>
      </c>
      <c r="B204" s="59"/>
      <c r="C204" s="60"/>
      <c r="D204" s="60"/>
      <c r="E204" s="58" t="str">
        <f t="shared" si="22"/>
        <v/>
      </c>
      <c r="F204" s="61"/>
      <c r="G204" s="61"/>
      <c r="H204" s="61"/>
      <c r="I204" s="61"/>
      <c r="J204" s="61"/>
      <c r="K204" s="61"/>
      <c r="L204" s="61"/>
      <c r="M204" s="61"/>
      <c r="N204" s="62"/>
      <c r="O204" s="62"/>
      <c r="P204" s="62"/>
      <c r="Q204" s="62"/>
      <c r="R204" s="63" t="str">
        <f>IFERROR(IF(OR($N204="",$O204="",$F204=""),"",ROUND(('⚙️ Setelan'!$B$3*'⚙️ Setelan'!$B$4/100)/(ABS($N204-$O204)*VLOOKUP($F204,'⚙️ Setelan'!$A$14:$F$20,4,FALSE)),2)),"")</f>
        <v/>
      </c>
      <c r="S204" s="64"/>
      <c r="T204" s="65" t="str">
        <f>IFERROR(IF(OR($N204="",$O204="",$S204=""),"",ABS($N204-$O204)*$S204*VLOOKUP($F204,'⚙️ Setelan'!$A$14:$F$20,4,FALSE)),"")</f>
        <v/>
      </c>
      <c r="U204" s="63" t="str">
        <f t="shared" si="23"/>
        <v/>
      </c>
      <c r="V204" s="65" t="str">
        <f>IFERROR(IF(OR($Q204="",$N204="",$S204=""),"",($Q204-$N204)*IF($G204="Buy",1,-1)*$S204*VLOOKUP($F204,'⚙️ Setelan'!$A$14:$F$20,4,FALSE)),"")</f>
        <v/>
      </c>
      <c r="W204" s="65" t="str">
        <f>IFERROR(IF(OR($S204="",$F204=""),"",$S204*VLOOKUP($F204,'⚙️ Setelan'!$A$14:$F$20,5,FALSE)),"")</f>
        <v/>
      </c>
      <c r="X204" s="65" t="str">
        <f t="shared" si="24"/>
        <v/>
      </c>
      <c r="Y204" s="63" t="str">
        <f t="shared" si="25"/>
        <v/>
      </c>
      <c r="Z204" s="58" t="str">
        <f t="shared" si="26"/>
        <v/>
      </c>
      <c r="AA204" s="66" t="str">
        <f t="shared" si="27"/>
        <v/>
      </c>
      <c r="AB204" s="62"/>
      <c r="AC204" s="62"/>
      <c r="AD204" s="63" t="str">
        <f>IFERROR(IF(OR($AB204="",$T204="",$T204=0),"",ROUND(ABS($N204-$AB204)*$S204*VLOOKUP($F204,'⚙️ Setelan'!$A$14:$F$20,4,FALSE)/$T204,2)),"")</f>
        <v/>
      </c>
      <c r="AE204" s="63" t="str">
        <f>IFERROR(IF(OR($AC204="",$T204="",$T204=0),"",ROUND(ABS($AC204-$N204)*$S204*VLOOKUP($F204,'⚙️ Setelan'!$A$14:$F$20,4,FALSE)/$T204,2)),"")</f>
        <v/>
      </c>
      <c r="AF204" s="61"/>
      <c r="AG204" s="61"/>
      <c r="AH204" s="61"/>
      <c r="AI204" s="61"/>
      <c r="AJ204" s="61"/>
      <c r="AK204" s="67"/>
      <c r="AL204" s="58" t="str">
        <f>IF(OR($C204="",$B204=""),"",IF(AND($Z203="Loss",$B204=$B203,MOD($C204-$D203,1)*1440&lt;'⚙️ Setelan'!$B$9),"⚠️ Revenge",""))</f>
        <v/>
      </c>
      <c r="AM204" s="68"/>
      <c r="AN204" s="58" t="str">
        <f>IF($AM204="","",IFERROR(_xlfn.IMAGE(IF(REGEXMATCH($AM204,"\.(png|jpg|jpeg|gif)$"),$AM204,"https://s3.tradingview.com/snapshots/"&amp;LOWER(MID(REGEXEXTRACT($AM204,"/x/([A-Za-z0-9]+)"),1,1))&amp;"/"&amp;REGEXEXTRACT($AM204,"/x/([A-Za-z0-9]+)")&amp;".png"),1),"⚠️ link tidak dikenali"))</f>
        <v/>
      </c>
      <c r="AO204" s="68"/>
      <c r="AP204" s="58" t="str">
        <f>IF($AO204="","",IFERROR(_xlfn.IMAGE(IF(REGEXMATCH($AO204,"\.(png|jpg|jpeg|gif)$"),$AO204,"https://s3.tradingview.com/snapshots/"&amp;LOWER(MID(REGEXEXTRACT($AO204,"/x/([A-Za-z0-9]+)"),1,1))&amp;"/"&amp;REGEXEXTRACT($AO204,"/x/([A-Za-z0-9]+)")&amp;".png"),1),"⚠️ link tidak dikenali"))</f>
        <v/>
      </c>
      <c r="AQ204" s="66">
        <f>IF($Z204="",0,IF(AND(OR('📊 Dashboard'!$B$4="(Semua)",$F204='📊 Dashboard'!$B$4),OR('📊 Dashboard'!$B$5="(Semua)",$H204='📊 Dashboard'!$B$5),OR('📊 Dashboard'!$B$6="(Semua)",$E204='📊 Dashboard'!$B$6),OR('📊 Dashboard'!$B$7="(Semua)",$AF204='📊 Dashboard'!$B$7),OR('📊 Dashboard'!$B$8="(Semua)",$AG204='📊 Dashboard'!$B$8),OR('📊 Dashboard'!$B$9="(Semua)",$K204='📊 Dashboard'!$B$9)),1,0))</f>
        <v>0</v>
      </c>
      <c r="AR204" s="69"/>
    </row>
    <row r="205" ht="58" customHeight="1" spans="1:44">
      <c r="A205" s="58" t="str">
        <f t="shared" si="21"/>
        <v/>
      </c>
      <c r="B205" s="59"/>
      <c r="C205" s="60"/>
      <c r="D205" s="60"/>
      <c r="E205" s="58" t="str">
        <f t="shared" si="22"/>
        <v/>
      </c>
      <c r="F205" s="61"/>
      <c r="G205" s="61"/>
      <c r="H205" s="61"/>
      <c r="I205" s="61"/>
      <c r="J205" s="61"/>
      <c r="K205" s="61"/>
      <c r="L205" s="61"/>
      <c r="M205" s="61"/>
      <c r="N205" s="62"/>
      <c r="O205" s="62"/>
      <c r="P205" s="62"/>
      <c r="Q205" s="62"/>
      <c r="R205" s="63" t="str">
        <f>IFERROR(IF(OR($N205="",$O205="",$F205=""),"",ROUND(('⚙️ Setelan'!$B$3*'⚙️ Setelan'!$B$4/100)/(ABS($N205-$O205)*VLOOKUP($F205,'⚙️ Setelan'!$A$14:$F$20,4,FALSE)),2)),"")</f>
        <v/>
      </c>
      <c r="S205" s="64"/>
      <c r="T205" s="65" t="str">
        <f>IFERROR(IF(OR($N205="",$O205="",$S205=""),"",ABS($N205-$O205)*$S205*VLOOKUP($F205,'⚙️ Setelan'!$A$14:$F$20,4,FALSE)),"")</f>
        <v/>
      </c>
      <c r="U205" s="63" t="str">
        <f t="shared" si="23"/>
        <v/>
      </c>
      <c r="V205" s="65" t="str">
        <f>IFERROR(IF(OR($Q205="",$N205="",$S205=""),"",($Q205-$N205)*IF($G205="Buy",1,-1)*$S205*VLOOKUP($F205,'⚙️ Setelan'!$A$14:$F$20,4,FALSE)),"")</f>
        <v/>
      </c>
      <c r="W205" s="65" t="str">
        <f>IFERROR(IF(OR($S205="",$F205=""),"",$S205*VLOOKUP($F205,'⚙️ Setelan'!$A$14:$F$20,5,FALSE)),"")</f>
        <v/>
      </c>
      <c r="X205" s="65" t="str">
        <f t="shared" si="24"/>
        <v/>
      </c>
      <c r="Y205" s="63" t="str">
        <f t="shared" si="25"/>
        <v/>
      </c>
      <c r="Z205" s="58" t="str">
        <f t="shared" si="26"/>
        <v/>
      </c>
      <c r="AA205" s="66" t="str">
        <f t="shared" si="27"/>
        <v/>
      </c>
      <c r="AB205" s="62"/>
      <c r="AC205" s="62"/>
      <c r="AD205" s="63" t="str">
        <f>IFERROR(IF(OR($AB205="",$T205="",$T205=0),"",ROUND(ABS($N205-$AB205)*$S205*VLOOKUP($F205,'⚙️ Setelan'!$A$14:$F$20,4,FALSE)/$T205,2)),"")</f>
        <v/>
      </c>
      <c r="AE205" s="63" t="str">
        <f>IFERROR(IF(OR($AC205="",$T205="",$T205=0),"",ROUND(ABS($AC205-$N205)*$S205*VLOOKUP($F205,'⚙️ Setelan'!$A$14:$F$20,4,FALSE)/$T205,2)),"")</f>
        <v/>
      </c>
      <c r="AF205" s="61"/>
      <c r="AG205" s="61"/>
      <c r="AH205" s="61"/>
      <c r="AI205" s="61"/>
      <c r="AJ205" s="61"/>
      <c r="AK205" s="67"/>
      <c r="AL205" s="58" t="str">
        <f>IF(OR($C205="",$B205=""),"",IF(AND($Z204="Loss",$B205=$B204,MOD($C205-$D204,1)*1440&lt;'⚙️ Setelan'!$B$9),"⚠️ Revenge",""))</f>
        <v/>
      </c>
      <c r="AM205" s="68"/>
      <c r="AN205" s="58" t="str">
        <f>IF($AM205="","",IFERROR(_xlfn.IMAGE(IF(REGEXMATCH($AM205,"\.(png|jpg|jpeg|gif)$"),$AM205,"https://s3.tradingview.com/snapshots/"&amp;LOWER(MID(REGEXEXTRACT($AM205,"/x/([A-Za-z0-9]+)"),1,1))&amp;"/"&amp;REGEXEXTRACT($AM205,"/x/([A-Za-z0-9]+)")&amp;".png"),1),"⚠️ link tidak dikenali"))</f>
        <v/>
      </c>
      <c r="AO205" s="68"/>
      <c r="AP205" s="58" t="str">
        <f>IF($AO205="","",IFERROR(_xlfn.IMAGE(IF(REGEXMATCH($AO205,"\.(png|jpg|jpeg|gif)$"),$AO205,"https://s3.tradingview.com/snapshots/"&amp;LOWER(MID(REGEXEXTRACT($AO205,"/x/([A-Za-z0-9]+)"),1,1))&amp;"/"&amp;REGEXEXTRACT($AO205,"/x/([A-Za-z0-9]+)")&amp;".png"),1),"⚠️ link tidak dikenali"))</f>
        <v/>
      </c>
      <c r="AQ205" s="66">
        <f>IF($Z205="",0,IF(AND(OR('📊 Dashboard'!$B$4="(Semua)",$F205='📊 Dashboard'!$B$4),OR('📊 Dashboard'!$B$5="(Semua)",$H205='📊 Dashboard'!$B$5),OR('📊 Dashboard'!$B$6="(Semua)",$E205='📊 Dashboard'!$B$6),OR('📊 Dashboard'!$B$7="(Semua)",$AF205='📊 Dashboard'!$B$7),OR('📊 Dashboard'!$B$8="(Semua)",$AG205='📊 Dashboard'!$B$8),OR('📊 Dashboard'!$B$9="(Semua)",$K205='📊 Dashboard'!$B$9)),1,0))</f>
        <v>0</v>
      </c>
      <c r="AR205" s="69"/>
    </row>
    <row r="206" ht="58" customHeight="1" spans="1:44">
      <c r="A206" s="58" t="str">
        <f t="shared" si="21"/>
        <v/>
      </c>
      <c r="B206" s="59"/>
      <c r="C206" s="60"/>
      <c r="D206" s="60"/>
      <c r="E206" s="58" t="str">
        <f t="shared" si="22"/>
        <v/>
      </c>
      <c r="F206" s="61"/>
      <c r="G206" s="61"/>
      <c r="H206" s="61"/>
      <c r="I206" s="61"/>
      <c r="J206" s="61"/>
      <c r="K206" s="61"/>
      <c r="L206" s="61"/>
      <c r="M206" s="61"/>
      <c r="N206" s="62"/>
      <c r="O206" s="62"/>
      <c r="P206" s="62"/>
      <c r="Q206" s="62"/>
      <c r="R206" s="63" t="str">
        <f>IFERROR(IF(OR($N206="",$O206="",$F206=""),"",ROUND(('⚙️ Setelan'!$B$3*'⚙️ Setelan'!$B$4/100)/(ABS($N206-$O206)*VLOOKUP($F206,'⚙️ Setelan'!$A$14:$F$20,4,FALSE)),2)),"")</f>
        <v/>
      </c>
      <c r="S206" s="64"/>
      <c r="T206" s="65" t="str">
        <f>IFERROR(IF(OR($N206="",$O206="",$S206=""),"",ABS($N206-$O206)*$S206*VLOOKUP($F206,'⚙️ Setelan'!$A$14:$F$20,4,FALSE)),"")</f>
        <v/>
      </c>
      <c r="U206" s="63" t="str">
        <f t="shared" si="23"/>
        <v/>
      </c>
      <c r="V206" s="65" t="str">
        <f>IFERROR(IF(OR($Q206="",$N206="",$S206=""),"",($Q206-$N206)*IF($G206="Buy",1,-1)*$S206*VLOOKUP($F206,'⚙️ Setelan'!$A$14:$F$20,4,FALSE)),"")</f>
        <v/>
      </c>
      <c r="W206" s="65" t="str">
        <f>IFERROR(IF(OR($S206="",$F206=""),"",$S206*VLOOKUP($F206,'⚙️ Setelan'!$A$14:$F$20,5,FALSE)),"")</f>
        <v/>
      </c>
      <c r="X206" s="65" t="str">
        <f t="shared" si="24"/>
        <v/>
      </c>
      <c r="Y206" s="63" t="str">
        <f t="shared" si="25"/>
        <v/>
      </c>
      <c r="Z206" s="58" t="str">
        <f t="shared" si="26"/>
        <v/>
      </c>
      <c r="AA206" s="66" t="str">
        <f t="shared" si="27"/>
        <v/>
      </c>
      <c r="AB206" s="62"/>
      <c r="AC206" s="62"/>
      <c r="AD206" s="63" t="str">
        <f>IFERROR(IF(OR($AB206="",$T206="",$T206=0),"",ROUND(ABS($N206-$AB206)*$S206*VLOOKUP($F206,'⚙️ Setelan'!$A$14:$F$20,4,FALSE)/$T206,2)),"")</f>
        <v/>
      </c>
      <c r="AE206" s="63" t="str">
        <f>IFERROR(IF(OR($AC206="",$T206="",$T206=0),"",ROUND(ABS($AC206-$N206)*$S206*VLOOKUP($F206,'⚙️ Setelan'!$A$14:$F$20,4,FALSE)/$T206,2)),"")</f>
        <v/>
      </c>
      <c r="AF206" s="61"/>
      <c r="AG206" s="61"/>
      <c r="AH206" s="61"/>
      <c r="AI206" s="61"/>
      <c r="AJ206" s="61"/>
      <c r="AK206" s="67"/>
      <c r="AL206" s="58" t="str">
        <f>IF(OR($C206="",$B206=""),"",IF(AND($Z205="Loss",$B206=$B205,MOD($C206-$D205,1)*1440&lt;'⚙️ Setelan'!$B$9),"⚠️ Revenge",""))</f>
        <v/>
      </c>
      <c r="AM206" s="68"/>
      <c r="AN206" s="58" t="str">
        <f>IF($AM206="","",IFERROR(_xlfn.IMAGE(IF(REGEXMATCH($AM206,"\.(png|jpg|jpeg|gif)$"),$AM206,"https://s3.tradingview.com/snapshots/"&amp;LOWER(MID(REGEXEXTRACT($AM206,"/x/([A-Za-z0-9]+)"),1,1))&amp;"/"&amp;REGEXEXTRACT($AM206,"/x/([A-Za-z0-9]+)")&amp;".png"),1),"⚠️ link tidak dikenali"))</f>
        <v/>
      </c>
      <c r="AO206" s="68"/>
      <c r="AP206" s="58" t="str">
        <f>IF($AO206="","",IFERROR(_xlfn.IMAGE(IF(REGEXMATCH($AO206,"\.(png|jpg|jpeg|gif)$"),$AO206,"https://s3.tradingview.com/snapshots/"&amp;LOWER(MID(REGEXEXTRACT($AO206,"/x/([A-Za-z0-9]+)"),1,1))&amp;"/"&amp;REGEXEXTRACT($AO206,"/x/([A-Za-z0-9]+)")&amp;".png"),1),"⚠️ link tidak dikenali"))</f>
        <v/>
      </c>
      <c r="AQ206" s="66">
        <f>IF($Z206="",0,IF(AND(OR('📊 Dashboard'!$B$4="(Semua)",$F206='📊 Dashboard'!$B$4),OR('📊 Dashboard'!$B$5="(Semua)",$H206='📊 Dashboard'!$B$5),OR('📊 Dashboard'!$B$6="(Semua)",$E206='📊 Dashboard'!$B$6),OR('📊 Dashboard'!$B$7="(Semua)",$AF206='📊 Dashboard'!$B$7),OR('📊 Dashboard'!$B$8="(Semua)",$AG206='📊 Dashboard'!$B$8),OR('📊 Dashboard'!$B$9="(Semua)",$K206='📊 Dashboard'!$B$9)),1,0))</f>
        <v>0</v>
      </c>
      <c r="AR206" s="69"/>
    </row>
    <row r="207" ht="58" customHeight="1" spans="1:44">
      <c r="A207" s="58" t="str">
        <f t="shared" si="21"/>
        <v/>
      </c>
      <c r="B207" s="59"/>
      <c r="C207" s="60"/>
      <c r="D207" s="60"/>
      <c r="E207" s="58" t="str">
        <f t="shared" si="22"/>
        <v/>
      </c>
      <c r="F207" s="61"/>
      <c r="G207" s="61"/>
      <c r="H207" s="61"/>
      <c r="I207" s="61"/>
      <c r="J207" s="61"/>
      <c r="K207" s="61"/>
      <c r="L207" s="61"/>
      <c r="M207" s="61"/>
      <c r="N207" s="62"/>
      <c r="O207" s="62"/>
      <c r="P207" s="62"/>
      <c r="Q207" s="62"/>
      <c r="R207" s="63" t="str">
        <f>IFERROR(IF(OR($N207="",$O207="",$F207=""),"",ROUND(('⚙️ Setelan'!$B$3*'⚙️ Setelan'!$B$4/100)/(ABS($N207-$O207)*VLOOKUP($F207,'⚙️ Setelan'!$A$14:$F$20,4,FALSE)),2)),"")</f>
        <v/>
      </c>
      <c r="S207" s="64"/>
      <c r="T207" s="65" t="str">
        <f>IFERROR(IF(OR($N207="",$O207="",$S207=""),"",ABS($N207-$O207)*$S207*VLOOKUP($F207,'⚙️ Setelan'!$A$14:$F$20,4,FALSE)),"")</f>
        <v/>
      </c>
      <c r="U207" s="63" t="str">
        <f t="shared" si="23"/>
        <v/>
      </c>
      <c r="V207" s="65" t="str">
        <f>IFERROR(IF(OR($Q207="",$N207="",$S207=""),"",($Q207-$N207)*IF($G207="Buy",1,-1)*$S207*VLOOKUP($F207,'⚙️ Setelan'!$A$14:$F$20,4,FALSE)),"")</f>
        <v/>
      </c>
      <c r="W207" s="65" t="str">
        <f>IFERROR(IF(OR($S207="",$F207=""),"",$S207*VLOOKUP($F207,'⚙️ Setelan'!$A$14:$F$20,5,FALSE)),"")</f>
        <v/>
      </c>
      <c r="X207" s="65" t="str">
        <f t="shared" si="24"/>
        <v/>
      </c>
      <c r="Y207" s="63" t="str">
        <f t="shared" si="25"/>
        <v/>
      </c>
      <c r="Z207" s="58" t="str">
        <f t="shared" si="26"/>
        <v/>
      </c>
      <c r="AA207" s="66" t="str">
        <f t="shared" si="27"/>
        <v/>
      </c>
      <c r="AB207" s="62"/>
      <c r="AC207" s="62"/>
      <c r="AD207" s="63" t="str">
        <f>IFERROR(IF(OR($AB207="",$T207="",$T207=0),"",ROUND(ABS($N207-$AB207)*$S207*VLOOKUP($F207,'⚙️ Setelan'!$A$14:$F$20,4,FALSE)/$T207,2)),"")</f>
        <v/>
      </c>
      <c r="AE207" s="63" t="str">
        <f>IFERROR(IF(OR($AC207="",$T207="",$T207=0),"",ROUND(ABS($AC207-$N207)*$S207*VLOOKUP($F207,'⚙️ Setelan'!$A$14:$F$20,4,FALSE)/$T207,2)),"")</f>
        <v/>
      </c>
      <c r="AF207" s="61"/>
      <c r="AG207" s="61"/>
      <c r="AH207" s="61"/>
      <c r="AI207" s="61"/>
      <c r="AJ207" s="61"/>
      <c r="AK207" s="67"/>
      <c r="AL207" s="58" t="str">
        <f>IF(OR($C207="",$B207=""),"",IF(AND($Z206="Loss",$B207=$B206,MOD($C207-$D206,1)*1440&lt;'⚙️ Setelan'!$B$9),"⚠️ Revenge",""))</f>
        <v/>
      </c>
      <c r="AM207" s="68"/>
      <c r="AN207" s="58" t="str">
        <f>IF($AM207="","",IFERROR(_xlfn.IMAGE(IF(REGEXMATCH($AM207,"\.(png|jpg|jpeg|gif)$"),$AM207,"https://s3.tradingview.com/snapshots/"&amp;LOWER(MID(REGEXEXTRACT($AM207,"/x/([A-Za-z0-9]+)"),1,1))&amp;"/"&amp;REGEXEXTRACT($AM207,"/x/([A-Za-z0-9]+)")&amp;".png"),1),"⚠️ link tidak dikenali"))</f>
        <v/>
      </c>
      <c r="AO207" s="68"/>
      <c r="AP207" s="58" t="str">
        <f>IF($AO207="","",IFERROR(_xlfn.IMAGE(IF(REGEXMATCH($AO207,"\.(png|jpg|jpeg|gif)$"),$AO207,"https://s3.tradingview.com/snapshots/"&amp;LOWER(MID(REGEXEXTRACT($AO207,"/x/([A-Za-z0-9]+)"),1,1))&amp;"/"&amp;REGEXEXTRACT($AO207,"/x/([A-Za-z0-9]+)")&amp;".png"),1),"⚠️ link tidak dikenali"))</f>
        <v/>
      </c>
      <c r="AQ207" s="66">
        <f>IF($Z207="",0,IF(AND(OR('📊 Dashboard'!$B$4="(Semua)",$F207='📊 Dashboard'!$B$4),OR('📊 Dashboard'!$B$5="(Semua)",$H207='📊 Dashboard'!$B$5),OR('📊 Dashboard'!$B$6="(Semua)",$E207='📊 Dashboard'!$B$6),OR('📊 Dashboard'!$B$7="(Semua)",$AF207='📊 Dashboard'!$B$7),OR('📊 Dashboard'!$B$8="(Semua)",$AG207='📊 Dashboard'!$B$8),OR('📊 Dashboard'!$B$9="(Semua)",$K207='📊 Dashboard'!$B$9)),1,0))</f>
        <v>0</v>
      </c>
      <c r="AR207" s="69"/>
    </row>
    <row r="208" ht="58" customHeight="1" spans="1:44">
      <c r="A208" s="58" t="str">
        <f t="shared" si="21"/>
        <v/>
      </c>
      <c r="B208" s="59"/>
      <c r="C208" s="60"/>
      <c r="D208" s="60"/>
      <c r="E208" s="58" t="str">
        <f t="shared" si="22"/>
        <v/>
      </c>
      <c r="F208" s="61"/>
      <c r="G208" s="61"/>
      <c r="H208" s="61"/>
      <c r="I208" s="61"/>
      <c r="J208" s="61"/>
      <c r="K208" s="61"/>
      <c r="L208" s="61"/>
      <c r="M208" s="61"/>
      <c r="N208" s="62"/>
      <c r="O208" s="62"/>
      <c r="P208" s="62"/>
      <c r="Q208" s="62"/>
      <c r="R208" s="63" t="str">
        <f>IFERROR(IF(OR($N208="",$O208="",$F208=""),"",ROUND(('⚙️ Setelan'!$B$3*'⚙️ Setelan'!$B$4/100)/(ABS($N208-$O208)*VLOOKUP($F208,'⚙️ Setelan'!$A$14:$F$20,4,FALSE)),2)),"")</f>
        <v/>
      </c>
      <c r="S208" s="64"/>
      <c r="T208" s="65" t="str">
        <f>IFERROR(IF(OR($N208="",$O208="",$S208=""),"",ABS($N208-$O208)*$S208*VLOOKUP($F208,'⚙️ Setelan'!$A$14:$F$20,4,FALSE)),"")</f>
        <v/>
      </c>
      <c r="U208" s="63" t="str">
        <f t="shared" si="23"/>
        <v/>
      </c>
      <c r="V208" s="65" t="str">
        <f>IFERROR(IF(OR($Q208="",$N208="",$S208=""),"",($Q208-$N208)*IF($G208="Buy",1,-1)*$S208*VLOOKUP($F208,'⚙️ Setelan'!$A$14:$F$20,4,FALSE)),"")</f>
        <v/>
      </c>
      <c r="W208" s="65" t="str">
        <f>IFERROR(IF(OR($S208="",$F208=""),"",$S208*VLOOKUP($F208,'⚙️ Setelan'!$A$14:$F$20,5,FALSE)),"")</f>
        <v/>
      </c>
      <c r="X208" s="65" t="str">
        <f t="shared" si="24"/>
        <v/>
      </c>
      <c r="Y208" s="63" t="str">
        <f t="shared" si="25"/>
        <v/>
      </c>
      <c r="Z208" s="58" t="str">
        <f t="shared" si="26"/>
        <v/>
      </c>
      <c r="AA208" s="66" t="str">
        <f t="shared" si="27"/>
        <v/>
      </c>
      <c r="AB208" s="62"/>
      <c r="AC208" s="62"/>
      <c r="AD208" s="63" t="str">
        <f>IFERROR(IF(OR($AB208="",$T208="",$T208=0),"",ROUND(ABS($N208-$AB208)*$S208*VLOOKUP($F208,'⚙️ Setelan'!$A$14:$F$20,4,FALSE)/$T208,2)),"")</f>
        <v/>
      </c>
      <c r="AE208" s="63" t="str">
        <f>IFERROR(IF(OR($AC208="",$T208="",$T208=0),"",ROUND(ABS($AC208-$N208)*$S208*VLOOKUP($F208,'⚙️ Setelan'!$A$14:$F$20,4,FALSE)/$T208,2)),"")</f>
        <v/>
      </c>
      <c r="AF208" s="61"/>
      <c r="AG208" s="61"/>
      <c r="AH208" s="61"/>
      <c r="AI208" s="61"/>
      <c r="AJ208" s="61"/>
      <c r="AK208" s="67"/>
      <c r="AL208" s="58" t="str">
        <f>IF(OR($C208="",$B208=""),"",IF(AND($Z207="Loss",$B208=$B207,MOD($C208-$D207,1)*1440&lt;'⚙️ Setelan'!$B$9),"⚠️ Revenge",""))</f>
        <v/>
      </c>
      <c r="AM208" s="68"/>
      <c r="AN208" s="58" t="str">
        <f>IF($AM208="","",IFERROR(_xlfn.IMAGE(IF(REGEXMATCH($AM208,"\.(png|jpg|jpeg|gif)$"),$AM208,"https://s3.tradingview.com/snapshots/"&amp;LOWER(MID(REGEXEXTRACT($AM208,"/x/([A-Za-z0-9]+)"),1,1))&amp;"/"&amp;REGEXEXTRACT($AM208,"/x/([A-Za-z0-9]+)")&amp;".png"),1),"⚠️ link tidak dikenali"))</f>
        <v/>
      </c>
      <c r="AO208" s="68"/>
      <c r="AP208" s="58" t="str">
        <f>IF($AO208="","",IFERROR(_xlfn.IMAGE(IF(REGEXMATCH($AO208,"\.(png|jpg|jpeg|gif)$"),$AO208,"https://s3.tradingview.com/snapshots/"&amp;LOWER(MID(REGEXEXTRACT($AO208,"/x/([A-Za-z0-9]+)"),1,1))&amp;"/"&amp;REGEXEXTRACT($AO208,"/x/([A-Za-z0-9]+)")&amp;".png"),1),"⚠️ link tidak dikenali"))</f>
        <v/>
      </c>
      <c r="AQ208" s="66">
        <f>IF($Z208="",0,IF(AND(OR('📊 Dashboard'!$B$4="(Semua)",$F208='📊 Dashboard'!$B$4),OR('📊 Dashboard'!$B$5="(Semua)",$H208='📊 Dashboard'!$B$5),OR('📊 Dashboard'!$B$6="(Semua)",$E208='📊 Dashboard'!$B$6),OR('📊 Dashboard'!$B$7="(Semua)",$AF208='📊 Dashboard'!$B$7),OR('📊 Dashboard'!$B$8="(Semua)",$AG208='📊 Dashboard'!$B$8),OR('📊 Dashboard'!$B$9="(Semua)",$K208='📊 Dashboard'!$B$9)),1,0))</f>
        <v>0</v>
      </c>
      <c r="AR208" s="69"/>
    </row>
    <row r="209" ht="58" customHeight="1" spans="1:44">
      <c r="A209" s="58" t="str">
        <f t="shared" si="21"/>
        <v/>
      </c>
      <c r="B209" s="59"/>
      <c r="C209" s="60"/>
      <c r="D209" s="60"/>
      <c r="E209" s="58" t="str">
        <f t="shared" si="22"/>
        <v/>
      </c>
      <c r="F209" s="61"/>
      <c r="G209" s="61"/>
      <c r="H209" s="61"/>
      <c r="I209" s="61"/>
      <c r="J209" s="61"/>
      <c r="K209" s="61"/>
      <c r="L209" s="61"/>
      <c r="M209" s="61"/>
      <c r="N209" s="62"/>
      <c r="O209" s="62"/>
      <c r="P209" s="62"/>
      <c r="Q209" s="62"/>
      <c r="R209" s="63" t="str">
        <f>IFERROR(IF(OR($N209="",$O209="",$F209=""),"",ROUND(('⚙️ Setelan'!$B$3*'⚙️ Setelan'!$B$4/100)/(ABS($N209-$O209)*VLOOKUP($F209,'⚙️ Setelan'!$A$14:$F$20,4,FALSE)),2)),"")</f>
        <v/>
      </c>
      <c r="S209" s="64"/>
      <c r="T209" s="65" t="str">
        <f>IFERROR(IF(OR($N209="",$O209="",$S209=""),"",ABS($N209-$O209)*$S209*VLOOKUP($F209,'⚙️ Setelan'!$A$14:$F$20,4,FALSE)),"")</f>
        <v/>
      </c>
      <c r="U209" s="63" t="str">
        <f t="shared" si="23"/>
        <v/>
      </c>
      <c r="V209" s="65" t="str">
        <f>IFERROR(IF(OR($Q209="",$N209="",$S209=""),"",($Q209-$N209)*IF($G209="Buy",1,-1)*$S209*VLOOKUP($F209,'⚙️ Setelan'!$A$14:$F$20,4,FALSE)),"")</f>
        <v/>
      </c>
      <c r="W209" s="65" t="str">
        <f>IFERROR(IF(OR($S209="",$F209=""),"",$S209*VLOOKUP($F209,'⚙️ Setelan'!$A$14:$F$20,5,FALSE)),"")</f>
        <v/>
      </c>
      <c r="X209" s="65" t="str">
        <f t="shared" si="24"/>
        <v/>
      </c>
      <c r="Y209" s="63" t="str">
        <f t="shared" si="25"/>
        <v/>
      </c>
      <c r="Z209" s="58" t="str">
        <f t="shared" si="26"/>
        <v/>
      </c>
      <c r="AA209" s="66" t="str">
        <f t="shared" si="27"/>
        <v/>
      </c>
      <c r="AB209" s="62"/>
      <c r="AC209" s="62"/>
      <c r="AD209" s="63" t="str">
        <f>IFERROR(IF(OR($AB209="",$T209="",$T209=0),"",ROUND(ABS($N209-$AB209)*$S209*VLOOKUP($F209,'⚙️ Setelan'!$A$14:$F$20,4,FALSE)/$T209,2)),"")</f>
        <v/>
      </c>
      <c r="AE209" s="63" t="str">
        <f>IFERROR(IF(OR($AC209="",$T209="",$T209=0),"",ROUND(ABS($AC209-$N209)*$S209*VLOOKUP($F209,'⚙️ Setelan'!$A$14:$F$20,4,FALSE)/$T209,2)),"")</f>
        <v/>
      </c>
      <c r="AF209" s="61"/>
      <c r="AG209" s="61"/>
      <c r="AH209" s="61"/>
      <c r="AI209" s="61"/>
      <c r="AJ209" s="61"/>
      <c r="AK209" s="67"/>
      <c r="AL209" s="58" t="str">
        <f>IF(OR($C209="",$B209=""),"",IF(AND($Z208="Loss",$B209=$B208,MOD($C209-$D208,1)*1440&lt;'⚙️ Setelan'!$B$9),"⚠️ Revenge",""))</f>
        <v/>
      </c>
      <c r="AM209" s="68"/>
      <c r="AN209" s="58" t="str">
        <f>IF($AM209="","",IFERROR(_xlfn.IMAGE(IF(REGEXMATCH($AM209,"\.(png|jpg|jpeg|gif)$"),$AM209,"https://s3.tradingview.com/snapshots/"&amp;LOWER(MID(REGEXEXTRACT($AM209,"/x/([A-Za-z0-9]+)"),1,1))&amp;"/"&amp;REGEXEXTRACT($AM209,"/x/([A-Za-z0-9]+)")&amp;".png"),1),"⚠️ link tidak dikenali"))</f>
        <v/>
      </c>
      <c r="AO209" s="68"/>
      <c r="AP209" s="58" t="str">
        <f>IF($AO209="","",IFERROR(_xlfn.IMAGE(IF(REGEXMATCH($AO209,"\.(png|jpg|jpeg|gif)$"),$AO209,"https://s3.tradingview.com/snapshots/"&amp;LOWER(MID(REGEXEXTRACT($AO209,"/x/([A-Za-z0-9]+)"),1,1))&amp;"/"&amp;REGEXEXTRACT($AO209,"/x/([A-Za-z0-9]+)")&amp;".png"),1),"⚠️ link tidak dikenali"))</f>
        <v/>
      </c>
      <c r="AQ209" s="66">
        <f>IF($Z209="",0,IF(AND(OR('📊 Dashboard'!$B$4="(Semua)",$F209='📊 Dashboard'!$B$4),OR('📊 Dashboard'!$B$5="(Semua)",$H209='📊 Dashboard'!$B$5),OR('📊 Dashboard'!$B$6="(Semua)",$E209='📊 Dashboard'!$B$6),OR('📊 Dashboard'!$B$7="(Semua)",$AF209='📊 Dashboard'!$B$7),OR('📊 Dashboard'!$B$8="(Semua)",$AG209='📊 Dashboard'!$B$8),OR('📊 Dashboard'!$B$9="(Semua)",$K209='📊 Dashboard'!$B$9)),1,0))</f>
        <v>0</v>
      </c>
      <c r="AR209" s="69"/>
    </row>
    <row r="210" ht="58" customHeight="1" spans="1:44">
      <c r="A210" s="58" t="str">
        <f t="shared" si="21"/>
        <v/>
      </c>
      <c r="B210" s="59"/>
      <c r="C210" s="60"/>
      <c r="D210" s="60"/>
      <c r="E210" s="58" t="str">
        <f t="shared" si="22"/>
        <v/>
      </c>
      <c r="F210" s="61"/>
      <c r="G210" s="61"/>
      <c r="H210" s="61"/>
      <c r="I210" s="61"/>
      <c r="J210" s="61"/>
      <c r="K210" s="61"/>
      <c r="L210" s="61"/>
      <c r="M210" s="61"/>
      <c r="N210" s="62"/>
      <c r="O210" s="62"/>
      <c r="P210" s="62"/>
      <c r="Q210" s="62"/>
      <c r="R210" s="63" t="str">
        <f>IFERROR(IF(OR($N210="",$O210="",$F210=""),"",ROUND(('⚙️ Setelan'!$B$3*'⚙️ Setelan'!$B$4/100)/(ABS($N210-$O210)*VLOOKUP($F210,'⚙️ Setelan'!$A$14:$F$20,4,FALSE)),2)),"")</f>
        <v/>
      </c>
      <c r="S210" s="64"/>
      <c r="T210" s="65" t="str">
        <f>IFERROR(IF(OR($N210="",$O210="",$S210=""),"",ABS($N210-$O210)*$S210*VLOOKUP($F210,'⚙️ Setelan'!$A$14:$F$20,4,FALSE)),"")</f>
        <v/>
      </c>
      <c r="U210" s="63" t="str">
        <f t="shared" si="23"/>
        <v/>
      </c>
      <c r="V210" s="65" t="str">
        <f>IFERROR(IF(OR($Q210="",$N210="",$S210=""),"",($Q210-$N210)*IF($G210="Buy",1,-1)*$S210*VLOOKUP($F210,'⚙️ Setelan'!$A$14:$F$20,4,FALSE)),"")</f>
        <v/>
      </c>
      <c r="W210" s="65" t="str">
        <f>IFERROR(IF(OR($S210="",$F210=""),"",$S210*VLOOKUP($F210,'⚙️ Setelan'!$A$14:$F$20,5,FALSE)),"")</f>
        <v/>
      </c>
      <c r="X210" s="65" t="str">
        <f t="shared" si="24"/>
        <v/>
      </c>
      <c r="Y210" s="63" t="str">
        <f t="shared" si="25"/>
        <v/>
      </c>
      <c r="Z210" s="58" t="str">
        <f t="shared" si="26"/>
        <v/>
      </c>
      <c r="AA210" s="66" t="str">
        <f t="shared" si="27"/>
        <v/>
      </c>
      <c r="AB210" s="62"/>
      <c r="AC210" s="62"/>
      <c r="AD210" s="63" t="str">
        <f>IFERROR(IF(OR($AB210="",$T210="",$T210=0),"",ROUND(ABS($N210-$AB210)*$S210*VLOOKUP($F210,'⚙️ Setelan'!$A$14:$F$20,4,FALSE)/$T210,2)),"")</f>
        <v/>
      </c>
      <c r="AE210" s="63" t="str">
        <f>IFERROR(IF(OR($AC210="",$T210="",$T210=0),"",ROUND(ABS($AC210-$N210)*$S210*VLOOKUP($F210,'⚙️ Setelan'!$A$14:$F$20,4,FALSE)/$T210,2)),"")</f>
        <v/>
      </c>
      <c r="AF210" s="61"/>
      <c r="AG210" s="61"/>
      <c r="AH210" s="61"/>
      <c r="AI210" s="61"/>
      <c r="AJ210" s="61"/>
      <c r="AK210" s="67"/>
      <c r="AL210" s="58" t="str">
        <f>IF(OR($C210="",$B210=""),"",IF(AND($Z209="Loss",$B210=$B209,MOD($C210-$D209,1)*1440&lt;'⚙️ Setelan'!$B$9),"⚠️ Revenge",""))</f>
        <v/>
      </c>
      <c r="AM210" s="68"/>
      <c r="AN210" s="58" t="str">
        <f>IF($AM210="","",IFERROR(_xlfn.IMAGE(IF(REGEXMATCH($AM210,"\.(png|jpg|jpeg|gif)$"),$AM210,"https://s3.tradingview.com/snapshots/"&amp;LOWER(MID(REGEXEXTRACT($AM210,"/x/([A-Za-z0-9]+)"),1,1))&amp;"/"&amp;REGEXEXTRACT($AM210,"/x/([A-Za-z0-9]+)")&amp;".png"),1),"⚠️ link tidak dikenali"))</f>
        <v/>
      </c>
      <c r="AO210" s="68"/>
      <c r="AP210" s="58" t="str">
        <f>IF($AO210="","",IFERROR(_xlfn.IMAGE(IF(REGEXMATCH($AO210,"\.(png|jpg|jpeg|gif)$"),$AO210,"https://s3.tradingview.com/snapshots/"&amp;LOWER(MID(REGEXEXTRACT($AO210,"/x/([A-Za-z0-9]+)"),1,1))&amp;"/"&amp;REGEXEXTRACT($AO210,"/x/([A-Za-z0-9]+)")&amp;".png"),1),"⚠️ link tidak dikenali"))</f>
        <v/>
      </c>
      <c r="AQ210" s="66">
        <f>IF($Z210="",0,IF(AND(OR('📊 Dashboard'!$B$4="(Semua)",$F210='📊 Dashboard'!$B$4),OR('📊 Dashboard'!$B$5="(Semua)",$H210='📊 Dashboard'!$B$5),OR('📊 Dashboard'!$B$6="(Semua)",$E210='📊 Dashboard'!$B$6),OR('📊 Dashboard'!$B$7="(Semua)",$AF210='📊 Dashboard'!$B$7),OR('📊 Dashboard'!$B$8="(Semua)",$AG210='📊 Dashboard'!$B$8),OR('📊 Dashboard'!$B$9="(Semua)",$K210='📊 Dashboard'!$B$9)),1,0))</f>
        <v>0</v>
      </c>
      <c r="AR210" s="69"/>
    </row>
    <row r="211" ht="58" customHeight="1" spans="1:44">
      <c r="A211" s="58" t="str">
        <f t="shared" si="21"/>
        <v/>
      </c>
      <c r="B211" s="59"/>
      <c r="C211" s="60"/>
      <c r="D211" s="60"/>
      <c r="E211" s="58" t="str">
        <f t="shared" si="22"/>
        <v/>
      </c>
      <c r="F211" s="61"/>
      <c r="G211" s="61"/>
      <c r="H211" s="61"/>
      <c r="I211" s="61"/>
      <c r="J211" s="61"/>
      <c r="K211" s="61"/>
      <c r="L211" s="61"/>
      <c r="M211" s="61"/>
      <c r="N211" s="62"/>
      <c r="O211" s="62"/>
      <c r="P211" s="62"/>
      <c r="Q211" s="62"/>
      <c r="R211" s="63" t="str">
        <f>IFERROR(IF(OR($N211="",$O211="",$F211=""),"",ROUND(('⚙️ Setelan'!$B$3*'⚙️ Setelan'!$B$4/100)/(ABS($N211-$O211)*VLOOKUP($F211,'⚙️ Setelan'!$A$14:$F$20,4,FALSE)),2)),"")</f>
        <v/>
      </c>
      <c r="S211" s="64"/>
      <c r="T211" s="65" t="str">
        <f>IFERROR(IF(OR($N211="",$O211="",$S211=""),"",ABS($N211-$O211)*$S211*VLOOKUP($F211,'⚙️ Setelan'!$A$14:$F$20,4,FALSE)),"")</f>
        <v/>
      </c>
      <c r="U211" s="63" t="str">
        <f t="shared" si="23"/>
        <v/>
      </c>
      <c r="V211" s="65" t="str">
        <f>IFERROR(IF(OR($Q211="",$N211="",$S211=""),"",($Q211-$N211)*IF($G211="Buy",1,-1)*$S211*VLOOKUP($F211,'⚙️ Setelan'!$A$14:$F$20,4,FALSE)),"")</f>
        <v/>
      </c>
      <c r="W211" s="65" t="str">
        <f>IFERROR(IF(OR($S211="",$F211=""),"",$S211*VLOOKUP($F211,'⚙️ Setelan'!$A$14:$F$20,5,FALSE)),"")</f>
        <v/>
      </c>
      <c r="X211" s="65" t="str">
        <f t="shared" si="24"/>
        <v/>
      </c>
      <c r="Y211" s="63" t="str">
        <f t="shared" si="25"/>
        <v/>
      </c>
      <c r="Z211" s="58" t="str">
        <f t="shared" si="26"/>
        <v/>
      </c>
      <c r="AA211" s="66" t="str">
        <f t="shared" si="27"/>
        <v/>
      </c>
      <c r="AB211" s="62"/>
      <c r="AC211" s="62"/>
      <c r="AD211" s="63" t="str">
        <f>IFERROR(IF(OR($AB211="",$T211="",$T211=0),"",ROUND(ABS($N211-$AB211)*$S211*VLOOKUP($F211,'⚙️ Setelan'!$A$14:$F$20,4,FALSE)/$T211,2)),"")</f>
        <v/>
      </c>
      <c r="AE211" s="63" t="str">
        <f>IFERROR(IF(OR($AC211="",$T211="",$T211=0),"",ROUND(ABS($AC211-$N211)*$S211*VLOOKUP($F211,'⚙️ Setelan'!$A$14:$F$20,4,FALSE)/$T211,2)),"")</f>
        <v/>
      </c>
      <c r="AF211" s="61"/>
      <c r="AG211" s="61"/>
      <c r="AH211" s="61"/>
      <c r="AI211" s="61"/>
      <c r="AJ211" s="61"/>
      <c r="AK211" s="67"/>
      <c r="AL211" s="58" t="str">
        <f>IF(OR($C211="",$B211=""),"",IF(AND($Z210="Loss",$B211=$B210,MOD($C211-$D210,1)*1440&lt;'⚙️ Setelan'!$B$9),"⚠️ Revenge",""))</f>
        <v/>
      </c>
      <c r="AM211" s="68"/>
      <c r="AN211" s="58" t="str">
        <f>IF($AM211="","",IFERROR(_xlfn.IMAGE(IF(REGEXMATCH($AM211,"\.(png|jpg|jpeg|gif)$"),$AM211,"https://s3.tradingview.com/snapshots/"&amp;LOWER(MID(REGEXEXTRACT($AM211,"/x/([A-Za-z0-9]+)"),1,1))&amp;"/"&amp;REGEXEXTRACT($AM211,"/x/([A-Za-z0-9]+)")&amp;".png"),1),"⚠️ link tidak dikenali"))</f>
        <v/>
      </c>
      <c r="AO211" s="68"/>
      <c r="AP211" s="58" t="str">
        <f>IF($AO211="","",IFERROR(_xlfn.IMAGE(IF(REGEXMATCH($AO211,"\.(png|jpg|jpeg|gif)$"),$AO211,"https://s3.tradingview.com/snapshots/"&amp;LOWER(MID(REGEXEXTRACT($AO211,"/x/([A-Za-z0-9]+)"),1,1))&amp;"/"&amp;REGEXEXTRACT($AO211,"/x/([A-Za-z0-9]+)")&amp;".png"),1),"⚠️ link tidak dikenali"))</f>
        <v/>
      </c>
      <c r="AQ211" s="66">
        <f>IF($Z211="",0,IF(AND(OR('📊 Dashboard'!$B$4="(Semua)",$F211='📊 Dashboard'!$B$4),OR('📊 Dashboard'!$B$5="(Semua)",$H211='📊 Dashboard'!$B$5),OR('📊 Dashboard'!$B$6="(Semua)",$E211='📊 Dashboard'!$B$6),OR('📊 Dashboard'!$B$7="(Semua)",$AF211='📊 Dashboard'!$B$7),OR('📊 Dashboard'!$B$8="(Semua)",$AG211='📊 Dashboard'!$B$8),OR('📊 Dashboard'!$B$9="(Semua)",$K211='📊 Dashboard'!$B$9)),1,0))</f>
        <v>0</v>
      </c>
      <c r="AR211" s="69"/>
    </row>
    <row r="212" ht="58" customHeight="1" spans="1:44">
      <c r="A212" s="58" t="str">
        <f t="shared" si="21"/>
        <v/>
      </c>
      <c r="B212" s="59"/>
      <c r="C212" s="60"/>
      <c r="D212" s="60"/>
      <c r="E212" s="58" t="str">
        <f t="shared" si="22"/>
        <v/>
      </c>
      <c r="F212" s="61"/>
      <c r="G212" s="61"/>
      <c r="H212" s="61"/>
      <c r="I212" s="61"/>
      <c r="J212" s="61"/>
      <c r="K212" s="61"/>
      <c r="L212" s="61"/>
      <c r="M212" s="61"/>
      <c r="N212" s="62"/>
      <c r="O212" s="62"/>
      <c r="P212" s="62"/>
      <c r="Q212" s="62"/>
      <c r="R212" s="63" t="str">
        <f>IFERROR(IF(OR($N212="",$O212="",$F212=""),"",ROUND(('⚙️ Setelan'!$B$3*'⚙️ Setelan'!$B$4/100)/(ABS($N212-$O212)*VLOOKUP($F212,'⚙️ Setelan'!$A$14:$F$20,4,FALSE)),2)),"")</f>
        <v/>
      </c>
      <c r="S212" s="64"/>
      <c r="T212" s="65" t="str">
        <f>IFERROR(IF(OR($N212="",$O212="",$S212=""),"",ABS($N212-$O212)*$S212*VLOOKUP($F212,'⚙️ Setelan'!$A$14:$F$20,4,FALSE)),"")</f>
        <v/>
      </c>
      <c r="U212" s="63" t="str">
        <f t="shared" si="23"/>
        <v/>
      </c>
      <c r="V212" s="65" t="str">
        <f>IFERROR(IF(OR($Q212="",$N212="",$S212=""),"",($Q212-$N212)*IF($G212="Buy",1,-1)*$S212*VLOOKUP($F212,'⚙️ Setelan'!$A$14:$F$20,4,FALSE)),"")</f>
        <v/>
      </c>
      <c r="W212" s="65" t="str">
        <f>IFERROR(IF(OR($S212="",$F212=""),"",$S212*VLOOKUP($F212,'⚙️ Setelan'!$A$14:$F$20,5,FALSE)),"")</f>
        <v/>
      </c>
      <c r="X212" s="65" t="str">
        <f t="shared" si="24"/>
        <v/>
      </c>
      <c r="Y212" s="63" t="str">
        <f t="shared" si="25"/>
        <v/>
      </c>
      <c r="Z212" s="58" t="str">
        <f t="shared" si="26"/>
        <v/>
      </c>
      <c r="AA212" s="66" t="str">
        <f t="shared" si="27"/>
        <v/>
      </c>
      <c r="AB212" s="62"/>
      <c r="AC212" s="62"/>
      <c r="AD212" s="63" t="str">
        <f>IFERROR(IF(OR($AB212="",$T212="",$T212=0),"",ROUND(ABS($N212-$AB212)*$S212*VLOOKUP($F212,'⚙️ Setelan'!$A$14:$F$20,4,FALSE)/$T212,2)),"")</f>
        <v/>
      </c>
      <c r="AE212" s="63" t="str">
        <f>IFERROR(IF(OR($AC212="",$T212="",$T212=0),"",ROUND(ABS($AC212-$N212)*$S212*VLOOKUP($F212,'⚙️ Setelan'!$A$14:$F$20,4,FALSE)/$T212,2)),"")</f>
        <v/>
      </c>
      <c r="AF212" s="61"/>
      <c r="AG212" s="61"/>
      <c r="AH212" s="61"/>
      <c r="AI212" s="61"/>
      <c r="AJ212" s="61"/>
      <c r="AK212" s="67"/>
      <c r="AL212" s="58" t="str">
        <f>IF(OR($C212="",$B212=""),"",IF(AND($Z211="Loss",$B212=$B211,MOD($C212-$D211,1)*1440&lt;'⚙️ Setelan'!$B$9),"⚠️ Revenge",""))</f>
        <v/>
      </c>
      <c r="AM212" s="68"/>
      <c r="AN212" s="58" t="str">
        <f>IF($AM212="","",IFERROR(_xlfn.IMAGE(IF(REGEXMATCH($AM212,"\.(png|jpg|jpeg|gif)$"),$AM212,"https://s3.tradingview.com/snapshots/"&amp;LOWER(MID(REGEXEXTRACT($AM212,"/x/([A-Za-z0-9]+)"),1,1))&amp;"/"&amp;REGEXEXTRACT($AM212,"/x/([A-Za-z0-9]+)")&amp;".png"),1),"⚠️ link tidak dikenali"))</f>
        <v/>
      </c>
      <c r="AO212" s="68"/>
      <c r="AP212" s="58" t="str">
        <f>IF($AO212="","",IFERROR(_xlfn.IMAGE(IF(REGEXMATCH($AO212,"\.(png|jpg|jpeg|gif)$"),$AO212,"https://s3.tradingview.com/snapshots/"&amp;LOWER(MID(REGEXEXTRACT($AO212,"/x/([A-Za-z0-9]+)"),1,1))&amp;"/"&amp;REGEXEXTRACT($AO212,"/x/([A-Za-z0-9]+)")&amp;".png"),1),"⚠️ link tidak dikenali"))</f>
        <v/>
      </c>
      <c r="AQ212" s="66">
        <f>IF($Z212="",0,IF(AND(OR('📊 Dashboard'!$B$4="(Semua)",$F212='📊 Dashboard'!$B$4),OR('📊 Dashboard'!$B$5="(Semua)",$H212='📊 Dashboard'!$B$5),OR('📊 Dashboard'!$B$6="(Semua)",$E212='📊 Dashboard'!$B$6),OR('📊 Dashboard'!$B$7="(Semua)",$AF212='📊 Dashboard'!$B$7),OR('📊 Dashboard'!$B$8="(Semua)",$AG212='📊 Dashboard'!$B$8),OR('📊 Dashboard'!$B$9="(Semua)",$K212='📊 Dashboard'!$B$9)),1,0))</f>
        <v>0</v>
      </c>
      <c r="AR212" s="69"/>
    </row>
    <row r="213" ht="58" customHeight="1" spans="1:44">
      <c r="A213" s="58" t="str">
        <f t="shared" si="21"/>
        <v/>
      </c>
      <c r="B213" s="59"/>
      <c r="C213" s="60"/>
      <c r="D213" s="60"/>
      <c r="E213" s="58" t="str">
        <f t="shared" si="22"/>
        <v/>
      </c>
      <c r="F213" s="61"/>
      <c r="G213" s="61"/>
      <c r="H213" s="61"/>
      <c r="I213" s="61"/>
      <c r="J213" s="61"/>
      <c r="K213" s="61"/>
      <c r="L213" s="61"/>
      <c r="M213" s="61"/>
      <c r="N213" s="62"/>
      <c r="O213" s="62"/>
      <c r="P213" s="62"/>
      <c r="Q213" s="62"/>
      <c r="R213" s="63" t="str">
        <f>IFERROR(IF(OR($N213="",$O213="",$F213=""),"",ROUND(('⚙️ Setelan'!$B$3*'⚙️ Setelan'!$B$4/100)/(ABS($N213-$O213)*VLOOKUP($F213,'⚙️ Setelan'!$A$14:$F$20,4,FALSE)),2)),"")</f>
        <v/>
      </c>
      <c r="S213" s="64"/>
      <c r="T213" s="65" t="str">
        <f>IFERROR(IF(OR($N213="",$O213="",$S213=""),"",ABS($N213-$O213)*$S213*VLOOKUP($F213,'⚙️ Setelan'!$A$14:$F$20,4,FALSE)),"")</f>
        <v/>
      </c>
      <c r="U213" s="63" t="str">
        <f t="shared" si="23"/>
        <v/>
      </c>
      <c r="V213" s="65" t="str">
        <f>IFERROR(IF(OR($Q213="",$N213="",$S213=""),"",($Q213-$N213)*IF($G213="Buy",1,-1)*$S213*VLOOKUP($F213,'⚙️ Setelan'!$A$14:$F$20,4,FALSE)),"")</f>
        <v/>
      </c>
      <c r="W213" s="65" t="str">
        <f>IFERROR(IF(OR($S213="",$F213=""),"",$S213*VLOOKUP($F213,'⚙️ Setelan'!$A$14:$F$20,5,FALSE)),"")</f>
        <v/>
      </c>
      <c r="X213" s="65" t="str">
        <f t="shared" si="24"/>
        <v/>
      </c>
      <c r="Y213" s="63" t="str">
        <f t="shared" si="25"/>
        <v/>
      </c>
      <c r="Z213" s="58" t="str">
        <f t="shared" si="26"/>
        <v/>
      </c>
      <c r="AA213" s="66" t="str">
        <f t="shared" si="27"/>
        <v/>
      </c>
      <c r="AB213" s="62"/>
      <c r="AC213" s="62"/>
      <c r="AD213" s="63" t="str">
        <f>IFERROR(IF(OR($AB213="",$T213="",$T213=0),"",ROUND(ABS($N213-$AB213)*$S213*VLOOKUP($F213,'⚙️ Setelan'!$A$14:$F$20,4,FALSE)/$T213,2)),"")</f>
        <v/>
      </c>
      <c r="AE213" s="63" t="str">
        <f>IFERROR(IF(OR($AC213="",$T213="",$T213=0),"",ROUND(ABS($AC213-$N213)*$S213*VLOOKUP($F213,'⚙️ Setelan'!$A$14:$F$20,4,FALSE)/$T213,2)),"")</f>
        <v/>
      </c>
      <c r="AF213" s="61"/>
      <c r="AG213" s="61"/>
      <c r="AH213" s="61"/>
      <c r="AI213" s="61"/>
      <c r="AJ213" s="61"/>
      <c r="AK213" s="67"/>
      <c r="AL213" s="58" t="str">
        <f>IF(OR($C213="",$B213=""),"",IF(AND($Z212="Loss",$B213=$B212,MOD($C213-$D212,1)*1440&lt;'⚙️ Setelan'!$B$9),"⚠️ Revenge",""))</f>
        <v/>
      </c>
      <c r="AM213" s="68"/>
      <c r="AN213" s="58" t="str">
        <f>IF($AM213="","",IFERROR(_xlfn.IMAGE(IF(REGEXMATCH($AM213,"\.(png|jpg|jpeg|gif)$"),$AM213,"https://s3.tradingview.com/snapshots/"&amp;LOWER(MID(REGEXEXTRACT($AM213,"/x/([A-Za-z0-9]+)"),1,1))&amp;"/"&amp;REGEXEXTRACT($AM213,"/x/([A-Za-z0-9]+)")&amp;".png"),1),"⚠️ link tidak dikenali"))</f>
        <v/>
      </c>
      <c r="AO213" s="68"/>
      <c r="AP213" s="58" t="str">
        <f>IF($AO213="","",IFERROR(_xlfn.IMAGE(IF(REGEXMATCH($AO213,"\.(png|jpg|jpeg|gif)$"),$AO213,"https://s3.tradingview.com/snapshots/"&amp;LOWER(MID(REGEXEXTRACT($AO213,"/x/([A-Za-z0-9]+)"),1,1))&amp;"/"&amp;REGEXEXTRACT($AO213,"/x/([A-Za-z0-9]+)")&amp;".png"),1),"⚠️ link tidak dikenali"))</f>
        <v/>
      </c>
      <c r="AQ213" s="66">
        <f>IF($Z213="",0,IF(AND(OR('📊 Dashboard'!$B$4="(Semua)",$F213='📊 Dashboard'!$B$4),OR('📊 Dashboard'!$B$5="(Semua)",$H213='📊 Dashboard'!$B$5),OR('📊 Dashboard'!$B$6="(Semua)",$E213='📊 Dashboard'!$B$6),OR('📊 Dashboard'!$B$7="(Semua)",$AF213='📊 Dashboard'!$B$7),OR('📊 Dashboard'!$B$8="(Semua)",$AG213='📊 Dashboard'!$B$8),OR('📊 Dashboard'!$B$9="(Semua)",$K213='📊 Dashboard'!$B$9)),1,0))</f>
        <v>0</v>
      </c>
      <c r="AR213" s="69"/>
    </row>
    <row r="214" ht="58" customHeight="1" spans="1:44">
      <c r="A214" s="58" t="str">
        <f t="shared" si="21"/>
        <v/>
      </c>
      <c r="B214" s="59"/>
      <c r="C214" s="60"/>
      <c r="D214" s="60"/>
      <c r="E214" s="58" t="str">
        <f t="shared" si="22"/>
        <v/>
      </c>
      <c r="F214" s="61"/>
      <c r="G214" s="61"/>
      <c r="H214" s="61"/>
      <c r="I214" s="61"/>
      <c r="J214" s="61"/>
      <c r="K214" s="61"/>
      <c r="L214" s="61"/>
      <c r="M214" s="61"/>
      <c r="N214" s="62"/>
      <c r="O214" s="62"/>
      <c r="P214" s="62"/>
      <c r="Q214" s="62"/>
      <c r="R214" s="63" t="str">
        <f>IFERROR(IF(OR($N214="",$O214="",$F214=""),"",ROUND(('⚙️ Setelan'!$B$3*'⚙️ Setelan'!$B$4/100)/(ABS($N214-$O214)*VLOOKUP($F214,'⚙️ Setelan'!$A$14:$F$20,4,FALSE)),2)),"")</f>
        <v/>
      </c>
      <c r="S214" s="64"/>
      <c r="T214" s="65" t="str">
        <f>IFERROR(IF(OR($N214="",$O214="",$S214=""),"",ABS($N214-$O214)*$S214*VLOOKUP($F214,'⚙️ Setelan'!$A$14:$F$20,4,FALSE)),"")</f>
        <v/>
      </c>
      <c r="U214" s="63" t="str">
        <f t="shared" si="23"/>
        <v/>
      </c>
      <c r="V214" s="65" t="str">
        <f>IFERROR(IF(OR($Q214="",$N214="",$S214=""),"",($Q214-$N214)*IF($G214="Buy",1,-1)*$S214*VLOOKUP($F214,'⚙️ Setelan'!$A$14:$F$20,4,FALSE)),"")</f>
        <v/>
      </c>
      <c r="W214" s="65" t="str">
        <f>IFERROR(IF(OR($S214="",$F214=""),"",$S214*VLOOKUP($F214,'⚙️ Setelan'!$A$14:$F$20,5,FALSE)),"")</f>
        <v/>
      </c>
      <c r="X214" s="65" t="str">
        <f t="shared" si="24"/>
        <v/>
      </c>
      <c r="Y214" s="63" t="str">
        <f t="shared" si="25"/>
        <v/>
      </c>
      <c r="Z214" s="58" t="str">
        <f t="shared" si="26"/>
        <v/>
      </c>
      <c r="AA214" s="66" t="str">
        <f t="shared" si="27"/>
        <v/>
      </c>
      <c r="AB214" s="62"/>
      <c r="AC214" s="62"/>
      <c r="AD214" s="63" t="str">
        <f>IFERROR(IF(OR($AB214="",$T214="",$T214=0),"",ROUND(ABS($N214-$AB214)*$S214*VLOOKUP($F214,'⚙️ Setelan'!$A$14:$F$20,4,FALSE)/$T214,2)),"")</f>
        <v/>
      </c>
      <c r="AE214" s="63" t="str">
        <f>IFERROR(IF(OR($AC214="",$T214="",$T214=0),"",ROUND(ABS($AC214-$N214)*$S214*VLOOKUP($F214,'⚙️ Setelan'!$A$14:$F$20,4,FALSE)/$T214,2)),"")</f>
        <v/>
      </c>
      <c r="AF214" s="61"/>
      <c r="AG214" s="61"/>
      <c r="AH214" s="61"/>
      <c r="AI214" s="61"/>
      <c r="AJ214" s="61"/>
      <c r="AK214" s="67"/>
      <c r="AL214" s="58" t="str">
        <f>IF(OR($C214="",$B214=""),"",IF(AND($Z213="Loss",$B214=$B213,MOD($C214-$D213,1)*1440&lt;'⚙️ Setelan'!$B$9),"⚠️ Revenge",""))</f>
        <v/>
      </c>
      <c r="AM214" s="68"/>
      <c r="AN214" s="58" t="str">
        <f>IF($AM214="","",IFERROR(_xlfn.IMAGE(IF(REGEXMATCH($AM214,"\.(png|jpg|jpeg|gif)$"),$AM214,"https://s3.tradingview.com/snapshots/"&amp;LOWER(MID(REGEXEXTRACT($AM214,"/x/([A-Za-z0-9]+)"),1,1))&amp;"/"&amp;REGEXEXTRACT($AM214,"/x/([A-Za-z0-9]+)")&amp;".png"),1),"⚠️ link tidak dikenali"))</f>
        <v/>
      </c>
      <c r="AO214" s="68"/>
      <c r="AP214" s="58" t="str">
        <f>IF($AO214="","",IFERROR(_xlfn.IMAGE(IF(REGEXMATCH($AO214,"\.(png|jpg|jpeg|gif)$"),$AO214,"https://s3.tradingview.com/snapshots/"&amp;LOWER(MID(REGEXEXTRACT($AO214,"/x/([A-Za-z0-9]+)"),1,1))&amp;"/"&amp;REGEXEXTRACT($AO214,"/x/([A-Za-z0-9]+)")&amp;".png"),1),"⚠️ link tidak dikenali"))</f>
        <v/>
      </c>
      <c r="AQ214" s="66">
        <f>IF($Z214="",0,IF(AND(OR('📊 Dashboard'!$B$4="(Semua)",$F214='📊 Dashboard'!$B$4),OR('📊 Dashboard'!$B$5="(Semua)",$H214='📊 Dashboard'!$B$5),OR('📊 Dashboard'!$B$6="(Semua)",$E214='📊 Dashboard'!$B$6),OR('📊 Dashboard'!$B$7="(Semua)",$AF214='📊 Dashboard'!$B$7),OR('📊 Dashboard'!$B$8="(Semua)",$AG214='📊 Dashboard'!$B$8),OR('📊 Dashboard'!$B$9="(Semua)",$K214='📊 Dashboard'!$B$9)),1,0))</f>
        <v>0</v>
      </c>
      <c r="AR214" s="69"/>
    </row>
    <row r="215" ht="58" customHeight="1" spans="1:44">
      <c r="A215" s="58" t="str">
        <f t="shared" si="21"/>
        <v/>
      </c>
      <c r="B215" s="59"/>
      <c r="C215" s="60"/>
      <c r="D215" s="60"/>
      <c r="E215" s="58" t="str">
        <f t="shared" si="22"/>
        <v/>
      </c>
      <c r="F215" s="61"/>
      <c r="G215" s="61"/>
      <c r="H215" s="61"/>
      <c r="I215" s="61"/>
      <c r="J215" s="61"/>
      <c r="K215" s="61"/>
      <c r="L215" s="61"/>
      <c r="M215" s="61"/>
      <c r="N215" s="62"/>
      <c r="O215" s="62"/>
      <c r="P215" s="62"/>
      <c r="Q215" s="62"/>
      <c r="R215" s="63" t="str">
        <f>IFERROR(IF(OR($N215="",$O215="",$F215=""),"",ROUND(('⚙️ Setelan'!$B$3*'⚙️ Setelan'!$B$4/100)/(ABS($N215-$O215)*VLOOKUP($F215,'⚙️ Setelan'!$A$14:$F$20,4,FALSE)),2)),"")</f>
        <v/>
      </c>
      <c r="S215" s="64"/>
      <c r="T215" s="65" t="str">
        <f>IFERROR(IF(OR($N215="",$O215="",$S215=""),"",ABS($N215-$O215)*$S215*VLOOKUP($F215,'⚙️ Setelan'!$A$14:$F$20,4,FALSE)),"")</f>
        <v/>
      </c>
      <c r="U215" s="63" t="str">
        <f t="shared" si="23"/>
        <v/>
      </c>
      <c r="V215" s="65" t="str">
        <f>IFERROR(IF(OR($Q215="",$N215="",$S215=""),"",($Q215-$N215)*IF($G215="Buy",1,-1)*$S215*VLOOKUP($F215,'⚙️ Setelan'!$A$14:$F$20,4,FALSE)),"")</f>
        <v/>
      </c>
      <c r="W215" s="65" t="str">
        <f>IFERROR(IF(OR($S215="",$F215=""),"",$S215*VLOOKUP($F215,'⚙️ Setelan'!$A$14:$F$20,5,FALSE)),"")</f>
        <v/>
      </c>
      <c r="X215" s="65" t="str">
        <f t="shared" si="24"/>
        <v/>
      </c>
      <c r="Y215" s="63" t="str">
        <f t="shared" si="25"/>
        <v/>
      </c>
      <c r="Z215" s="58" t="str">
        <f t="shared" si="26"/>
        <v/>
      </c>
      <c r="AA215" s="66" t="str">
        <f t="shared" si="27"/>
        <v/>
      </c>
      <c r="AB215" s="62"/>
      <c r="AC215" s="62"/>
      <c r="AD215" s="63" t="str">
        <f>IFERROR(IF(OR($AB215="",$T215="",$T215=0),"",ROUND(ABS($N215-$AB215)*$S215*VLOOKUP($F215,'⚙️ Setelan'!$A$14:$F$20,4,FALSE)/$T215,2)),"")</f>
        <v/>
      </c>
      <c r="AE215" s="63" t="str">
        <f>IFERROR(IF(OR($AC215="",$T215="",$T215=0),"",ROUND(ABS($AC215-$N215)*$S215*VLOOKUP($F215,'⚙️ Setelan'!$A$14:$F$20,4,FALSE)/$T215,2)),"")</f>
        <v/>
      </c>
      <c r="AF215" s="61"/>
      <c r="AG215" s="61"/>
      <c r="AH215" s="61"/>
      <c r="AI215" s="61"/>
      <c r="AJ215" s="61"/>
      <c r="AK215" s="67"/>
      <c r="AL215" s="58" t="str">
        <f>IF(OR($C215="",$B215=""),"",IF(AND($Z214="Loss",$B215=$B214,MOD($C215-$D214,1)*1440&lt;'⚙️ Setelan'!$B$9),"⚠️ Revenge",""))</f>
        <v/>
      </c>
      <c r="AM215" s="68"/>
      <c r="AN215" s="58" t="str">
        <f>IF($AM215="","",IFERROR(_xlfn.IMAGE(IF(REGEXMATCH($AM215,"\.(png|jpg|jpeg|gif)$"),$AM215,"https://s3.tradingview.com/snapshots/"&amp;LOWER(MID(REGEXEXTRACT($AM215,"/x/([A-Za-z0-9]+)"),1,1))&amp;"/"&amp;REGEXEXTRACT($AM215,"/x/([A-Za-z0-9]+)")&amp;".png"),1),"⚠️ link tidak dikenali"))</f>
        <v/>
      </c>
      <c r="AO215" s="68"/>
      <c r="AP215" s="58" t="str">
        <f>IF($AO215="","",IFERROR(_xlfn.IMAGE(IF(REGEXMATCH($AO215,"\.(png|jpg|jpeg|gif)$"),$AO215,"https://s3.tradingview.com/snapshots/"&amp;LOWER(MID(REGEXEXTRACT($AO215,"/x/([A-Za-z0-9]+)"),1,1))&amp;"/"&amp;REGEXEXTRACT($AO215,"/x/([A-Za-z0-9]+)")&amp;".png"),1),"⚠️ link tidak dikenali"))</f>
        <v/>
      </c>
      <c r="AQ215" s="66">
        <f>IF($Z215="",0,IF(AND(OR('📊 Dashboard'!$B$4="(Semua)",$F215='📊 Dashboard'!$B$4),OR('📊 Dashboard'!$B$5="(Semua)",$H215='📊 Dashboard'!$B$5),OR('📊 Dashboard'!$B$6="(Semua)",$E215='📊 Dashboard'!$B$6),OR('📊 Dashboard'!$B$7="(Semua)",$AF215='📊 Dashboard'!$B$7),OR('📊 Dashboard'!$B$8="(Semua)",$AG215='📊 Dashboard'!$B$8),OR('📊 Dashboard'!$B$9="(Semua)",$K215='📊 Dashboard'!$B$9)),1,0))</f>
        <v>0</v>
      </c>
      <c r="AR215" s="69"/>
    </row>
    <row r="216" ht="58" customHeight="1" spans="1:44">
      <c r="A216" s="58" t="str">
        <f t="shared" si="21"/>
        <v/>
      </c>
      <c r="B216" s="59"/>
      <c r="C216" s="60"/>
      <c r="D216" s="60"/>
      <c r="E216" s="58" t="str">
        <f t="shared" si="22"/>
        <v/>
      </c>
      <c r="F216" s="61"/>
      <c r="G216" s="61"/>
      <c r="H216" s="61"/>
      <c r="I216" s="61"/>
      <c r="J216" s="61"/>
      <c r="K216" s="61"/>
      <c r="L216" s="61"/>
      <c r="M216" s="61"/>
      <c r="N216" s="62"/>
      <c r="O216" s="62"/>
      <c r="P216" s="62"/>
      <c r="Q216" s="62"/>
      <c r="R216" s="63" t="str">
        <f>IFERROR(IF(OR($N216="",$O216="",$F216=""),"",ROUND(('⚙️ Setelan'!$B$3*'⚙️ Setelan'!$B$4/100)/(ABS($N216-$O216)*VLOOKUP($F216,'⚙️ Setelan'!$A$14:$F$20,4,FALSE)),2)),"")</f>
        <v/>
      </c>
      <c r="S216" s="64"/>
      <c r="T216" s="65" t="str">
        <f>IFERROR(IF(OR($N216="",$O216="",$S216=""),"",ABS($N216-$O216)*$S216*VLOOKUP($F216,'⚙️ Setelan'!$A$14:$F$20,4,FALSE)),"")</f>
        <v/>
      </c>
      <c r="U216" s="63" t="str">
        <f t="shared" si="23"/>
        <v/>
      </c>
      <c r="V216" s="65" t="str">
        <f>IFERROR(IF(OR($Q216="",$N216="",$S216=""),"",($Q216-$N216)*IF($G216="Buy",1,-1)*$S216*VLOOKUP($F216,'⚙️ Setelan'!$A$14:$F$20,4,FALSE)),"")</f>
        <v/>
      </c>
      <c r="W216" s="65" t="str">
        <f>IFERROR(IF(OR($S216="",$F216=""),"",$S216*VLOOKUP($F216,'⚙️ Setelan'!$A$14:$F$20,5,FALSE)),"")</f>
        <v/>
      </c>
      <c r="X216" s="65" t="str">
        <f t="shared" si="24"/>
        <v/>
      </c>
      <c r="Y216" s="63" t="str">
        <f t="shared" si="25"/>
        <v/>
      </c>
      <c r="Z216" s="58" t="str">
        <f t="shared" si="26"/>
        <v/>
      </c>
      <c r="AA216" s="66" t="str">
        <f t="shared" si="27"/>
        <v/>
      </c>
      <c r="AB216" s="62"/>
      <c r="AC216" s="62"/>
      <c r="AD216" s="63" t="str">
        <f>IFERROR(IF(OR($AB216="",$T216="",$T216=0),"",ROUND(ABS($N216-$AB216)*$S216*VLOOKUP($F216,'⚙️ Setelan'!$A$14:$F$20,4,FALSE)/$T216,2)),"")</f>
        <v/>
      </c>
      <c r="AE216" s="63" t="str">
        <f>IFERROR(IF(OR($AC216="",$T216="",$T216=0),"",ROUND(ABS($AC216-$N216)*$S216*VLOOKUP($F216,'⚙️ Setelan'!$A$14:$F$20,4,FALSE)/$T216,2)),"")</f>
        <v/>
      </c>
      <c r="AF216" s="61"/>
      <c r="AG216" s="61"/>
      <c r="AH216" s="61"/>
      <c r="AI216" s="61"/>
      <c r="AJ216" s="61"/>
      <c r="AK216" s="67"/>
      <c r="AL216" s="58" t="str">
        <f>IF(OR($C216="",$B216=""),"",IF(AND($Z215="Loss",$B216=$B215,MOD($C216-$D215,1)*1440&lt;'⚙️ Setelan'!$B$9),"⚠️ Revenge",""))</f>
        <v/>
      </c>
      <c r="AM216" s="68"/>
      <c r="AN216" s="58" t="str">
        <f>IF($AM216="","",IFERROR(_xlfn.IMAGE(IF(REGEXMATCH($AM216,"\.(png|jpg|jpeg|gif)$"),$AM216,"https://s3.tradingview.com/snapshots/"&amp;LOWER(MID(REGEXEXTRACT($AM216,"/x/([A-Za-z0-9]+)"),1,1))&amp;"/"&amp;REGEXEXTRACT($AM216,"/x/([A-Za-z0-9]+)")&amp;".png"),1),"⚠️ link tidak dikenali"))</f>
        <v/>
      </c>
      <c r="AO216" s="68"/>
      <c r="AP216" s="58" t="str">
        <f>IF($AO216="","",IFERROR(_xlfn.IMAGE(IF(REGEXMATCH($AO216,"\.(png|jpg|jpeg|gif)$"),$AO216,"https://s3.tradingview.com/snapshots/"&amp;LOWER(MID(REGEXEXTRACT($AO216,"/x/([A-Za-z0-9]+)"),1,1))&amp;"/"&amp;REGEXEXTRACT($AO216,"/x/([A-Za-z0-9]+)")&amp;".png"),1),"⚠️ link tidak dikenali"))</f>
        <v/>
      </c>
      <c r="AQ216" s="66">
        <f>IF($Z216="",0,IF(AND(OR('📊 Dashboard'!$B$4="(Semua)",$F216='📊 Dashboard'!$B$4),OR('📊 Dashboard'!$B$5="(Semua)",$H216='📊 Dashboard'!$B$5),OR('📊 Dashboard'!$B$6="(Semua)",$E216='📊 Dashboard'!$B$6),OR('📊 Dashboard'!$B$7="(Semua)",$AF216='📊 Dashboard'!$B$7),OR('📊 Dashboard'!$B$8="(Semua)",$AG216='📊 Dashboard'!$B$8),OR('📊 Dashboard'!$B$9="(Semua)",$K216='📊 Dashboard'!$B$9)),1,0))</f>
        <v>0</v>
      </c>
      <c r="AR216" s="69"/>
    </row>
    <row r="217" ht="58" customHeight="1" spans="1:44">
      <c r="A217" s="58" t="str">
        <f t="shared" si="21"/>
        <v/>
      </c>
      <c r="B217" s="59"/>
      <c r="C217" s="60"/>
      <c r="D217" s="60"/>
      <c r="E217" s="58" t="str">
        <f t="shared" si="22"/>
        <v/>
      </c>
      <c r="F217" s="61"/>
      <c r="G217" s="61"/>
      <c r="H217" s="61"/>
      <c r="I217" s="61"/>
      <c r="J217" s="61"/>
      <c r="K217" s="61"/>
      <c r="L217" s="61"/>
      <c r="M217" s="61"/>
      <c r="N217" s="62"/>
      <c r="O217" s="62"/>
      <c r="P217" s="62"/>
      <c r="Q217" s="62"/>
      <c r="R217" s="63" t="str">
        <f>IFERROR(IF(OR($N217="",$O217="",$F217=""),"",ROUND(('⚙️ Setelan'!$B$3*'⚙️ Setelan'!$B$4/100)/(ABS($N217-$O217)*VLOOKUP($F217,'⚙️ Setelan'!$A$14:$F$20,4,FALSE)),2)),"")</f>
        <v/>
      </c>
      <c r="S217" s="64"/>
      <c r="T217" s="65" t="str">
        <f>IFERROR(IF(OR($N217="",$O217="",$S217=""),"",ABS($N217-$O217)*$S217*VLOOKUP($F217,'⚙️ Setelan'!$A$14:$F$20,4,FALSE)),"")</f>
        <v/>
      </c>
      <c r="U217" s="63" t="str">
        <f t="shared" si="23"/>
        <v/>
      </c>
      <c r="V217" s="65" t="str">
        <f>IFERROR(IF(OR($Q217="",$N217="",$S217=""),"",($Q217-$N217)*IF($G217="Buy",1,-1)*$S217*VLOOKUP($F217,'⚙️ Setelan'!$A$14:$F$20,4,FALSE)),"")</f>
        <v/>
      </c>
      <c r="W217" s="65" t="str">
        <f>IFERROR(IF(OR($S217="",$F217=""),"",$S217*VLOOKUP($F217,'⚙️ Setelan'!$A$14:$F$20,5,FALSE)),"")</f>
        <v/>
      </c>
      <c r="X217" s="65" t="str">
        <f t="shared" si="24"/>
        <v/>
      </c>
      <c r="Y217" s="63" t="str">
        <f t="shared" si="25"/>
        <v/>
      </c>
      <c r="Z217" s="58" t="str">
        <f t="shared" si="26"/>
        <v/>
      </c>
      <c r="AA217" s="66" t="str">
        <f t="shared" si="27"/>
        <v/>
      </c>
      <c r="AB217" s="62"/>
      <c r="AC217" s="62"/>
      <c r="AD217" s="63" t="str">
        <f>IFERROR(IF(OR($AB217="",$T217="",$T217=0),"",ROUND(ABS($N217-$AB217)*$S217*VLOOKUP($F217,'⚙️ Setelan'!$A$14:$F$20,4,FALSE)/$T217,2)),"")</f>
        <v/>
      </c>
      <c r="AE217" s="63" t="str">
        <f>IFERROR(IF(OR($AC217="",$T217="",$T217=0),"",ROUND(ABS($AC217-$N217)*$S217*VLOOKUP($F217,'⚙️ Setelan'!$A$14:$F$20,4,FALSE)/$T217,2)),"")</f>
        <v/>
      </c>
      <c r="AF217" s="61"/>
      <c r="AG217" s="61"/>
      <c r="AH217" s="61"/>
      <c r="AI217" s="61"/>
      <c r="AJ217" s="61"/>
      <c r="AK217" s="67"/>
      <c r="AL217" s="58" t="str">
        <f>IF(OR($C217="",$B217=""),"",IF(AND($Z216="Loss",$B217=$B216,MOD($C217-$D216,1)*1440&lt;'⚙️ Setelan'!$B$9),"⚠️ Revenge",""))</f>
        <v/>
      </c>
      <c r="AM217" s="68"/>
      <c r="AN217" s="58" t="str">
        <f>IF($AM217="","",IFERROR(_xlfn.IMAGE(IF(REGEXMATCH($AM217,"\.(png|jpg|jpeg|gif)$"),$AM217,"https://s3.tradingview.com/snapshots/"&amp;LOWER(MID(REGEXEXTRACT($AM217,"/x/([A-Za-z0-9]+)"),1,1))&amp;"/"&amp;REGEXEXTRACT($AM217,"/x/([A-Za-z0-9]+)")&amp;".png"),1),"⚠️ link tidak dikenali"))</f>
        <v/>
      </c>
      <c r="AO217" s="68"/>
      <c r="AP217" s="58" t="str">
        <f>IF($AO217="","",IFERROR(_xlfn.IMAGE(IF(REGEXMATCH($AO217,"\.(png|jpg|jpeg|gif)$"),$AO217,"https://s3.tradingview.com/snapshots/"&amp;LOWER(MID(REGEXEXTRACT($AO217,"/x/([A-Za-z0-9]+)"),1,1))&amp;"/"&amp;REGEXEXTRACT($AO217,"/x/([A-Za-z0-9]+)")&amp;".png"),1),"⚠️ link tidak dikenali"))</f>
        <v/>
      </c>
      <c r="AQ217" s="66">
        <f>IF($Z217="",0,IF(AND(OR('📊 Dashboard'!$B$4="(Semua)",$F217='📊 Dashboard'!$B$4),OR('📊 Dashboard'!$B$5="(Semua)",$H217='📊 Dashboard'!$B$5),OR('📊 Dashboard'!$B$6="(Semua)",$E217='📊 Dashboard'!$B$6),OR('📊 Dashboard'!$B$7="(Semua)",$AF217='📊 Dashboard'!$B$7),OR('📊 Dashboard'!$B$8="(Semua)",$AG217='📊 Dashboard'!$B$8),OR('📊 Dashboard'!$B$9="(Semua)",$K217='📊 Dashboard'!$B$9)),1,0))</f>
        <v>0</v>
      </c>
      <c r="AR217" s="69"/>
    </row>
    <row r="218" ht="58" customHeight="1" spans="1:44">
      <c r="A218" s="58" t="str">
        <f t="shared" si="21"/>
        <v/>
      </c>
      <c r="B218" s="59"/>
      <c r="C218" s="60"/>
      <c r="D218" s="60"/>
      <c r="E218" s="58" t="str">
        <f t="shared" si="22"/>
        <v/>
      </c>
      <c r="F218" s="61"/>
      <c r="G218" s="61"/>
      <c r="H218" s="61"/>
      <c r="I218" s="61"/>
      <c r="J218" s="61"/>
      <c r="K218" s="61"/>
      <c r="L218" s="61"/>
      <c r="M218" s="61"/>
      <c r="N218" s="62"/>
      <c r="O218" s="62"/>
      <c r="P218" s="62"/>
      <c r="Q218" s="62"/>
      <c r="R218" s="63" t="str">
        <f>IFERROR(IF(OR($N218="",$O218="",$F218=""),"",ROUND(('⚙️ Setelan'!$B$3*'⚙️ Setelan'!$B$4/100)/(ABS($N218-$O218)*VLOOKUP($F218,'⚙️ Setelan'!$A$14:$F$20,4,FALSE)),2)),"")</f>
        <v/>
      </c>
      <c r="S218" s="64"/>
      <c r="T218" s="65" t="str">
        <f>IFERROR(IF(OR($N218="",$O218="",$S218=""),"",ABS($N218-$O218)*$S218*VLOOKUP($F218,'⚙️ Setelan'!$A$14:$F$20,4,FALSE)),"")</f>
        <v/>
      </c>
      <c r="U218" s="63" t="str">
        <f t="shared" si="23"/>
        <v/>
      </c>
      <c r="V218" s="65" t="str">
        <f>IFERROR(IF(OR($Q218="",$N218="",$S218=""),"",($Q218-$N218)*IF($G218="Buy",1,-1)*$S218*VLOOKUP($F218,'⚙️ Setelan'!$A$14:$F$20,4,FALSE)),"")</f>
        <v/>
      </c>
      <c r="W218" s="65" t="str">
        <f>IFERROR(IF(OR($S218="",$F218=""),"",$S218*VLOOKUP($F218,'⚙️ Setelan'!$A$14:$F$20,5,FALSE)),"")</f>
        <v/>
      </c>
      <c r="X218" s="65" t="str">
        <f t="shared" si="24"/>
        <v/>
      </c>
      <c r="Y218" s="63" t="str">
        <f t="shared" si="25"/>
        <v/>
      </c>
      <c r="Z218" s="58" t="str">
        <f t="shared" si="26"/>
        <v/>
      </c>
      <c r="AA218" s="66" t="str">
        <f t="shared" si="27"/>
        <v/>
      </c>
      <c r="AB218" s="62"/>
      <c r="AC218" s="62"/>
      <c r="AD218" s="63" t="str">
        <f>IFERROR(IF(OR($AB218="",$T218="",$T218=0),"",ROUND(ABS($N218-$AB218)*$S218*VLOOKUP($F218,'⚙️ Setelan'!$A$14:$F$20,4,FALSE)/$T218,2)),"")</f>
        <v/>
      </c>
      <c r="AE218" s="63" t="str">
        <f>IFERROR(IF(OR($AC218="",$T218="",$T218=0),"",ROUND(ABS($AC218-$N218)*$S218*VLOOKUP($F218,'⚙️ Setelan'!$A$14:$F$20,4,FALSE)/$T218,2)),"")</f>
        <v/>
      </c>
      <c r="AF218" s="61"/>
      <c r="AG218" s="61"/>
      <c r="AH218" s="61"/>
      <c r="AI218" s="61"/>
      <c r="AJ218" s="61"/>
      <c r="AK218" s="67"/>
      <c r="AL218" s="58" t="str">
        <f>IF(OR($C218="",$B218=""),"",IF(AND($Z217="Loss",$B218=$B217,MOD($C218-$D217,1)*1440&lt;'⚙️ Setelan'!$B$9),"⚠️ Revenge",""))</f>
        <v/>
      </c>
      <c r="AM218" s="68"/>
      <c r="AN218" s="58" t="str">
        <f>IF($AM218="","",IFERROR(_xlfn.IMAGE(IF(REGEXMATCH($AM218,"\.(png|jpg|jpeg|gif)$"),$AM218,"https://s3.tradingview.com/snapshots/"&amp;LOWER(MID(REGEXEXTRACT($AM218,"/x/([A-Za-z0-9]+)"),1,1))&amp;"/"&amp;REGEXEXTRACT($AM218,"/x/([A-Za-z0-9]+)")&amp;".png"),1),"⚠️ link tidak dikenali"))</f>
        <v/>
      </c>
      <c r="AO218" s="68"/>
      <c r="AP218" s="58" t="str">
        <f>IF($AO218="","",IFERROR(_xlfn.IMAGE(IF(REGEXMATCH($AO218,"\.(png|jpg|jpeg|gif)$"),$AO218,"https://s3.tradingview.com/snapshots/"&amp;LOWER(MID(REGEXEXTRACT($AO218,"/x/([A-Za-z0-9]+)"),1,1))&amp;"/"&amp;REGEXEXTRACT($AO218,"/x/([A-Za-z0-9]+)")&amp;".png"),1),"⚠️ link tidak dikenali"))</f>
        <v/>
      </c>
      <c r="AQ218" s="66">
        <f>IF($Z218="",0,IF(AND(OR('📊 Dashboard'!$B$4="(Semua)",$F218='📊 Dashboard'!$B$4),OR('📊 Dashboard'!$B$5="(Semua)",$H218='📊 Dashboard'!$B$5),OR('📊 Dashboard'!$B$6="(Semua)",$E218='📊 Dashboard'!$B$6),OR('📊 Dashboard'!$B$7="(Semua)",$AF218='📊 Dashboard'!$B$7),OR('📊 Dashboard'!$B$8="(Semua)",$AG218='📊 Dashboard'!$B$8),OR('📊 Dashboard'!$B$9="(Semua)",$K218='📊 Dashboard'!$B$9)),1,0))</f>
        <v>0</v>
      </c>
      <c r="AR218" s="69"/>
    </row>
    <row r="219" ht="58" customHeight="1" spans="1:44">
      <c r="A219" s="58" t="str">
        <f t="shared" si="21"/>
        <v/>
      </c>
      <c r="B219" s="59"/>
      <c r="C219" s="60"/>
      <c r="D219" s="60"/>
      <c r="E219" s="58" t="str">
        <f t="shared" si="22"/>
        <v/>
      </c>
      <c r="F219" s="61"/>
      <c r="G219" s="61"/>
      <c r="H219" s="61"/>
      <c r="I219" s="61"/>
      <c r="J219" s="61"/>
      <c r="K219" s="61"/>
      <c r="L219" s="61"/>
      <c r="M219" s="61"/>
      <c r="N219" s="62"/>
      <c r="O219" s="62"/>
      <c r="P219" s="62"/>
      <c r="Q219" s="62"/>
      <c r="R219" s="63" t="str">
        <f>IFERROR(IF(OR($N219="",$O219="",$F219=""),"",ROUND(('⚙️ Setelan'!$B$3*'⚙️ Setelan'!$B$4/100)/(ABS($N219-$O219)*VLOOKUP($F219,'⚙️ Setelan'!$A$14:$F$20,4,FALSE)),2)),"")</f>
        <v/>
      </c>
      <c r="S219" s="64"/>
      <c r="T219" s="65" t="str">
        <f>IFERROR(IF(OR($N219="",$O219="",$S219=""),"",ABS($N219-$O219)*$S219*VLOOKUP($F219,'⚙️ Setelan'!$A$14:$F$20,4,FALSE)),"")</f>
        <v/>
      </c>
      <c r="U219" s="63" t="str">
        <f t="shared" si="23"/>
        <v/>
      </c>
      <c r="V219" s="65" t="str">
        <f>IFERROR(IF(OR($Q219="",$N219="",$S219=""),"",($Q219-$N219)*IF($G219="Buy",1,-1)*$S219*VLOOKUP($F219,'⚙️ Setelan'!$A$14:$F$20,4,FALSE)),"")</f>
        <v/>
      </c>
      <c r="W219" s="65" t="str">
        <f>IFERROR(IF(OR($S219="",$F219=""),"",$S219*VLOOKUP($F219,'⚙️ Setelan'!$A$14:$F$20,5,FALSE)),"")</f>
        <v/>
      </c>
      <c r="X219" s="65" t="str">
        <f t="shared" si="24"/>
        <v/>
      </c>
      <c r="Y219" s="63" t="str">
        <f t="shared" si="25"/>
        <v/>
      </c>
      <c r="Z219" s="58" t="str">
        <f t="shared" si="26"/>
        <v/>
      </c>
      <c r="AA219" s="66" t="str">
        <f t="shared" si="27"/>
        <v/>
      </c>
      <c r="AB219" s="62"/>
      <c r="AC219" s="62"/>
      <c r="AD219" s="63" t="str">
        <f>IFERROR(IF(OR($AB219="",$T219="",$T219=0),"",ROUND(ABS($N219-$AB219)*$S219*VLOOKUP($F219,'⚙️ Setelan'!$A$14:$F$20,4,FALSE)/$T219,2)),"")</f>
        <v/>
      </c>
      <c r="AE219" s="63" t="str">
        <f>IFERROR(IF(OR($AC219="",$T219="",$T219=0),"",ROUND(ABS($AC219-$N219)*$S219*VLOOKUP($F219,'⚙️ Setelan'!$A$14:$F$20,4,FALSE)/$T219,2)),"")</f>
        <v/>
      </c>
      <c r="AF219" s="61"/>
      <c r="AG219" s="61"/>
      <c r="AH219" s="61"/>
      <c r="AI219" s="61"/>
      <c r="AJ219" s="61"/>
      <c r="AK219" s="67"/>
      <c r="AL219" s="58" t="str">
        <f>IF(OR($C219="",$B219=""),"",IF(AND($Z218="Loss",$B219=$B218,MOD($C219-$D218,1)*1440&lt;'⚙️ Setelan'!$B$9),"⚠️ Revenge",""))</f>
        <v/>
      </c>
      <c r="AM219" s="68"/>
      <c r="AN219" s="58" t="str">
        <f>IF($AM219="","",IFERROR(_xlfn.IMAGE(IF(REGEXMATCH($AM219,"\.(png|jpg|jpeg|gif)$"),$AM219,"https://s3.tradingview.com/snapshots/"&amp;LOWER(MID(REGEXEXTRACT($AM219,"/x/([A-Za-z0-9]+)"),1,1))&amp;"/"&amp;REGEXEXTRACT($AM219,"/x/([A-Za-z0-9]+)")&amp;".png"),1),"⚠️ link tidak dikenali"))</f>
        <v/>
      </c>
      <c r="AO219" s="68"/>
      <c r="AP219" s="58" t="str">
        <f>IF($AO219="","",IFERROR(_xlfn.IMAGE(IF(REGEXMATCH($AO219,"\.(png|jpg|jpeg|gif)$"),$AO219,"https://s3.tradingview.com/snapshots/"&amp;LOWER(MID(REGEXEXTRACT($AO219,"/x/([A-Za-z0-9]+)"),1,1))&amp;"/"&amp;REGEXEXTRACT($AO219,"/x/([A-Za-z0-9]+)")&amp;".png"),1),"⚠️ link tidak dikenali"))</f>
        <v/>
      </c>
      <c r="AQ219" s="66">
        <f>IF($Z219="",0,IF(AND(OR('📊 Dashboard'!$B$4="(Semua)",$F219='📊 Dashboard'!$B$4),OR('📊 Dashboard'!$B$5="(Semua)",$H219='📊 Dashboard'!$B$5),OR('📊 Dashboard'!$B$6="(Semua)",$E219='📊 Dashboard'!$B$6),OR('📊 Dashboard'!$B$7="(Semua)",$AF219='📊 Dashboard'!$B$7),OR('📊 Dashboard'!$B$8="(Semua)",$AG219='📊 Dashboard'!$B$8),OR('📊 Dashboard'!$B$9="(Semua)",$K219='📊 Dashboard'!$B$9)),1,0))</f>
        <v>0</v>
      </c>
      <c r="AR219" s="69"/>
    </row>
    <row r="220" ht="58" customHeight="1" spans="1:44">
      <c r="A220" s="58" t="str">
        <f t="shared" si="21"/>
        <v/>
      </c>
      <c r="B220" s="59"/>
      <c r="C220" s="60"/>
      <c r="D220" s="60"/>
      <c r="E220" s="58" t="str">
        <f t="shared" si="22"/>
        <v/>
      </c>
      <c r="F220" s="61"/>
      <c r="G220" s="61"/>
      <c r="H220" s="61"/>
      <c r="I220" s="61"/>
      <c r="J220" s="61"/>
      <c r="K220" s="61"/>
      <c r="L220" s="61"/>
      <c r="M220" s="61"/>
      <c r="N220" s="62"/>
      <c r="O220" s="62"/>
      <c r="P220" s="62"/>
      <c r="Q220" s="62"/>
      <c r="R220" s="63" t="str">
        <f>IFERROR(IF(OR($N220="",$O220="",$F220=""),"",ROUND(('⚙️ Setelan'!$B$3*'⚙️ Setelan'!$B$4/100)/(ABS($N220-$O220)*VLOOKUP($F220,'⚙️ Setelan'!$A$14:$F$20,4,FALSE)),2)),"")</f>
        <v/>
      </c>
      <c r="S220" s="64"/>
      <c r="T220" s="65" t="str">
        <f>IFERROR(IF(OR($N220="",$O220="",$S220=""),"",ABS($N220-$O220)*$S220*VLOOKUP($F220,'⚙️ Setelan'!$A$14:$F$20,4,FALSE)),"")</f>
        <v/>
      </c>
      <c r="U220" s="63" t="str">
        <f t="shared" si="23"/>
        <v/>
      </c>
      <c r="V220" s="65" t="str">
        <f>IFERROR(IF(OR($Q220="",$N220="",$S220=""),"",($Q220-$N220)*IF($G220="Buy",1,-1)*$S220*VLOOKUP($F220,'⚙️ Setelan'!$A$14:$F$20,4,FALSE)),"")</f>
        <v/>
      </c>
      <c r="W220" s="65" t="str">
        <f>IFERROR(IF(OR($S220="",$F220=""),"",$S220*VLOOKUP($F220,'⚙️ Setelan'!$A$14:$F$20,5,FALSE)),"")</f>
        <v/>
      </c>
      <c r="X220" s="65" t="str">
        <f t="shared" si="24"/>
        <v/>
      </c>
      <c r="Y220" s="63" t="str">
        <f t="shared" si="25"/>
        <v/>
      </c>
      <c r="Z220" s="58" t="str">
        <f t="shared" si="26"/>
        <v/>
      </c>
      <c r="AA220" s="66" t="str">
        <f t="shared" si="27"/>
        <v/>
      </c>
      <c r="AB220" s="62"/>
      <c r="AC220" s="62"/>
      <c r="AD220" s="63" t="str">
        <f>IFERROR(IF(OR($AB220="",$T220="",$T220=0),"",ROUND(ABS($N220-$AB220)*$S220*VLOOKUP($F220,'⚙️ Setelan'!$A$14:$F$20,4,FALSE)/$T220,2)),"")</f>
        <v/>
      </c>
      <c r="AE220" s="63" t="str">
        <f>IFERROR(IF(OR($AC220="",$T220="",$T220=0),"",ROUND(ABS($AC220-$N220)*$S220*VLOOKUP($F220,'⚙️ Setelan'!$A$14:$F$20,4,FALSE)/$T220,2)),"")</f>
        <v/>
      </c>
      <c r="AF220" s="61"/>
      <c r="AG220" s="61"/>
      <c r="AH220" s="61"/>
      <c r="AI220" s="61"/>
      <c r="AJ220" s="61"/>
      <c r="AK220" s="67"/>
      <c r="AL220" s="58" t="str">
        <f>IF(OR($C220="",$B220=""),"",IF(AND($Z219="Loss",$B220=$B219,MOD($C220-$D219,1)*1440&lt;'⚙️ Setelan'!$B$9),"⚠️ Revenge",""))</f>
        <v/>
      </c>
      <c r="AM220" s="68"/>
      <c r="AN220" s="58" t="str">
        <f>IF($AM220="","",IFERROR(_xlfn.IMAGE(IF(REGEXMATCH($AM220,"\.(png|jpg|jpeg|gif)$"),$AM220,"https://s3.tradingview.com/snapshots/"&amp;LOWER(MID(REGEXEXTRACT($AM220,"/x/([A-Za-z0-9]+)"),1,1))&amp;"/"&amp;REGEXEXTRACT($AM220,"/x/([A-Za-z0-9]+)")&amp;".png"),1),"⚠️ link tidak dikenali"))</f>
        <v/>
      </c>
      <c r="AO220" s="68"/>
      <c r="AP220" s="58" t="str">
        <f>IF($AO220="","",IFERROR(_xlfn.IMAGE(IF(REGEXMATCH($AO220,"\.(png|jpg|jpeg|gif)$"),$AO220,"https://s3.tradingview.com/snapshots/"&amp;LOWER(MID(REGEXEXTRACT($AO220,"/x/([A-Za-z0-9]+)"),1,1))&amp;"/"&amp;REGEXEXTRACT($AO220,"/x/([A-Za-z0-9]+)")&amp;".png"),1),"⚠️ link tidak dikenali"))</f>
        <v/>
      </c>
      <c r="AQ220" s="66">
        <f>IF($Z220="",0,IF(AND(OR('📊 Dashboard'!$B$4="(Semua)",$F220='📊 Dashboard'!$B$4),OR('📊 Dashboard'!$B$5="(Semua)",$H220='📊 Dashboard'!$B$5),OR('📊 Dashboard'!$B$6="(Semua)",$E220='📊 Dashboard'!$B$6),OR('📊 Dashboard'!$B$7="(Semua)",$AF220='📊 Dashboard'!$B$7),OR('📊 Dashboard'!$B$8="(Semua)",$AG220='📊 Dashboard'!$B$8),OR('📊 Dashboard'!$B$9="(Semua)",$K220='📊 Dashboard'!$B$9)),1,0))</f>
        <v>0</v>
      </c>
      <c r="AR220" s="69"/>
    </row>
    <row r="221" ht="58" customHeight="1" spans="1:44">
      <c r="A221" s="58" t="str">
        <f t="shared" si="21"/>
        <v/>
      </c>
      <c r="B221" s="59"/>
      <c r="C221" s="60"/>
      <c r="D221" s="60"/>
      <c r="E221" s="58" t="str">
        <f t="shared" si="22"/>
        <v/>
      </c>
      <c r="F221" s="61"/>
      <c r="G221" s="61"/>
      <c r="H221" s="61"/>
      <c r="I221" s="61"/>
      <c r="J221" s="61"/>
      <c r="K221" s="61"/>
      <c r="L221" s="61"/>
      <c r="M221" s="61"/>
      <c r="N221" s="62"/>
      <c r="O221" s="62"/>
      <c r="P221" s="62"/>
      <c r="Q221" s="62"/>
      <c r="R221" s="63" t="str">
        <f>IFERROR(IF(OR($N221="",$O221="",$F221=""),"",ROUND(('⚙️ Setelan'!$B$3*'⚙️ Setelan'!$B$4/100)/(ABS($N221-$O221)*VLOOKUP($F221,'⚙️ Setelan'!$A$14:$F$20,4,FALSE)),2)),"")</f>
        <v/>
      </c>
      <c r="S221" s="64"/>
      <c r="T221" s="65" t="str">
        <f>IFERROR(IF(OR($N221="",$O221="",$S221=""),"",ABS($N221-$O221)*$S221*VLOOKUP($F221,'⚙️ Setelan'!$A$14:$F$20,4,FALSE)),"")</f>
        <v/>
      </c>
      <c r="U221" s="63" t="str">
        <f t="shared" si="23"/>
        <v/>
      </c>
      <c r="V221" s="65" t="str">
        <f>IFERROR(IF(OR($Q221="",$N221="",$S221=""),"",($Q221-$N221)*IF($G221="Buy",1,-1)*$S221*VLOOKUP($F221,'⚙️ Setelan'!$A$14:$F$20,4,FALSE)),"")</f>
        <v/>
      </c>
      <c r="W221" s="65" t="str">
        <f>IFERROR(IF(OR($S221="",$F221=""),"",$S221*VLOOKUP($F221,'⚙️ Setelan'!$A$14:$F$20,5,FALSE)),"")</f>
        <v/>
      </c>
      <c r="X221" s="65" t="str">
        <f t="shared" si="24"/>
        <v/>
      </c>
      <c r="Y221" s="63" t="str">
        <f t="shared" si="25"/>
        <v/>
      </c>
      <c r="Z221" s="58" t="str">
        <f t="shared" si="26"/>
        <v/>
      </c>
      <c r="AA221" s="66" t="str">
        <f t="shared" si="27"/>
        <v/>
      </c>
      <c r="AB221" s="62"/>
      <c r="AC221" s="62"/>
      <c r="AD221" s="63" t="str">
        <f>IFERROR(IF(OR($AB221="",$T221="",$T221=0),"",ROUND(ABS($N221-$AB221)*$S221*VLOOKUP($F221,'⚙️ Setelan'!$A$14:$F$20,4,FALSE)/$T221,2)),"")</f>
        <v/>
      </c>
      <c r="AE221" s="63" t="str">
        <f>IFERROR(IF(OR($AC221="",$T221="",$T221=0),"",ROUND(ABS($AC221-$N221)*$S221*VLOOKUP($F221,'⚙️ Setelan'!$A$14:$F$20,4,FALSE)/$T221,2)),"")</f>
        <v/>
      </c>
      <c r="AF221" s="61"/>
      <c r="AG221" s="61"/>
      <c r="AH221" s="61"/>
      <c r="AI221" s="61"/>
      <c r="AJ221" s="61"/>
      <c r="AK221" s="67"/>
      <c r="AL221" s="58" t="str">
        <f>IF(OR($C221="",$B221=""),"",IF(AND($Z220="Loss",$B221=$B220,MOD($C221-$D220,1)*1440&lt;'⚙️ Setelan'!$B$9),"⚠️ Revenge",""))</f>
        <v/>
      </c>
      <c r="AM221" s="68"/>
      <c r="AN221" s="58" t="str">
        <f>IF($AM221="","",IFERROR(_xlfn.IMAGE(IF(REGEXMATCH($AM221,"\.(png|jpg|jpeg|gif)$"),$AM221,"https://s3.tradingview.com/snapshots/"&amp;LOWER(MID(REGEXEXTRACT($AM221,"/x/([A-Za-z0-9]+)"),1,1))&amp;"/"&amp;REGEXEXTRACT($AM221,"/x/([A-Za-z0-9]+)")&amp;".png"),1),"⚠️ link tidak dikenali"))</f>
        <v/>
      </c>
      <c r="AO221" s="68"/>
      <c r="AP221" s="58" t="str">
        <f>IF($AO221="","",IFERROR(_xlfn.IMAGE(IF(REGEXMATCH($AO221,"\.(png|jpg|jpeg|gif)$"),$AO221,"https://s3.tradingview.com/snapshots/"&amp;LOWER(MID(REGEXEXTRACT($AO221,"/x/([A-Za-z0-9]+)"),1,1))&amp;"/"&amp;REGEXEXTRACT($AO221,"/x/([A-Za-z0-9]+)")&amp;".png"),1),"⚠️ link tidak dikenali"))</f>
        <v/>
      </c>
      <c r="AQ221" s="66">
        <f>IF($Z221="",0,IF(AND(OR('📊 Dashboard'!$B$4="(Semua)",$F221='📊 Dashboard'!$B$4),OR('📊 Dashboard'!$B$5="(Semua)",$H221='📊 Dashboard'!$B$5),OR('📊 Dashboard'!$B$6="(Semua)",$E221='📊 Dashboard'!$B$6),OR('📊 Dashboard'!$B$7="(Semua)",$AF221='📊 Dashboard'!$B$7),OR('📊 Dashboard'!$B$8="(Semua)",$AG221='📊 Dashboard'!$B$8),OR('📊 Dashboard'!$B$9="(Semua)",$K221='📊 Dashboard'!$B$9)),1,0))</f>
        <v>0</v>
      </c>
      <c r="AR221" s="69"/>
    </row>
    <row r="222" ht="58" customHeight="1" spans="1:44">
      <c r="A222" s="58" t="str">
        <f t="shared" si="21"/>
        <v/>
      </c>
      <c r="B222" s="59"/>
      <c r="C222" s="60"/>
      <c r="D222" s="60"/>
      <c r="E222" s="58" t="str">
        <f t="shared" si="22"/>
        <v/>
      </c>
      <c r="F222" s="61"/>
      <c r="G222" s="61"/>
      <c r="H222" s="61"/>
      <c r="I222" s="61"/>
      <c r="J222" s="61"/>
      <c r="K222" s="61"/>
      <c r="L222" s="61"/>
      <c r="M222" s="61"/>
      <c r="N222" s="62"/>
      <c r="O222" s="62"/>
      <c r="P222" s="62"/>
      <c r="Q222" s="62"/>
      <c r="R222" s="63" t="str">
        <f>IFERROR(IF(OR($N222="",$O222="",$F222=""),"",ROUND(('⚙️ Setelan'!$B$3*'⚙️ Setelan'!$B$4/100)/(ABS($N222-$O222)*VLOOKUP($F222,'⚙️ Setelan'!$A$14:$F$20,4,FALSE)),2)),"")</f>
        <v/>
      </c>
      <c r="S222" s="64"/>
      <c r="T222" s="65" t="str">
        <f>IFERROR(IF(OR($N222="",$O222="",$S222=""),"",ABS($N222-$O222)*$S222*VLOOKUP($F222,'⚙️ Setelan'!$A$14:$F$20,4,FALSE)),"")</f>
        <v/>
      </c>
      <c r="U222" s="63" t="str">
        <f t="shared" si="23"/>
        <v/>
      </c>
      <c r="V222" s="65" t="str">
        <f>IFERROR(IF(OR($Q222="",$N222="",$S222=""),"",($Q222-$N222)*IF($G222="Buy",1,-1)*$S222*VLOOKUP($F222,'⚙️ Setelan'!$A$14:$F$20,4,FALSE)),"")</f>
        <v/>
      </c>
      <c r="W222" s="65" t="str">
        <f>IFERROR(IF(OR($S222="",$F222=""),"",$S222*VLOOKUP($F222,'⚙️ Setelan'!$A$14:$F$20,5,FALSE)),"")</f>
        <v/>
      </c>
      <c r="X222" s="65" t="str">
        <f t="shared" si="24"/>
        <v/>
      </c>
      <c r="Y222" s="63" t="str">
        <f t="shared" si="25"/>
        <v/>
      </c>
      <c r="Z222" s="58" t="str">
        <f t="shared" si="26"/>
        <v/>
      </c>
      <c r="AA222" s="66" t="str">
        <f t="shared" si="27"/>
        <v/>
      </c>
      <c r="AB222" s="62"/>
      <c r="AC222" s="62"/>
      <c r="AD222" s="63" t="str">
        <f>IFERROR(IF(OR($AB222="",$T222="",$T222=0),"",ROUND(ABS($N222-$AB222)*$S222*VLOOKUP($F222,'⚙️ Setelan'!$A$14:$F$20,4,FALSE)/$T222,2)),"")</f>
        <v/>
      </c>
      <c r="AE222" s="63" t="str">
        <f>IFERROR(IF(OR($AC222="",$T222="",$T222=0),"",ROUND(ABS($AC222-$N222)*$S222*VLOOKUP($F222,'⚙️ Setelan'!$A$14:$F$20,4,FALSE)/$T222,2)),"")</f>
        <v/>
      </c>
      <c r="AF222" s="61"/>
      <c r="AG222" s="61"/>
      <c r="AH222" s="61"/>
      <c r="AI222" s="61"/>
      <c r="AJ222" s="61"/>
      <c r="AK222" s="67"/>
      <c r="AL222" s="58" t="str">
        <f>IF(OR($C222="",$B222=""),"",IF(AND($Z221="Loss",$B222=$B221,MOD($C222-$D221,1)*1440&lt;'⚙️ Setelan'!$B$9),"⚠️ Revenge",""))</f>
        <v/>
      </c>
      <c r="AM222" s="68"/>
      <c r="AN222" s="58" t="str">
        <f>IF($AM222="","",IFERROR(_xlfn.IMAGE(IF(REGEXMATCH($AM222,"\.(png|jpg|jpeg|gif)$"),$AM222,"https://s3.tradingview.com/snapshots/"&amp;LOWER(MID(REGEXEXTRACT($AM222,"/x/([A-Za-z0-9]+)"),1,1))&amp;"/"&amp;REGEXEXTRACT($AM222,"/x/([A-Za-z0-9]+)")&amp;".png"),1),"⚠️ link tidak dikenali"))</f>
        <v/>
      </c>
      <c r="AO222" s="68"/>
      <c r="AP222" s="58" t="str">
        <f>IF($AO222="","",IFERROR(_xlfn.IMAGE(IF(REGEXMATCH($AO222,"\.(png|jpg|jpeg|gif)$"),$AO222,"https://s3.tradingview.com/snapshots/"&amp;LOWER(MID(REGEXEXTRACT($AO222,"/x/([A-Za-z0-9]+)"),1,1))&amp;"/"&amp;REGEXEXTRACT($AO222,"/x/([A-Za-z0-9]+)")&amp;".png"),1),"⚠️ link tidak dikenali"))</f>
        <v/>
      </c>
      <c r="AQ222" s="66">
        <f>IF($Z222="",0,IF(AND(OR('📊 Dashboard'!$B$4="(Semua)",$F222='📊 Dashboard'!$B$4),OR('📊 Dashboard'!$B$5="(Semua)",$H222='📊 Dashboard'!$B$5),OR('📊 Dashboard'!$B$6="(Semua)",$E222='📊 Dashboard'!$B$6),OR('📊 Dashboard'!$B$7="(Semua)",$AF222='📊 Dashboard'!$B$7),OR('📊 Dashboard'!$B$8="(Semua)",$AG222='📊 Dashboard'!$B$8),OR('📊 Dashboard'!$B$9="(Semua)",$K222='📊 Dashboard'!$B$9)),1,0))</f>
        <v>0</v>
      </c>
      <c r="AR222" s="69"/>
    </row>
    <row r="223" ht="58" customHeight="1" spans="1:44">
      <c r="A223" s="58" t="str">
        <f t="shared" si="21"/>
        <v/>
      </c>
      <c r="B223" s="59"/>
      <c r="C223" s="60"/>
      <c r="D223" s="60"/>
      <c r="E223" s="58" t="str">
        <f t="shared" si="22"/>
        <v/>
      </c>
      <c r="F223" s="61"/>
      <c r="G223" s="61"/>
      <c r="H223" s="61"/>
      <c r="I223" s="61"/>
      <c r="J223" s="61"/>
      <c r="K223" s="61"/>
      <c r="L223" s="61"/>
      <c r="M223" s="61"/>
      <c r="N223" s="62"/>
      <c r="O223" s="62"/>
      <c r="P223" s="62"/>
      <c r="Q223" s="62"/>
      <c r="R223" s="63" t="str">
        <f>IFERROR(IF(OR($N223="",$O223="",$F223=""),"",ROUND(('⚙️ Setelan'!$B$3*'⚙️ Setelan'!$B$4/100)/(ABS($N223-$O223)*VLOOKUP($F223,'⚙️ Setelan'!$A$14:$F$20,4,FALSE)),2)),"")</f>
        <v/>
      </c>
      <c r="S223" s="64"/>
      <c r="T223" s="65" t="str">
        <f>IFERROR(IF(OR($N223="",$O223="",$S223=""),"",ABS($N223-$O223)*$S223*VLOOKUP($F223,'⚙️ Setelan'!$A$14:$F$20,4,FALSE)),"")</f>
        <v/>
      </c>
      <c r="U223" s="63" t="str">
        <f t="shared" si="23"/>
        <v/>
      </c>
      <c r="V223" s="65" t="str">
        <f>IFERROR(IF(OR($Q223="",$N223="",$S223=""),"",($Q223-$N223)*IF($G223="Buy",1,-1)*$S223*VLOOKUP($F223,'⚙️ Setelan'!$A$14:$F$20,4,FALSE)),"")</f>
        <v/>
      </c>
      <c r="W223" s="65" t="str">
        <f>IFERROR(IF(OR($S223="",$F223=""),"",$S223*VLOOKUP($F223,'⚙️ Setelan'!$A$14:$F$20,5,FALSE)),"")</f>
        <v/>
      </c>
      <c r="X223" s="65" t="str">
        <f t="shared" si="24"/>
        <v/>
      </c>
      <c r="Y223" s="63" t="str">
        <f t="shared" si="25"/>
        <v/>
      </c>
      <c r="Z223" s="58" t="str">
        <f t="shared" si="26"/>
        <v/>
      </c>
      <c r="AA223" s="66" t="str">
        <f t="shared" si="27"/>
        <v/>
      </c>
      <c r="AB223" s="62"/>
      <c r="AC223" s="62"/>
      <c r="AD223" s="63" t="str">
        <f>IFERROR(IF(OR($AB223="",$T223="",$T223=0),"",ROUND(ABS($N223-$AB223)*$S223*VLOOKUP($F223,'⚙️ Setelan'!$A$14:$F$20,4,FALSE)/$T223,2)),"")</f>
        <v/>
      </c>
      <c r="AE223" s="63" t="str">
        <f>IFERROR(IF(OR($AC223="",$T223="",$T223=0),"",ROUND(ABS($AC223-$N223)*$S223*VLOOKUP($F223,'⚙️ Setelan'!$A$14:$F$20,4,FALSE)/$T223,2)),"")</f>
        <v/>
      </c>
      <c r="AF223" s="61"/>
      <c r="AG223" s="61"/>
      <c r="AH223" s="61"/>
      <c r="AI223" s="61"/>
      <c r="AJ223" s="61"/>
      <c r="AK223" s="67"/>
      <c r="AL223" s="58" t="str">
        <f>IF(OR($C223="",$B223=""),"",IF(AND($Z222="Loss",$B223=$B222,MOD($C223-$D222,1)*1440&lt;'⚙️ Setelan'!$B$9),"⚠️ Revenge",""))</f>
        <v/>
      </c>
      <c r="AM223" s="68"/>
      <c r="AN223" s="58" t="str">
        <f>IF($AM223="","",IFERROR(_xlfn.IMAGE(IF(REGEXMATCH($AM223,"\.(png|jpg|jpeg|gif)$"),$AM223,"https://s3.tradingview.com/snapshots/"&amp;LOWER(MID(REGEXEXTRACT($AM223,"/x/([A-Za-z0-9]+)"),1,1))&amp;"/"&amp;REGEXEXTRACT($AM223,"/x/([A-Za-z0-9]+)")&amp;".png"),1),"⚠️ link tidak dikenali"))</f>
        <v/>
      </c>
      <c r="AO223" s="68"/>
      <c r="AP223" s="58" t="str">
        <f>IF($AO223="","",IFERROR(_xlfn.IMAGE(IF(REGEXMATCH($AO223,"\.(png|jpg|jpeg|gif)$"),$AO223,"https://s3.tradingview.com/snapshots/"&amp;LOWER(MID(REGEXEXTRACT($AO223,"/x/([A-Za-z0-9]+)"),1,1))&amp;"/"&amp;REGEXEXTRACT($AO223,"/x/([A-Za-z0-9]+)")&amp;".png"),1),"⚠️ link tidak dikenali"))</f>
        <v/>
      </c>
      <c r="AQ223" s="66">
        <f>IF($Z223="",0,IF(AND(OR('📊 Dashboard'!$B$4="(Semua)",$F223='📊 Dashboard'!$B$4),OR('📊 Dashboard'!$B$5="(Semua)",$H223='📊 Dashboard'!$B$5),OR('📊 Dashboard'!$B$6="(Semua)",$E223='📊 Dashboard'!$B$6),OR('📊 Dashboard'!$B$7="(Semua)",$AF223='📊 Dashboard'!$B$7),OR('📊 Dashboard'!$B$8="(Semua)",$AG223='📊 Dashboard'!$B$8),OR('📊 Dashboard'!$B$9="(Semua)",$K223='📊 Dashboard'!$B$9)),1,0))</f>
        <v>0</v>
      </c>
      <c r="AR223" s="69"/>
    </row>
    <row r="224" ht="58" customHeight="1" spans="1:44">
      <c r="A224" s="58" t="str">
        <f t="shared" si="21"/>
        <v/>
      </c>
      <c r="B224" s="59"/>
      <c r="C224" s="60"/>
      <c r="D224" s="60"/>
      <c r="E224" s="58" t="str">
        <f t="shared" si="22"/>
        <v/>
      </c>
      <c r="F224" s="61"/>
      <c r="G224" s="61"/>
      <c r="H224" s="61"/>
      <c r="I224" s="61"/>
      <c r="J224" s="61"/>
      <c r="K224" s="61"/>
      <c r="L224" s="61"/>
      <c r="M224" s="61"/>
      <c r="N224" s="62"/>
      <c r="O224" s="62"/>
      <c r="P224" s="62"/>
      <c r="Q224" s="62"/>
      <c r="R224" s="63" t="str">
        <f>IFERROR(IF(OR($N224="",$O224="",$F224=""),"",ROUND(('⚙️ Setelan'!$B$3*'⚙️ Setelan'!$B$4/100)/(ABS($N224-$O224)*VLOOKUP($F224,'⚙️ Setelan'!$A$14:$F$20,4,FALSE)),2)),"")</f>
        <v/>
      </c>
      <c r="S224" s="64"/>
      <c r="T224" s="65" t="str">
        <f>IFERROR(IF(OR($N224="",$O224="",$S224=""),"",ABS($N224-$O224)*$S224*VLOOKUP($F224,'⚙️ Setelan'!$A$14:$F$20,4,FALSE)),"")</f>
        <v/>
      </c>
      <c r="U224" s="63" t="str">
        <f t="shared" si="23"/>
        <v/>
      </c>
      <c r="V224" s="65" t="str">
        <f>IFERROR(IF(OR($Q224="",$N224="",$S224=""),"",($Q224-$N224)*IF($G224="Buy",1,-1)*$S224*VLOOKUP($F224,'⚙️ Setelan'!$A$14:$F$20,4,FALSE)),"")</f>
        <v/>
      </c>
      <c r="W224" s="65" t="str">
        <f>IFERROR(IF(OR($S224="",$F224=""),"",$S224*VLOOKUP($F224,'⚙️ Setelan'!$A$14:$F$20,5,FALSE)),"")</f>
        <v/>
      </c>
      <c r="X224" s="65" t="str">
        <f t="shared" si="24"/>
        <v/>
      </c>
      <c r="Y224" s="63" t="str">
        <f t="shared" si="25"/>
        <v/>
      </c>
      <c r="Z224" s="58" t="str">
        <f t="shared" si="26"/>
        <v/>
      </c>
      <c r="AA224" s="66" t="str">
        <f t="shared" si="27"/>
        <v/>
      </c>
      <c r="AB224" s="62"/>
      <c r="AC224" s="62"/>
      <c r="AD224" s="63" t="str">
        <f>IFERROR(IF(OR($AB224="",$T224="",$T224=0),"",ROUND(ABS($N224-$AB224)*$S224*VLOOKUP($F224,'⚙️ Setelan'!$A$14:$F$20,4,FALSE)/$T224,2)),"")</f>
        <v/>
      </c>
      <c r="AE224" s="63" t="str">
        <f>IFERROR(IF(OR($AC224="",$T224="",$T224=0),"",ROUND(ABS($AC224-$N224)*$S224*VLOOKUP($F224,'⚙️ Setelan'!$A$14:$F$20,4,FALSE)/$T224,2)),"")</f>
        <v/>
      </c>
      <c r="AF224" s="61"/>
      <c r="AG224" s="61"/>
      <c r="AH224" s="61"/>
      <c r="AI224" s="61"/>
      <c r="AJ224" s="61"/>
      <c r="AK224" s="67"/>
      <c r="AL224" s="58" t="str">
        <f>IF(OR($C224="",$B224=""),"",IF(AND($Z223="Loss",$B224=$B223,MOD($C224-$D223,1)*1440&lt;'⚙️ Setelan'!$B$9),"⚠️ Revenge",""))</f>
        <v/>
      </c>
      <c r="AM224" s="68"/>
      <c r="AN224" s="58" t="str">
        <f>IF($AM224="","",IFERROR(_xlfn.IMAGE(IF(REGEXMATCH($AM224,"\.(png|jpg|jpeg|gif)$"),$AM224,"https://s3.tradingview.com/snapshots/"&amp;LOWER(MID(REGEXEXTRACT($AM224,"/x/([A-Za-z0-9]+)"),1,1))&amp;"/"&amp;REGEXEXTRACT($AM224,"/x/([A-Za-z0-9]+)")&amp;".png"),1),"⚠️ link tidak dikenali"))</f>
        <v/>
      </c>
      <c r="AO224" s="68"/>
      <c r="AP224" s="58" t="str">
        <f>IF($AO224="","",IFERROR(_xlfn.IMAGE(IF(REGEXMATCH($AO224,"\.(png|jpg|jpeg|gif)$"),$AO224,"https://s3.tradingview.com/snapshots/"&amp;LOWER(MID(REGEXEXTRACT($AO224,"/x/([A-Za-z0-9]+)"),1,1))&amp;"/"&amp;REGEXEXTRACT($AO224,"/x/([A-Za-z0-9]+)")&amp;".png"),1),"⚠️ link tidak dikenali"))</f>
        <v/>
      </c>
      <c r="AQ224" s="66">
        <f>IF($Z224="",0,IF(AND(OR('📊 Dashboard'!$B$4="(Semua)",$F224='📊 Dashboard'!$B$4),OR('📊 Dashboard'!$B$5="(Semua)",$H224='📊 Dashboard'!$B$5),OR('📊 Dashboard'!$B$6="(Semua)",$E224='📊 Dashboard'!$B$6),OR('📊 Dashboard'!$B$7="(Semua)",$AF224='📊 Dashboard'!$B$7),OR('📊 Dashboard'!$B$8="(Semua)",$AG224='📊 Dashboard'!$B$8),OR('📊 Dashboard'!$B$9="(Semua)",$K224='📊 Dashboard'!$B$9)),1,0))</f>
        <v>0</v>
      </c>
      <c r="AR224" s="69"/>
    </row>
    <row r="225" ht="58" customHeight="1" spans="1:44">
      <c r="A225" s="58" t="str">
        <f t="shared" si="21"/>
        <v/>
      </c>
      <c r="B225" s="59"/>
      <c r="C225" s="60"/>
      <c r="D225" s="60"/>
      <c r="E225" s="58" t="str">
        <f t="shared" si="22"/>
        <v/>
      </c>
      <c r="F225" s="61"/>
      <c r="G225" s="61"/>
      <c r="H225" s="61"/>
      <c r="I225" s="61"/>
      <c r="J225" s="61"/>
      <c r="K225" s="61"/>
      <c r="L225" s="61"/>
      <c r="M225" s="61"/>
      <c r="N225" s="62"/>
      <c r="O225" s="62"/>
      <c r="P225" s="62"/>
      <c r="Q225" s="62"/>
      <c r="R225" s="63" t="str">
        <f>IFERROR(IF(OR($N225="",$O225="",$F225=""),"",ROUND(('⚙️ Setelan'!$B$3*'⚙️ Setelan'!$B$4/100)/(ABS($N225-$O225)*VLOOKUP($F225,'⚙️ Setelan'!$A$14:$F$20,4,FALSE)),2)),"")</f>
        <v/>
      </c>
      <c r="S225" s="64"/>
      <c r="T225" s="65" t="str">
        <f>IFERROR(IF(OR($N225="",$O225="",$S225=""),"",ABS($N225-$O225)*$S225*VLOOKUP($F225,'⚙️ Setelan'!$A$14:$F$20,4,FALSE)),"")</f>
        <v/>
      </c>
      <c r="U225" s="63" t="str">
        <f t="shared" si="23"/>
        <v/>
      </c>
      <c r="V225" s="65" t="str">
        <f>IFERROR(IF(OR($Q225="",$N225="",$S225=""),"",($Q225-$N225)*IF($G225="Buy",1,-1)*$S225*VLOOKUP($F225,'⚙️ Setelan'!$A$14:$F$20,4,FALSE)),"")</f>
        <v/>
      </c>
      <c r="W225" s="65" t="str">
        <f>IFERROR(IF(OR($S225="",$F225=""),"",$S225*VLOOKUP($F225,'⚙️ Setelan'!$A$14:$F$20,5,FALSE)),"")</f>
        <v/>
      </c>
      <c r="X225" s="65" t="str">
        <f t="shared" si="24"/>
        <v/>
      </c>
      <c r="Y225" s="63" t="str">
        <f t="shared" si="25"/>
        <v/>
      </c>
      <c r="Z225" s="58" t="str">
        <f t="shared" si="26"/>
        <v/>
      </c>
      <c r="AA225" s="66" t="str">
        <f t="shared" si="27"/>
        <v/>
      </c>
      <c r="AB225" s="62"/>
      <c r="AC225" s="62"/>
      <c r="AD225" s="63" t="str">
        <f>IFERROR(IF(OR($AB225="",$T225="",$T225=0),"",ROUND(ABS($N225-$AB225)*$S225*VLOOKUP($F225,'⚙️ Setelan'!$A$14:$F$20,4,FALSE)/$T225,2)),"")</f>
        <v/>
      </c>
      <c r="AE225" s="63" t="str">
        <f>IFERROR(IF(OR($AC225="",$T225="",$T225=0),"",ROUND(ABS($AC225-$N225)*$S225*VLOOKUP($F225,'⚙️ Setelan'!$A$14:$F$20,4,FALSE)/$T225,2)),"")</f>
        <v/>
      </c>
      <c r="AF225" s="61"/>
      <c r="AG225" s="61"/>
      <c r="AH225" s="61"/>
      <c r="AI225" s="61"/>
      <c r="AJ225" s="61"/>
      <c r="AK225" s="67"/>
      <c r="AL225" s="58" t="str">
        <f>IF(OR($C225="",$B225=""),"",IF(AND($Z224="Loss",$B225=$B224,MOD($C225-$D224,1)*1440&lt;'⚙️ Setelan'!$B$9),"⚠️ Revenge",""))</f>
        <v/>
      </c>
      <c r="AM225" s="68"/>
      <c r="AN225" s="58" t="str">
        <f>IF($AM225="","",IFERROR(_xlfn.IMAGE(IF(REGEXMATCH($AM225,"\.(png|jpg|jpeg|gif)$"),$AM225,"https://s3.tradingview.com/snapshots/"&amp;LOWER(MID(REGEXEXTRACT($AM225,"/x/([A-Za-z0-9]+)"),1,1))&amp;"/"&amp;REGEXEXTRACT($AM225,"/x/([A-Za-z0-9]+)")&amp;".png"),1),"⚠️ link tidak dikenali"))</f>
        <v/>
      </c>
      <c r="AO225" s="68"/>
      <c r="AP225" s="58" t="str">
        <f>IF($AO225="","",IFERROR(_xlfn.IMAGE(IF(REGEXMATCH($AO225,"\.(png|jpg|jpeg|gif)$"),$AO225,"https://s3.tradingview.com/snapshots/"&amp;LOWER(MID(REGEXEXTRACT($AO225,"/x/([A-Za-z0-9]+)"),1,1))&amp;"/"&amp;REGEXEXTRACT($AO225,"/x/([A-Za-z0-9]+)")&amp;".png"),1),"⚠️ link tidak dikenali"))</f>
        <v/>
      </c>
      <c r="AQ225" s="66">
        <f>IF($Z225="",0,IF(AND(OR('📊 Dashboard'!$B$4="(Semua)",$F225='📊 Dashboard'!$B$4),OR('📊 Dashboard'!$B$5="(Semua)",$H225='📊 Dashboard'!$B$5),OR('📊 Dashboard'!$B$6="(Semua)",$E225='📊 Dashboard'!$B$6),OR('📊 Dashboard'!$B$7="(Semua)",$AF225='📊 Dashboard'!$B$7),OR('📊 Dashboard'!$B$8="(Semua)",$AG225='📊 Dashboard'!$B$8),OR('📊 Dashboard'!$B$9="(Semua)",$K225='📊 Dashboard'!$B$9)),1,0))</f>
        <v>0</v>
      </c>
      <c r="AR225" s="69"/>
    </row>
    <row r="226" ht="58" customHeight="1" spans="1:44">
      <c r="A226" s="58" t="str">
        <f t="shared" si="21"/>
        <v/>
      </c>
      <c r="B226" s="59"/>
      <c r="C226" s="60"/>
      <c r="D226" s="60"/>
      <c r="E226" s="58" t="str">
        <f t="shared" si="22"/>
        <v/>
      </c>
      <c r="F226" s="61"/>
      <c r="G226" s="61"/>
      <c r="H226" s="61"/>
      <c r="I226" s="61"/>
      <c r="J226" s="61"/>
      <c r="K226" s="61"/>
      <c r="L226" s="61"/>
      <c r="M226" s="61"/>
      <c r="N226" s="62"/>
      <c r="O226" s="62"/>
      <c r="P226" s="62"/>
      <c r="Q226" s="62"/>
      <c r="R226" s="63" t="str">
        <f>IFERROR(IF(OR($N226="",$O226="",$F226=""),"",ROUND(('⚙️ Setelan'!$B$3*'⚙️ Setelan'!$B$4/100)/(ABS($N226-$O226)*VLOOKUP($F226,'⚙️ Setelan'!$A$14:$F$20,4,FALSE)),2)),"")</f>
        <v/>
      </c>
      <c r="S226" s="64"/>
      <c r="T226" s="65" t="str">
        <f>IFERROR(IF(OR($N226="",$O226="",$S226=""),"",ABS($N226-$O226)*$S226*VLOOKUP($F226,'⚙️ Setelan'!$A$14:$F$20,4,FALSE)),"")</f>
        <v/>
      </c>
      <c r="U226" s="63" t="str">
        <f t="shared" si="23"/>
        <v/>
      </c>
      <c r="V226" s="65" t="str">
        <f>IFERROR(IF(OR($Q226="",$N226="",$S226=""),"",($Q226-$N226)*IF($G226="Buy",1,-1)*$S226*VLOOKUP($F226,'⚙️ Setelan'!$A$14:$F$20,4,FALSE)),"")</f>
        <v/>
      </c>
      <c r="W226" s="65" t="str">
        <f>IFERROR(IF(OR($S226="",$F226=""),"",$S226*VLOOKUP($F226,'⚙️ Setelan'!$A$14:$F$20,5,FALSE)),"")</f>
        <v/>
      </c>
      <c r="X226" s="65" t="str">
        <f t="shared" si="24"/>
        <v/>
      </c>
      <c r="Y226" s="63" t="str">
        <f t="shared" si="25"/>
        <v/>
      </c>
      <c r="Z226" s="58" t="str">
        <f t="shared" si="26"/>
        <v/>
      </c>
      <c r="AA226" s="66" t="str">
        <f t="shared" si="27"/>
        <v/>
      </c>
      <c r="AB226" s="62"/>
      <c r="AC226" s="62"/>
      <c r="AD226" s="63" t="str">
        <f>IFERROR(IF(OR($AB226="",$T226="",$T226=0),"",ROUND(ABS($N226-$AB226)*$S226*VLOOKUP($F226,'⚙️ Setelan'!$A$14:$F$20,4,FALSE)/$T226,2)),"")</f>
        <v/>
      </c>
      <c r="AE226" s="63" t="str">
        <f>IFERROR(IF(OR($AC226="",$T226="",$T226=0),"",ROUND(ABS($AC226-$N226)*$S226*VLOOKUP($F226,'⚙️ Setelan'!$A$14:$F$20,4,FALSE)/$T226,2)),"")</f>
        <v/>
      </c>
      <c r="AF226" s="61"/>
      <c r="AG226" s="61"/>
      <c r="AH226" s="61"/>
      <c r="AI226" s="61"/>
      <c r="AJ226" s="61"/>
      <c r="AK226" s="67"/>
      <c r="AL226" s="58" t="str">
        <f>IF(OR($C226="",$B226=""),"",IF(AND($Z225="Loss",$B226=$B225,MOD($C226-$D225,1)*1440&lt;'⚙️ Setelan'!$B$9),"⚠️ Revenge",""))</f>
        <v/>
      </c>
      <c r="AM226" s="68"/>
      <c r="AN226" s="58" t="str">
        <f>IF($AM226="","",IFERROR(_xlfn.IMAGE(IF(REGEXMATCH($AM226,"\.(png|jpg|jpeg|gif)$"),$AM226,"https://s3.tradingview.com/snapshots/"&amp;LOWER(MID(REGEXEXTRACT($AM226,"/x/([A-Za-z0-9]+)"),1,1))&amp;"/"&amp;REGEXEXTRACT($AM226,"/x/([A-Za-z0-9]+)")&amp;".png"),1),"⚠️ link tidak dikenali"))</f>
        <v/>
      </c>
      <c r="AO226" s="68"/>
      <c r="AP226" s="58" t="str">
        <f>IF($AO226="","",IFERROR(_xlfn.IMAGE(IF(REGEXMATCH($AO226,"\.(png|jpg|jpeg|gif)$"),$AO226,"https://s3.tradingview.com/snapshots/"&amp;LOWER(MID(REGEXEXTRACT($AO226,"/x/([A-Za-z0-9]+)"),1,1))&amp;"/"&amp;REGEXEXTRACT($AO226,"/x/([A-Za-z0-9]+)")&amp;".png"),1),"⚠️ link tidak dikenali"))</f>
        <v/>
      </c>
      <c r="AQ226" s="66">
        <f>IF($Z226="",0,IF(AND(OR('📊 Dashboard'!$B$4="(Semua)",$F226='📊 Dashboard'!$B$4),OR('📊 Dashboard'!$B$5="(Semua)",$H226='📊 Dashboard'!$B$5),OR('📊 Dashboard'!$B$6="(Semua)",$E226='📊 Dashboard'!$B$6),OR('📊 Dashboard'!$B$7="(Semua)",$AF226='📊 Dashboard'!$B$7),OR('📊 Dashboard'!$B$8="(Semua)",$AG226='📊 Dashboard'!$B$8),OR('📊 Dashboard'!$B$9="(Semua)",$K226='📊 Dashboard'!$B$9)),1,0))</f>
        <v>0</v>
      </c>
      <c r="AR226" s="69"/>
    </row>
    <row r="227" ht="58" customHeight="1" spans="1:44">
      <c r="A227" s="58" t="str">
        <f t="shared" si="21"/>
        <v/>
      </c>
      <c r="B227" s="59"/>
      <c r="C227" s="60"/>
      <c r="D227" s="60"/>
      <c r="E227" s="58" t="str">
        <f t="shared" si="22"/>
        <v/>
      </c>
      <c r="F227" s="61"/>
      <c r="G227" s="61"/>
      <c r="H227" s="61"/>
      <c r="I227" s="61"/>
      <c r="J227" s="61"/>
      <c r="K227" s="61"/>
      <c r="L227" s="61"/>
      <c r="M227" s="61"/>
      <c r="N227" s="62"/>
      <c r="O227" s="62"/>
      <c r="P227" s="62"/>
      <c r="Q227" s="62"/>
      <c r="R227" s="63" t="str">
        <f>IFERROR(IF(OR($N227="",$O227="",$F227=""),"",ROUND(('⚙️ Setelan'!$B$3*'⚙️ Setelan'!$B$4/100)/(ABS($N227-$O227)*VLOOKUP($F227,'⚙️ Setelan'!$A$14:$F$20,4,FALSE)),2)),"")</f>
        <v/>
      </c>
      <c r="S227" s="64"/>
      <c r="T227" s="65" t="str">
        <f>IFERROR(IF(OR($N227="",$O227="",$S227=""),"",ABS($N227-$O227)*$S227*VLOOKUP($F227,'⚙️ Setelan'!$A$14:$F$20,4,FALSE)),"")</f>
        <v/>
      </c>
      <c r="U227" s="63" t="str">
        <f t="shared" si="23"/>
        <v/>
      </c>
      <c r="V227" s="65" t="str">
        <f>IFERROR(IF(OR($Q227="",$N227="",$S227=""),"",($Q227-$N227)*IF($G227="Buy",1,-1)*$S227*VLOOKUP($F227,'⚙️ Setelan'!$A$14:$F$20,4,FALSE)),"")</f>
        <v/>
      </c>
      <c r="W227" s="65" t="str">
        <f>IFERROR(IF(OR($S227="",$F227=""),"",$S227*VLOOKUP($F227,'⚙️ Setelan'!$A$14:$F$20,5,FALSE)),"")</f>
        <v/>
      </c>
      <c r="X227" s="65" t="str">
        <f t="shared" si="24"/>
        <v/>
      </c>
      <c r="Y227" s="63" t="str">
        <f t="shared" si="25"/>
        <v/>
      </c>
      <c r="Z227" s="58" t="str">
        <f t="shared" si="26"/>
        <v/>
      </c>
      <c r="AA227" s="66" t="str">
        <f t="shared" si="27"/>
        <v/>
      </c>
      <c r="AB227" s="62"/>
      <c r="AC227" s="62"/>
      <c r="AD227" s="63" t="str">
        <f>IFERROR(IF(OR($AB227="",$T227="",$T227=0),"",ROUND(ABS($N227-$AB227)*$S227*VLOOKUP($F227,'⚙️ Setelan'!$A$14:$F$20,4,FALSE)/$T227,2)),"")</f>
        <v/>
      </c>
      <c r="AE227" s="63" t="str">
        <f>IFERROR(IF(OR($AC227="",$T227="",$T227=0),"",ROUND(ABS($AC227-$N227)*$S227*VLOOKUP($F227,'⚙️ Setelan'!$A$14:$F$20,4,FALSE)/$T227,2)),"")</f>
        <v/>
      </c>
      <c r="AF227" s="61"/>
      <c r="AG227" s="61"/>
      <c r="AH227" s="61"/>
      <c r="AI227" s="61"/>
      <c r="AJ227" s="61"/>
      <c r="AK227" s="67"/>
      <c r="AL227" s="58" t="str">
        <f>IF(OR($C227="",$B227=""),"",IF(AND($Z226="Loss",$B227=$B226,MOD($C227-$D226,1)*1440&lt;'⚙️ Setelan'!$B$9),"⚠️ Revenge",""))</f>
        <v/>
      </c>
      <c r="AM227" s="68"/>
      <c r="AN227" s="58" t="str">
        <f>IF($AM227="","",IFERROR(_xlfn.IMAGE(IF(REGEXMATCH($AM227,"\.(png|jpg|jpeg|gif)$"),$AM227,"https://s3.tradingview.com/snapshots/"&amp;LOWER(MID(REGEXEXTRACT($AM227,"/x/([A-Za-z0-9]+)"),1,1))&amp;"/"&amp;REGEXEXTRACT($AM227,"/x/([A-Za-z0-9]+)")&amp;".png"),1),"⚠️ link tidak dikenali"))</f>
        <v/>
      </c>
      <c r="AO227" s="68"/>
      <c r="AP227" s="58" t="str">
        <f>IF($AO227="","",IFERROR(_xlfn.IMAGE(IF(REGEXMATCH($AO227,"\.(png|jpg|jpeg|gif)$"),$AO227,"https://s3.tradingview.com/snapshots/"&amp;LOWER(MID(REGEXEXTRACT($AO227,"/x/([A-Za-z0-9]+)"),1,1))&amp;"/"&amp;REGEXEXTRACT($AO227,"/x/([A-Za-z0-9]+)")&amp;".png"),1),"⚠️ link tidak dikenali"))</f>
        <v/>
      </c>
      <c r="AQ227" s="66">
        <f>IF($Z227="",0,IF(AND(OR('📊 Dashboard'!$B$4="(Semua)",$F227='📊 Dashboard'!$B$4),OR('📊 Dashboard'!$B$5="(Semua)",$H227='📊 Dashboard'!$B$5),OR('📊 Dashboard'!$B$6="(Semua)",$E227='📊 Dashboard'!$B$6),OR('📊 Dashboard'!$B$7="(Semua)",$AF227='📊 Dashboard'!$B$7),OR('📊 Dashboard'!$B$8="(Semua)",$AG227='📊 Dashboard'!$B$8),OR('📊 Dashboard'!$B$9="(Semua)",$K227='📊 Dashboard'!$B$9)),1,0))</f>
        <v>0</v>
      </c>
      <c r="AR227" s="69"/>
    </row>
    <row r="228" ht="58" customHeight="1" spans="1:44">
      <c r="A228" s="58" t="str">
        <f t="shared" si="21"/>
        <v/>
      </c>
      <c r="B228" s="59"/>
      <c r="C228" s="60"/>
      <c r="D228" s="60"/>
      <c r="E228" s="58" t="str">
        <f t="shared" si="22"/>
        <v/>
      </c>
      <c r="F228" s="61"/>
      <c r="G228" s="61"/>
      <c r="H228" s="61"/>
      <c r="I228" s="61"/>
      <c r="J228" s="61"/>
      <c r="K228" s="61"/>
      <c r="L228" s="61"/>
      <c r="M228" s="61"/>
      <c r="N228" s="62"/>
      <c r="O228" s="62"/>
      <c r="P228" s="62"/>
      <c r="Q228" s="62"/>
      <c r="R228" s="63" t="str">
        <f>IFERROR(IF(OR($N228="",$O228="",$F228=""),"",ROUND(('⚙️ Setelan'!$B$3*'⚙️ Setelan'!$B$4/100)/(ABS($N228-$O228)*VLOOKUP($F228,'⚙️ Setelan'!$A$14:$F$20,4,FALSE)),2)),"")</f>
        <v/>
      </c>
      <c r="S228" s="64"/>
      <c r="T228" s="65" t="str">
        <f>IFERROR(IF(OR($N228="",$O228="",$S228=""),"",ABS($N228-$O228)*$S228*VLOOKUP($F228,'⚙️ Setelan'!$A$14:$F$20,4,FALSE)),"")</f>
        <v/>
      </c>
      <c r="U228" s="63" t="str">
        <f t="shared" si="23"/>
        <v/>
      </c>
      <c r="V228" s="65" t="str">
        <f>IFERROR(IF(OR($Q228="",$N228="",$S228=""),"",($Q228-$N228)*IF($G228="Buy",1,-1)*$S228*VLOOKUP($F228,'⚙️ Setelan'!$A$14:$F$20,4,FALSE)),"")</f>
        <v/>
      </c>
      <c r="W228" s="65" t="str">
        <f>IFERROR(IF(OR($S228="",$F228=""),"",$S228*VLOOKUP($F228,'⚙️ Setelan'!$A$14:$F$20,5,FALSE)),"")</f>
        <v/>
      </c>
      <c r="X228" s="65" t="str">
        <f t="shared" si="24"/>
        <v/>
      </c>
      <c r="Y228" s="63" t="str">
        <f t="shared" si="25"/>
        <v/>
      </c>
      <c r="Z228" s="58" t="str">
        <f t="shared" si="26"/>
        <v/>
      </c>
      <c r="AA228" s="66" t="str">
        <f t="shared" si="27"/>
        <v/>
      </c>
      <c r="AB228" s="62"/>
      <c r="AC228" s="62"/>
      <c r="AD228" s="63" t="str">
        <f>IFERROR(IF(OR($AB228="",$T228="",$T228=0),"",ROUND(ABS($N228-$AB228)*$S228*VLOOKUP($F228,'⚙️ Setelan'!$A$14:$F$20,4,FALSE)/$T228,2)),"")</f>
        <v/>
      </c>
      <c r="AE228" s="63" t="str">
        <f>IFERROR(IF(OR($AC228="",$T228="",$T228=0),"",ROUND(ABS($AC228-$N228)*$S228*VLOOKUP($F228,'⚙️ Setelan'!$A$14:$F$20,4,FALSE)/$T228,2)),"")</f>
        <v/>
      </c>
      <c r="AF228" s="61"/>
      <c r="AG228" s="61"/>
      <c r="AH228" s="61"/>
      <c r="AI228" s="61"/>
      <c r="AJ228" s="61"/>
      <c r="AK228" s="67"/>
      <c r="AL228" s="58" t="str">
        <f>IF(OR($C228="",$B228=""),"",IF(AND($Z227="Loss",$B228=$B227,MOD($C228-$D227,1)*1440&lt;'⚙️ Setelan'!$B$9),"⚠️ Revenge",""))</f>
        <v/>
      </c>
      <c r="AM228" s="68"/>
      <c r="AN228" s="58" t="str">
        <f>IF($AM228="","",IFERROR(_xlfn.IMAGE(IF(REGEXMATCH($AM228,"\.(png|jpg|jpeg|gif)$"),$AM228,"https://s3.tradingview.com/snapshots/"&amp;LOWER(MID(REGEXEXTRACT($AM228,"/x/([A-Za-z0-9]+)"),1,1))&amp;"/"&amp;REGEXEXTRACT($AM228,"/x/([A-Za-z0-9]+)")&amp;".png"),1),"⚠️ link tidak dikenali"))</f>
        <v/>
      </c>
      <c r="AO228" s="68"/>
      <c r="AP228" s="58" t="str">
        <f>IF($AO228="","",IFERROR(_xlfn.IMAGE(IF(REGEXMATCH($AO228,"\.(png|jpg|jpeg|gif)$"),$AO228,"https://s3.tradingview.com/snapshots/"&amp;LOWER(MID(REGEXEXTRACT($AO228,"/x/([A-Za-z0-9]+)"),1,1))&amp;"/"&amp;REGEXEXTRACT($AO228,"/x/([A-Za-z0-9]+)")&amp;".png"),1),"⚠️ link tidak dikenali"))</f>
        <v/>
      </c>
      <c r="AQ228" s="66">
        <f>IF($Z228="",0,IF(AND(OR('📊 Dashboard'!$B$4="(Semua)",$F228='📊 Dashboard'!$B$4),OR('📊 Dashboard'!$B$5="(Semua)",$H228='📊 Dashboard'!$B$5),OR('📊 Dashboard'!$B$6="(Semua)",$E228='📊 Dashboard'!$B$6),OR('📊 Dashboard'!$B$7="(Semua)",$AF228='📊 Dashboard'!$B$7),OR('📊 Dashboard'!$B$8="(Semua)",$AG228='📊 Dashboard'!$B$8),OR('📊 Dashboard'!$B$9="(Semua)",$K228='📊 Dashboard'!$B$9)),1,0))</f>
        <v>0</v>
      </c>
      <c r="AR228" s="69"/>
    </row>
    <row r="229" ht="58" customHeight="1" spans="1:44">
      <c r="A229" s="58" t="str">
        <f t="shared" si="21"/>
        <v/>
      </c>
      <c r="B229" s="59"/>
      <c r="C229" s="60"/>
      <c r="D229" s="60"/>
      <c r="E229" s="58" t="str">
        <f t="shared" si="22"/>
        <v/>
      </c>
      <c r="F229" s="61"/>
      <c r="G229" s="61"/>
      <c r="H229" s="61"/>
      <c r="I229" s="61"/>
      <c r="J229" s="61"/>
      <c r="K229" s="61"/>
      <c r="L229" s="61"/>
      <c r="M229" s="61"/>
      <c r="N229" s="62"/>
      <c r="O229" s="62"/>
      <c r="P229" s="62"/>
      <c r="Q229" s="62"/>
      <c r="R229" s="63" t="str">
        <f>IFERROR(IF(OR($N229="",$O229="",$F229=""),"",ROUND(('⚙️ Setelan'!$B$3*'⚙️ Setelan'!$B$4/100)/(ABS($N229-$O229)*VLOOKUP($F229,'⚙️ Setelan'!$A$14:$F$20,4,FALSE)),2)),"")</f>
        <v/>
      </c>
      <c r="S229" s="64"/>
      <c r="T229" s="65" t="str">
        <f>IFERROR(IF(OR($N229="",$O229="",$S229=""),"",ABS($N229-$O229)*$S229*VLOOKUP($F229,'⚙️ Setelan'!$A$14:$F$20,4,FALSE)),"")</f>
        <v/>
      </c>
      <c r="U229" s="63" t="str">
        <f t="shared" si="23"/>
        <v/>
      </c>
      <c r="V229" s="65" t="str">
        <f>IFERROR(IF(OR($Q229="",$N229="",$S229=""),"",($Q229-$N229)*IF($G229="Buy",1,-1)*$S229*VLOOKUP($F229,'⚙️ Setelan'!$A$14:$F$20,4,FALSE)),"")</f>
        <v/>
      </c>
      <c r="W229" s="65" t="str">
        <f>IFERROR(IF(OR($S229="",$F229=""),"",$S229*VLOOKUP($F229,'⚙️ Setelan'!$A$14:$F$20,5,FALSE)),"")</f>
        <v/>
      </c>
      <c r="X229" s="65" t="str">
        <f t="shared" si="24"/>
        <v/>
      </c>
      <c r="Y229" s="63" t="str">
        <f t="shared" si="25"/>
        <v/>
      </c>
      <c r="Z229" s="58" t="str">
        <f t="shared" si="26"/>
        <v/>
      </c>
      <c r="AA229" s="66" t="str">
        <f t="shared" si="27"/>
        <v/>
      </c>
      <c r="AB229" s="62"/>
      <c r="AC229" s="62"/>
      <c r="AD229" s="63" t="str">
        <f>IFERROR(IF(OR($AB229="",$T229="",$T229=0),"",ROUND(ABS($N229-$AB229)*$S229*VLOOKUP($F229,'⚙️ Setelan'!$A$14:$F$20,4,FALSE)/$T229,2)),"")</f>
        <v/>
      </c>
      <c r="AE229" s="63" t="str">
        <f>IFERROR(IF(OR($AC229="",$T229="",$T229=0),"",ROUND(ABS($AC229-$N229)*$S229*VLOOKUP($F229,'⚙️ Setelan'!$A$14:$F$20,4,FALSE)/$T229,2)),"")</f>
        <v/>
      </c>
      <c r="AF229" s="61"/>
      <c r="AG229" s="61"/>
      <c r="AH229" s="61"/>
      <c r="AI229" s="61"/>
      <c r="AJ229" s="61"/>
      <c r="AK229" s="67"/>
      <c r="AL229" s="58" t="str">
        <f>IF(OR($C229="",$B229=""),"",IF(AND($Z228="Loss",$B229=$B228,MOD($C229-$D228,1)*1440&lt;'⚙️ Setelan'!$B$9),"⚠️ Revenge",""))</f>
        <v/>
      </c>
      <c r="AM229" s="68"/>
      <c r="AN229" s="58" t="str">
        <f>IF($AM229="","",IFERROR(_xlfn.IMAGE(IF(REGEXMATCH($AM229,"\.(png|jpg|jpeg|gif)$"),$AM229,"https://s3.tradingview.com/snapshots/"&amp;LOWER(MID(REGEXEXTRACT($AM229,"/x/([A-Za-z0-9]+)"),1,1))&amp;"/"&amp;REGEXEXTRACT($AM229,"/x/([A-Za-z0-9]+)")&amp;".png"),1),"⚠️ link tidak dikenali"))</f>
        <v/>
      </c>
      <c r="AO229" s="68"/>
      <c r="AP229" s="58" t="str">
        <f>IF($AO229="","",IFERROR(_xlfn.IMAGE(IF(REGEXMATCH($AO229,"\.(png|jpg|jpeg|gif)$"),$AO229,"https://s3.tradingview.com/snapshots/"&amp;LOWER(MID(REGEXEXTRACT($AO229,"/x/([A-Za-z0-9]+)"),1,1))&amp;"/"&amp;REGEXEXTRACT($AO229,"/x/([A-Za-z0-9]+)")&amp;".png"),1),"⚠️ link tidak dikenali"))</f>
        <v/>
      </c>
      <c r="AQ229" s="66">
        <f>IF($Z229="",0,IF(AND(OR('📊 Dashboard'!$B$4="(Semua)",$F229='📊 Dashboard'!$B$4),OR('📊 Dashboard'!$B$5="(Semua)",$H229='📊 Dashboard'!$B$5),OR('📊 Dashboard'!$B$6="(Semua)",$E229='📊 Dashboard'!$B$6),OR('📊 Dashboard'!$B$7="(Semua)",$AF229='📊 Dashboard'!$B$7),OR('📊 Dashboard'!$B$8="(Semua)",$AG229='📊 Dashboard'!$B$8),OR('📊 Dashboard'!$B$9="(Semua)",$K229='📊 Dashboard'!$B$9)),1,0))</f>
        <v>0</v>
      </c>
      <c r="AR229" s="69"/>
    </row>
    <row r="230" ht="58" customHeight="1" spans="1:44">
      <c r="A230" s="58" t="str">
        <f t="shared" si="21"/>
        <v/>
      </c>
      <c r="B230" s="59"/>
      <c r="C230" s="60"/>
      <c r="D230" s="60"/>
      <c r="E230" s="58" t="str">
        <f t="shared" si="22"/>
        <v/>
      </c>
      <c r="F230" s="61"/>
      <c r="G230" s="61"/>
      <c r="H230" s="61"/>
      <c r="I230" s="61"/>
      <c r="J230" s="61"/>
      <c r="K230" s="61"/>
      <c r="L230" s="61"/>
      <c r="M230" s="61"/>
      <c r="N230" s="62"/>
      <c r="O230" s="62"/>
      <c r="P230" s="62"/>
      <c r="Q230" s="62"/>
      <c r="R230" s="63" t="str">
        <f>IFERROR(IF(OR($N230="",$O230="",$F230=""),"",ROUND(('⚙️ Setelan'!$B$3*'⚙️ Setelan'!$B$4/100)/(ABS($N230-$O230)*VLOOKUP($F230,'⚙️ Setelan'!$A$14:$F$20,4,FALSE)),2)),"")</f>
        <v/>
      </c>
      <c r="S230" s="64"/>
      <c r="T230" s="65" t="str">
        <f>IFERROR(IF(OR($N230="",$O230="",$S230=""),"",ABS($N230-$O230)*$S230*VLOOKUP($F230,'⚙️ Setelan'!$A$14:$F$20,4,FALSE)),"")</f>
        <v/>
      </c>
      <c r="U230" s="63" t="str">
        <f t="shared" si="23"/>
        <v/>
      </c>
      <c r="V230" s="65" t="str">
        <f>IFERROR(IF(OR($Q230="",$N230="",$S230=""),"",($Q230-$N230)*IF($G230="Buy",1,-1)*$S230*VLOOKUP($F230,'⚙️ Setelan'!$A$14:$F$20,4,FALSE)),"")</f>
        <v/>
      </c>
      <c r="W230" s="65" t="str">
        <f>IFERROR(IF(OR($S230="",$F230=""),"",$S230*VLOOKUP($F230,'⚙️ Setelan'!$A$14:$F$20,5,FALSE)),"")</f>
        <v/>
      </c>
      <c r="X230" s="65" t="str">
        <f t="shared" si="24"/>
        <v/>
      </c>
      <c r="Y230" s="63" t="str">
        <f t="shared" si="25"/>
        <v/>
      </c>
      <c r="Z230" s="58" t="str">
        <f t="shared" si="26"/>
        <v/>
      </c>
      <c r="AA230" s="66" t="str">
        <f t="shared" si="27"/>
        <v/>
      </c>
      <c r="AB230" s="62"/>
      <c r="AC230" s="62"/>
      <c r="AD230" s="63" t="str">
        <f>IFERROR(IF(OR($AB230="",$T230="",$T230=0),"",ROUND(ABS($N230-$AB230)*$S230*VLOOKUP($F230,'⚙️ Setelan'!$A$14:$F$20,4,FALSE)/$T230,2)),"")</f>
        <v/>
      </c>
      <c r="AE230" s="63" t="str">
        <f>IFERROR(IF(OR($AC230="",$T230="",$T230=0),"",ROUND(ABS($AC230-$N230)*$S230*VLOOKUP($F230,'⚙️ Setelan'!$A$14:$F$20,4,FALSE)/$T230,2)),"")</f>
        <v/>
      </c>
      <c r="AF230" s="61"/>
      <c r="AG230" s="61"/>
      <c r="AH230" s="61"/>
      <c r="AI230" s="61"/>
      <c r="AJ230" s="61"/>
      <c r="AK230" s="67"/>
      <c r="AL230" s="58" t="str">
        <f>IF(OR($C230="",$B230=""),"",IF(AND($Z229="Loss",$B230=$B229,MOD($C230-$D229,1)*1440&lt;'⚙️ Setelan'!$B$9),"⚠️ Revenge",""))</f>
        <v/>
      </c>
      <c r="AM230" s="68"/>
      <c r="AN230" s="58" t="str">
        <f>IF($AM230="","",IFERROR(_xlfn.IMAGE(IF(REGEXMATCH($AM230,"\.(png|jpg|jpeg|gif)$"),$AM230,"https://s3.tradingview.com/snapshots/"&amp;LOWER(MID(REGEXEXTRACT($AM230,"/x/([A-Za-z0-9]+)"),1,1))&amp;"/"&amp;REGEXEXTRACT($AM230,"/x/([A-Za-z0-9]+)")&amp;".png"),1),"⚠️ link tidak dikenali"))</f>
        <v/>
      </c>
      <c r="AO230" s="68"/>
      <c r="AP230" s="58" t="str">
        <f>IF($AO230="","",IFERROR(_xlfn.IMAGE(IF(REGEXMATCH($AO230,"\.(png|jpg|jpeg|gif)$"),$AO230,"https://s3.tradingview.com/snapshots/"&amp;LOWER(MID(REGEXEXTRACT($AO230,"/x/([A-Za-z0-9]+)"),1,1))&amp;"/"&amp;REGEXEXTRACT($AO230,"/x/([A-Za-z0-9]+)")&amp;".png"),1),"⚠️ link tidak dikenali"))</f>
        <v/>
      </c>
      <c r="AQ230" s="66">
        <f>IF($Z230="",0,IF(AND(OR('📊 Dashboard'!$B$4="(Semua)",$F230='📊 Dashboard'!$B$4),OR('📊 Dashboard'!$B$5="(Semua)",$H230='📊 Dashboard'!$B$5),OR('📊 Dashboard'!$B$6="(Semua)",$E230='📊 Dashboard'!$B$6),OR('📊 Dashboard'!$B$7="(Semua)",$AF230='📊 Dashboard'!$B$7),OR('📊 Dashboard'!$B$8="(Semua)",$AG230='📊 Dashboard'!$B$8),OR('📊 Dashboard'!$B$9="(Semua)",$K230='📊 Dashboard'!$B$9)),1,0))</f>
        <v>0</v>
      </c>
      <c r="AR230" s="69"/>
    </row>
    <row r="231" ht="58" customHeight="1" spans="1:44">
      <c r="A231" s="58" t="str">
        <f t="shared" si="21"/>
        <v/>
      </c>
      <c r="B231" s="59"/>
      <c r="C231" s="60"/>
      <c r="D231" s="60"/>
      <c r="E231" s="58" t="str">
        <f t="shared" si="22"/>
        <v/>
      </c>
      <c r="F231" s="61"/>
      <c r="G231" s="61"/>
      <c r="H231" s="61"/>
      <c r="I231" s="61"/>
      <c r="J231" s="61"/>
      <c r="K231" s="61"/>
      <c r="L231" s="61"/>
      <c r="M231" s="61"/>
      <c r="N231" s="62"/>
      <c r="O231" s="62"/>
      <c r="P231" s="62"/>
      <c r="Q231" s="62"/>
      <c r="R231" s="63" t="str">
        <f>IFERROR(IF(OR($N231="",$O231="",$F231=""),"",ROUND(('⚙️ Setelan'!$B$3*'⚙️ Setelan'!$B$4/100)/(ABS($N231-$O231)*VLOOKUP($F231,'⚙️ Setelan'!$A$14:$F$20,4,FALSE)),2)),"")</f>
        <v/>
      </c>
      <c r="S231" s="64"/>
      <c r="T231" s="65" t="str">
        <f>IFERROR(IF(OR($N231="",$O231="",$S231=""),"",ABS($N231-$O231)*$S231*VLOOKUP($F231,'⚙️ Setelan'!$A$14:$F$20,4,FALSE)),"")</f>
        <v/>
      </c>
      <c r="U231" s="63" t="str">
        <f t="shared" si="23"/>
        <v/>
      </c>
      <c r="V231" s="65" t="str">
        <f>IFERROR(IF(OR($Q231="",$N231="",$S231=""),"",($Q231-$N231)*IF($G231="Buy",1,-1)*$S231*VLOOKUP($F231,'⚙️ Setelan'!$A$14:$F$20,4,FALSE)),"")</f>
        <v/>
      </c>
      <c r="W231" s="65" t="str">
        <f>IFERROR(IF(OR($S231="",$F231=""),"",$S231*VLOOKUP($F231,'⚙️ Setelan'!$A$14:$F$20,5,FALSE)),"")</f>
        <v/>
      </c>
      <c r="X231" s="65" t="str">
        <f t="shared" si="24"/>
        <v/>
      </c>
      <c r="Y231" s="63" t="str">
        <f t="shared" si="25"/>
        <v/>
      </c>
      <c r="Z231" s="58" t="str">
        <f t="shared" si="26"/>
        <v/>
      </c>
      <c r="AA231" s="66" t="str">
        <f t="shared" si="27"/>
        <v/>
      </c>
      <c r="AB231" s="62"/>
      <c r="AC231" s="62"/>
      <c r="AD231" s="63" t="str">
        <f>IFERROR(IF(OR($AB231="",$T231="",$T231=0),"",ROUND(ABS($N231-$AB231)*$S231*VLOOKUP($F231,'⚙️ Setelan'!$A$14:$F$20,4,FALSE)/$T231,2)),"")</f>
        <v/>
      </c>
      <c r="AE231" s="63" t="str">
        <f>IFERROR(IF(OR($AC231="",$T231="",$T231=0),"",ROUND(ABS($AC231-$N231)*$S231*VLOOKUP($F231,'⚙️ Setelan'!$A$14:$F$20,4,FALSE)/$T231,2)),"")</f>
        <v/>
      </c>
      <c r="AF231" s="61"/>
      <c r="AG231" s="61"/>
      <c r="AH231" s="61"/>
      <c r="AI231" s="61"/>
      <c r="AJ231" s="61"/>
      <c r="AK231" s="67"/>
      <c r="AL231" s="58" t="str">
        <f>IF(OR($C231="",$B231=""),"",IF(AND($Z230="Loss",$B231=$B230,MOD($C231-$D230,1)*1440&lt;'⚙️ Setelan'!$B$9),"⚠️ Revenge",""))</f>
        <v/>
      </c>
      <c r="AM231" s="68"/>
      <c r="AN231" s="58" t="str">
        <f>IF($AM231="","",IFERROR(_xlfn.IMAGE(IF(REGEXMATCH($AM231,"\.(png|jpg|jpeg|gif)$"),$AM231,"https://s3.tradingview.com/snapshots/"&amp;LOWER(MID(REGEXEXTRACT($AM231,"/x/([A-Za-z0-9]+)"),1,1))&amp;"/"&amp;REGEXEXTRACT($AM231,"/x/([A-Za-z0-9]+)")&amp;".png"),1),"⚠️ link tidak dikenali"))</f>
        <v/>
      </c>
      <c r="AO231" s="68"/>
      <c r="AP231" s="58" t="str">
        <f>IF($AO231="","",IFERROR(_xlfn.IMAGE(IF(REGEXMATCH($AO231,"\.(png|jpg|jpeg|gif)$"),$AO231,"https://s3.tradingview.com/snapshots/"&amp;LOWER(MID(REGEXEXTRACT($AO231,"/x/([A-Za-z0-9]+)"),1,1))&amp;"/"&amp;REGEXEXTRACT($AO231,"/x/([A-Za-z0-9]+)")&amp;".png"),1),"⚠️ link tidak dikenali"))</f>
        <v/>
      </c>
      <c r="AQ231" s="66">
        <f>IF($Z231="",0,IF(AND(OR('📊 Dashboard'!$B$4="(Semua)",$F231='📊 Dashboard'!$B$4),OR('📊 Dashboard'!$B$5="(Semua)",$H231='📊 Dashboard'!$B$5),OR('📊 Dashboard'!$B$6="(Semua)",$E231='📊 Dashboard'!$B$6),OR('📊 Dashboard'!$B$7="(Semua)",$AF231='📊 Dashboard'!$B$7),OR('📊 Dashboard'!$B$8="(Semua)",$AG231='📊 Dashboard'!$B$8),OR('📊 Dashboard'!$B$9="(Semua)",$K231='📊 Dashboard'!$B$9)),1,0))</f>
        <v>0</v>
      </c>
      <c r="AR231" s="69"/>
    </row>
    <row r="232" ht="58" customHeight="1" spans="1:44">
      <c r="A232" s="58" t="str">
        <f t="shared" si="21"/>
        <v/>
      </c>
      <c r="B232" s="59"/>
      <c r="C232" s="60"/>
      <c r="D232" s="60"/>
      <c r="E232" s="58" t="str">
        <f t="shared" si="22"/>
        <v/>
      </c>
      <c r="F232" s="61"/>
      <c r="G232" s="61"/>
      <c r="H232" s="61"/>
      <c r="I232" s="61"/>
      <c r="J232" s="61"/>
      <c r="K232" s="61"/>
      <c r="L232" s="61"/>
      <c r="M232" s="61"/>
      <c r="N232" s="62"/>
      <c r="O232" s="62"/>
      <c r="P232" s="62"/>
      <c r="Q232" s="62"/>
      <c r="R232" s="63" t="str">
        <f>IFERROR(IF(OR($N232="",$O232="",$F232=""),"",ROUND(('⚙️ Setelan'!$B$3*'⚙️ Setelan'!$B$4/100)/(ABS($N232-$O232)*VLOOKUP($F232,'⚙️ Setelan'!$A$14:$F$20,4,FALSE)),2)),"")</f>
        <v/>
      </c>
      <c r="S232" s="64"/>
      <c r="T232" s="65" t="str">
        <f>IFERROR(IF(OR($N232="",$O232="",$S232=""),"",ABS($N232-$O232)*$S232*VLOOKUP($F232,'⚙️ Setelan'!$A$14:$F$20,4,FALSE)),"")</f>
        <v/>
      </c>
      <c r="U232" s="63" t="str">
        <f t="shared" si="23"/>
        <v/>
      </c>
      <c r="V232" s="65" t="str">
        <f>IFERROR(IF(OR($Q232="",$N232="",$S232=""),"",($Q232-$N232)*IF($G232="Buy",1,-1)*$S232*VLOOKUP($F232,'⚙️ Setelan'!$A$14:$F$20,4,FALSE)),"")</f>
        <v/>
      </c>
      <c r="W232" s="65" t="str">
        <f>IFERROR(IF(OR($S232="",$F232=""),"",$S232*VLOOKUP($F232,'⚙️ Setelan'!$A$14:$F$20,5,FALSE)),"")</f>
        <v/>
      </c>
      <c r="X232" s="65" t="str">
        <f t="shared" si="24"/>
        <v/>
      </c>
      <c r="Y232" s="63" t="str">
        <f t="shared" si="25"/>
        <v/>
      </c>
      <c r="Z232" s="58" t="str">
        <f t="shared" si="26"/>
        <v/>
      </c>
      <c r="AA232" s="66" t="str">
        <f t="shared" si="27"/>
        <v/>
      </c>
      <c r="AB232" s="62"/>
      <c r="AC232" s="62"/>
      <c r="AD232" s="63" t="str">
        <f>IFERROR(IF(OR($AB232="",$T232="",$T232=0),"",ROUND(ABS($N232-$AB232)*$S232*VLOOKUP($F232,'⚙️ Setelan'!$A$14:$F$20,4,FALSE)/$T232,2)),"")</f>
        <v/>
      </c>
      <c r="AE232" s="63" t="str">
        <f>IFERROR(IF(OR($AC232="",$T232="",$T232=0),"",ROUND(ABS($AC232-$N232)*$S232*VLOOKUP($F232,'⚙️ Setelan'!$A$14:$F$20,4,FALSE)/$T232,2)),"")</f>
        <v/>
      </c>
      <c r="AF232" s="61"/>
      <c r="AG232" s="61"/>
      <c r="AH232" s="61"/>
      <c r="AI232" s="61"/>
      <c r="AJ232" s="61"/>
      <c r="AK232" s="67"/>
      <c r="AL232" s="58" t="str">
        <f>IF(OR($C232="",$B232=""),"",IF(AND($Z231="Loss",$B232=$B231,MOD($C232-$D231,1)*1440&lt;'⚙️ Setelan'!$B$9),"⚠️ Revenge",""))</f>
        <v/>
      </c>
      <c r="AM232" s="68"/>
      <c r="AN232" s="58" t="str">
        <f>IF($AM232="","",IFERROR(_xlfn.IMAGE(IF(REGEXMATCH($AM232,"\.(png|jpg|jpeg|gif)$"),$AM232,"https://s3.tradingview.com/snapshots/"&amp;LOWER(MID(REGEXEXTRACT($AM232,"/x/([A-Za-z0-9]+)"),1,1))&amp;"/"&amp;REGEXEXTRACT($AM232,"/x/([A-Za-z0-9]+)")&amp;".png"),1),"⚠️ link tidak dikenali"))</f>
        <v/>
      </c>
      <c r="AO232" s="68"/>
      <c r="AP232" s="58" t="str">
        <f>IF($AO232="","",IFERROR(_xlfn.IMAGE(IF(REGEXMATCH($AO232,"\.(png|jpg|jpeg|gif)$"),$AO232,"https://s3.tradingview.com/snapshots/"&amp;LOWER(MID(REGEXEXTRACT($AO232,"/x/([A-Za-z0-9]+)"),1,1))&amp;"/"&amp;REGEXEXTRACT($AO232,"/x/([A-Za-z0-9]+)")&amp;".png"),1),"⚠️ link tidak dikenali"))</f>
        <v/>
      </c>
      <c r="AQ232" s="66">
        <f>IF($Z232="",0,IF(AND(OR('📊 Dashboard'!$B$4="(Semua)",$F232='📊 Dashboard'!$B$4),OR('📊 Dashboard'!$B$5="(Semua)",$H232='📊 Dashboard'!$B$5),OR('📊 Dashboard'!$B$6="(Semua)",$E232='📊 Dashboard'!$B$6),OR('📊 Dashboard'!$B$7="(Semua)",$AF232='📊 Dashboard'!$B$7),OR('📊 Dashboard'!$B$8="(Semua)",$AG232='📊 Dashboard'!$B$8),OR('📊 Dashboard'!$B$9="(Semua)",$K232='📊 Dashboard'!$B$9)),1,0))</f>
        <v>0</v>
      </c>
      <c r="AR232" s="69"/>
    </row>
    <row r="233" ht="58" customHeight="1" spans="1:44">
      <c r="A233" s="58" t="str">
        <f t="shared" si="21"/>
        <v/>
      </c>
      <c r="B233" s="59"/>
      <c r="C233" s="60"/>
      <c r="D233" s="60"/>
      <c r="E233" s="58" t="str">
        <f t="shared" si="22"/>
        <v/>
      </c>
      <c r="F233" s="61"/>
      <c r="G233" s="61"/>
      <c r="H233" s="61"/>
      <c r="I233" s="61"/>
      <c r="J233" s="61"/>
      <c r="K233" s="61"/>
      <c r="L233" s="61"/>
      <c r="M233" s="61"/>
      <c r="N233" s="62"/>
      <c r="O233" s="62"/>
      <c r="P233" s="62"/>
      <c r="Q233" s="62"/>
      <c r="R233" s="63" t="str">
        <f>IFERROR(IF(OR($N233="",$O233="",$F233=""),"",ROUND(('⚙️ Setelan'!$B$3*'⚙️ Setelan'!$B$4/100)/(ABS($N233-$O233)*VLOOKUP($F233,'⚙️ Setelan'!$A$14:$F$20,4,FALSE)),2)),"")</f>
        <v/>
      </c>
      <c r="S233" s="64"/>
      <c r="T233" s="65" t="str">
        <f>IFERROR(IF(OR($N233="",$O233="",$S233=""),"",ABS($N233-$O233)*$S233*VLOOKUP($F233,'⚙️ Setelan'!$A$14:$F$20,4,FALSE)),"")</f>
        <v/>
      </c>
      <c r="U233" s="63" t="str">
        <f t="shared" si="23"/>
        <v/>
      </c>
      <c r="V233" s="65" t="str">
        <f>IFERROR(IF(OR($Q233="",$N233="",$S233=""),"",($Q233-$N233)*IF($G233="Buy",1,-1)*$S233*VLOOKUP($F233,'⚙️ Setelan'!$A$14:$F$20,4,FALSE)),"")</f>
        <v/>
      </c>
      <c r="W233" s="65" t="str">
        <f>IFERROR(IF(OR($S233="",$F233=""),"",$S233*VLOOKUP($F233,'⚙️ Setelan'!$A$14:$F$20,5,FALSE)),"")</f>
        <v/>
      </c>
      <c r="X233" s="65" t="str">
        <f t="shared" si="24"/>
        <v/>
      </c>
      <c r="Y233" s="63" t="str">
        <f t="shared" si="25"/>
        <v/>
      </c>
      <c r="Z233" s="58" t="str">
        <f t="shared" si="26"/>
        <v/>
      </c>
      <c r="AA233" s="66" t="str">
        <f t="shared" si="27"/>
        <v/>
      </c>
      <c r="AB233" s="62"/>
      <c r="AC233" s="62"/>
      <c r="AD233" s="63" t="str">
        <f>IFERROR(IF(OR($AB233="",$T233="",$T233=0),"",ROUND(ABS($N233-$AB233)*$S233*VLOOKUP($F233,'⚙️ Setelan'!$A$14:$F$20,4,FALSE)/$T233,2)),"")</f>
        <v/>
      </c>
      <c r="AE233" s="63" t="str">
        <f>IFERROR(IF(OR($AC233="",$T233="",$T233=0),"",ROUND(ABS($AC233-$N233)*$S233*VLOOKUP($F233,'⚙️ Setelan'!$A$14:$F$20,4,FALSE)/$T233,2)),"")</f>
        <v/>
      </c>
      <c r="AF233" s="61"/>
      <c r="AG233" s="61"/>
      <c r="AH233" s="61"/>
      <c r="AI233" s="61"/>
      <c r="AJ233" s="61"/>
      <c r="AK233" s="67"/>
      <c r="AL233" s="58" t="str">
        <f>IF(OR($C233="",$B233=""),"",IF(AND($Z232="Loss",$B233=$B232,MOD($C233-$D232,1)*1440&lt;'⚙️ Setelan'!$B$9),"⚠️ Revenge",""))</f>
        <v/>
      </c>
      <c r="AM233" s="68"/>
      <c r="AN233" s="58" t="str">
        <f>IF($AM233="","",IFERROR(_xlfn.IMAGE(IF(REGEXMATCH($AM233,"\.(png|jpg|jpeg|gif)$"),$AM233,"https://s3.tradingview.com/snapshots/"&amp;LOWER(MID(REGEXEXTRACT($AM233,"/x/([A-Za-z0-9]+)"),1,1))&amp;"/"&amp;REGEXEXTRACT($AM233,"/x/([A-Za-z0-9]+)")&amp;".png"),1),"⚠️ link tidak dikenali"))</f>
        <v/>
      </c>
      <c r="AO233" s="68"/>
      <c r="AP233" s="58" t="str">
        <f>IF($AO233="","",IFERROR(_xlfn.IMAGE(IF(REGEXMATCH($AO233,"\.(png|jpg|jpeg|gif)$"),$AO233,"https://s3.tradingview.com/snapshots/"&amp;LOWER(MID(REGEXEXTRACT($AO233,"/x/([A-Za-z0-9]+)"),1,1))&amp;"/"&amp;REGEXEXTRACT($AO233,"/x/([A-Za-z0-9]+)")&amp;".png"),1),"⚠️ link tidak dikenali"))</f>
        <v/>
      </c>
      <c r="AQ233" s="66">
        <f>IF($Z233="",0,IF(AND(OR('📊 Dashboard'!$B$4="(Semua)",$F233='📊 Dashboard'!$B$4),OR('📊 Dashboard'!$B$5="(Semua)",$H233='📊 Dashboard'!$B$5),OR('📊 Dashboard'!$B$6="(Semua)",$E233='📊 Dashboard'!$B$6),OR('📊 Dashboard'!$B$7="(Semua)",$AF233='📊 Dashboard'!$B$7),OR('📊 Dashboard'!$B$8="(Semua)",$AG233='📊 Dashboard'!$B$8),OR('📊 Dashboard'!$B$9="(Semua)",$K233='📊 Dashboard'!$B$9)),1,0))</f>
        <v>0</v>
      </c>
      <c r="AR233" s="69"/>
    </row>
    <row r="234" ht="58" customHeight="1" spans="1:44">
      <c r="A234" s="58" t="str">
        <f t="shared" si="21"/>
        <v/>
      </c>
      <c r="B234" s="59"/>
      <c r="C234" s="60"/>
      <c r="D234" s="60"/>
      <c r="E234" s="58" t="str">
        <f t="shared" si="22"/>
        <v/>
      </c>
      <c r="F234" s="61"/>
      <c r="G234" s="61"/>
      <c r="H234" s="61"/>
      <c r="I234" s="61"/>
      <c r="J234" s="61"/>
      <c r="K234" s="61"/>
      <c r="L234" s="61"/>
      <c r="M234" s="61"/>
      <c r="N234" s="62"/>
      <c r="O234" s="62"/>
      <c r="P234" s="62"/>
      <c r="Q234" s="62"/>
      <c r="R234" s="63" t="str">
        <f>IFERROR(IF(OR($N234="",$O234="",$F234=""),"",ROUND(('⚙️ Setelan'!$B$3*'⚙️ Setelan'!$B$4/100)/(ABS($N234-$O234)*VLOOKUP($F234,'⚙️ Setelan'!$A$14:$F$20,4,FALSE)),2)),"")</f>
        <v/>
      </c>
      <c r="S234" s="64"/>
      <c r="T234" s="65" t="str">
        <f>IFERROR(IF(OR($N234="",$O234="",$S234=""),"",ABS($N234-$O234)*$S234*VLOOKUP($F234,'⚙️ Setelan'!$A$14:$F$20,4,FALSE)),"")</f>
        <v/>
      </c>
      <c r="U234" s="63" t="str">
        <f t="shared" si="23"/>
        <v/>
      </c>
      <c r="V234" s="65" t="str">
        <f>IFERROR(IF(OR($Q234="",$N234="",$S234=""),"",($Q234-$N234)*IF($G234="Buy",1,-1)*$S234*VLOOKUP($F234,'⚙️ Setelan'!$A$14:$F$20,4,FALSE)),"")</f>
        <v/>
      </c>
      <c r="W234" s="65" t="str">
        <f>IFERROR(IF(OR($S234="",$F234=""),"",$S234*VLOOKUP($F234,'⚙️ Setelan'!$A$14:$F$20,5,FALSE)),"")</f>
        <v/>
      </c>
      <c r="X234" s="65" t="str">
        <f t="shared" si="24"/>
        <v/>
      </c>
      <c r="Y234" s="63" t="str">
        <f t="shared" si="25"/>
        <v/>
      </c>
      <c r="Z234" s="58" t="str">
        <f t="shared" si="26"/>
        <v/>
      </c>
      <c r="AA234" s="66" t="str">
        <f t="shared" si="27"/>
        <v/>
      </c>
      <c r="AB234" s="62"/>
      <c r="AC234" s="62"/>
      <c r="AD234" s="63" t="str">
        <f>IFERROR(IF(OR($AB234="",$T234="",$T234=0),"",ROUND(ABS($N234-$AB234)*$S234*VLOOKUP($F234,'⚙️ Setelan'!$A$14:$F$20,4,FALSE)/$T234,2)),"")</f>
        <v/>
      </c>
      <c r="AE234" s="63" t="str">
        <f>IFERROR(IF(OR($AC234="",$T234="",$T234=0),"",ROUND(ABS($AC234-$N234)*$S234*VLOOKUP($F234,'⚙️ Setelan'!$A$14:$F$20,4,FALSE)/$T234,2)),"")</f>
        <v/>
      </c>
      <c r="AF234" s="61"/>
      <c r="AG234" s="61"/>
      <c r="AH234" s="61"/>
      <c r="AI234" s="61"/>
      <c r="AJ234" s="61"/>
      <c r="AK234" s="67"/>
      <c r="AL234" s="58" t="str">
        <f>IF(OR($C234="",$B234=""),"",IF(AND($Z233="Loss",$B234=$B233,MOD($C234-$D233,1)*1440&lt;'⚙️ Setelan'!$B$9),"⚠️ Revenge",""))</f>
        <v/>
      </c>
      <c r="AM234" s="68"/>
      <c r="AN234" s="58" t="str">
        <f>IF($AM234="","",IFERROR(_xlfn.IMAGE(IF(REGEXMATCH($AM234,"\.(png|jpg|jpeg|gif)$"),$AM234,"https://s3.tradingview.com/snapshots/"&amp;LOWER(MID(REGEXEXTRACT($AM234,"/x/([A-Za-z0-9]+)"),1,1))&amp;"/"&amp;REGEXEXTRACT($AM234,"/x/([A-Za-z0-9]+)")&amp;".png"),1),"⚠️ link tidak dikenali"))</f>
        <v/>
      </c>
      <c r="AO234" s="68"/>
      <c r="AP234" s="58" t="str">
        <f>IF($AO234="","",IFERROR(_xlfn.IMAGE(IF(REGEXMATCH($AO234,"\.(png|jpg|jpeg|gif)$"),$AO234,"https://s3.tradingview.com/snapshots/"&amp;LOWER(MID(REGEXEXTRACT($AO234,"/x/([A-Za-z0-9]+)"),1,1))&amp;"/"&amp;REGEXEXTRACT($AO234,"/x/([A-Za-z0-9]+)")&amp;".png"),1),"⚠️ link tidak dikenali"))</f>
        <v/>
      </c>
      <c r="AQ234" s="66">
        <f>IF($Z234="",0,IF(AND(OR('📊 Dashboard'!$B$4="(Semua)",$F234='📊 Dashboard'!$B$4),OR('📊 Dashboard'!$B$5="(Semua)",$H234='📊 Dashboard'!$B$5),OR('📊 Dashboard'!$B$6="(Semua)",$E234='📊 Dashboard'!$B$6),OR('📊 Dashboard'!$B$7="(Semua)",$AF234='📊 Dashboard'!$B$7),OR('📊 Dashboard'!$B$8="(Semua)",$AG234='📊 Dashboard'!$B$8),OR('📊 Dashboard'!$B$9="(Semua)",$K234='📊 Dashboard'!$B$9)),1,0))</f>
        <v>0</v>
      </c>
      <c r="AR234" s="69"/>
    </row>
    <row r="235" ht="58" customHeight="1" spans="1:44">
      <c r="A235" s="58" t="str">
        <f t="shared" si="21"/>
        <v/>
      </c>
      <c r="B235" s="59"/>
      <c r="C235" s="60"/>
      <c r="D235" s="60"/>
      <c r="E235" s="58" t="str">
        <f t="shared" si="22"/>
        <v/>
      </c>
      <c r="F235" s="61"/>
      <c r="G235" s="61"/>
      <c r="H235" s="61"/>
      <c r="I235" s="61"/>
      <c r="J235" s="61"/>
      <c r="K235" s="61"/>
      <c r="L235" s="61"/>
      <c r="M235" s="61"/>
      <c r="N235" s="62"/>
      <c r="O235" s="62"/>
      <c r="P235" s="62"/>
      <c r="Q235" s="62"/>
      <c r="R235" s="63" t="str">
        <f>IFERROR(IF(OR($N235="",$O235="",$F235=""),"",ROUND(('⚙️ Setelan'!$B$3*'⚙️ Setelan'!$B$4/100)/(ABS($N235-$O235)*VLOOKUP($F235,'⚙️ Setelan'!$A$14:$F$20,4,FALSE)),2)),"")</f>
        <v/>
      </c>
      <c r="S235" s="64"/>
      <c r="T235" s="65" t="str">
        <f>IFERROR(IF(OR($N235="",$O235="",$S235=""),"",ABS($N235-$O235)*$S235*VLOOKUP($F235,'⚙️ Setelan'!$A$14:$F$20,4,FALSE)),"")</f>
        <v/>
      </c>
      <c r="U235" s="63" t="str">
        <f t="shared" si="23"/>
        <v/>
      </c>
      <c r="V235" s="65" t="str">
        <f>IFERROR(IF(OR($Q235="",$N235="",$S235=""),"",($Q235-$N235)*IF($G235="Buy",1,-1)*$S235*VLOOKUP($F235,'⚙️ Setelan'!$A$14:$F$20,4,FALSE)),"")</f>
        <v/>
      </c>
      <c r="W235" s="65" t="str">
        <f>IFERROR(IF(OR($S235="",$F235=""),"",$S235*VLOOKUP($F235,'⚙️ Setelan'!$A$14:$F$20,5,FALSE)),"")</f>
        <v/>
      </c>
      <c r="X235" s="65" t="str">
        <f t="shared" si="24"/>
        <v/>
      </c>
      <c r="Y235" s="63" t="str">
        <f t="shared" si="25"/>
        <v/>
      </c>
      <c r="Z235" s="58" t="str">
        <f t="shared" si="26"/>
        <v/>
      </c>
      <c r="AA235" s="66" t="str">
        <f t="shared" si="27"/>
        <v/>
      </c>
      <c r="AB235" s="62"/>
      <c r="AC235" s="62"/>
      <c r="AD235" s="63" t="str">
        <f>IFERROR(IF(OR($AB235="",$T235="",$T235=0),"",ROUND(ABS($N235-$AB235)*$S235*VLOOKUP($F235,'⚙️ Setelan'!$A$14:$F$20,4,FALSE)/$T235,2)),"")</f>
        <v/>
      </c>
      <c r="AE235" s="63" t="str">
        <f>IFERROR(IF(OR($AC235="",$T235="",$T235=0),"",ROUND(ABS($AC235-$N235)*$S235*VLOOKUP($F235,'⚙️ Setelan'!$A$14:$F$20,4,FALSE)/$T235,2)),"")</f>
        <v/>
      </c>
      <c r="AF235" s="61"/>
      <c r="AG235" s="61"/>
      <c r="AH235" s="61"/>
      <c r="AI235" s="61"/>
      <c r="AJ235" s="61"/>
      <c r="AK235" s="67"/>
      <c r="AL235" s="58" t="str">
        <f>IF(OR($C235="",$B235=""),"",IF(AND($Z234="Loss",$B235=$B234,MOD($C235-$D234,1)*1440&lt;'⚙️ Setelan'!$B$9),"⚠️ Revenge",""))</f>
        <v/>
      </c>
      <c r="AM235" s="68"/>
      <c r="AN235" s="58" t="str">
        <f>IF($AM235="","",IFERROR(_xlfn.IMAGE(IF(REGEXMATCH($AM235,"\.(png|jpg|jpeg|gif)$"),$AM235,"https://s3.tradingview.com/snapshots/"&amp;LOWER(MID(REGEXEXTRACT($AM235,"/x/([A-Za-z0-9]+)"),1,1))&amp;"/"&amp;REGEXEXTRACT($AM235,"/x/([A-Za-z0-9]+)")&amp;".png"),1),"⚠️ link tidak dikenali"))</f>
        <v/>
      </c>
      <c r="AO235" s="68"/>
      <c r="AP235" s="58" t="str">
        <f>IF($AO235="","",IFERROR(_xlfn.IMAGE(IF(REGEXMATCH($AO235,"\.(png|jpg|jpeg|gif)$"),$AO235,"https://s3.tradingview.com/snapshots/"&amp;LOWER(MID(REGEXEXTRACT($AO235,"/x/([A-Za-z0-9]+)"),1,1))&amp;"/"&amp;REGEXEXTRACT($AO235,"/x/([A-Za-z0-9]+)")&amp;".png"),1),"⚠️ link tidak dikenali"))</f>
        <v/>
      </c>
      <c r="AQ235" s="66">
        <f>IF($Z235="",0,IF(AND(OR('📊 Dashboard'!$B$4="(Semua)",$F235='📊 Dashboard'!$B$4),OR('📊 Dashboard'!$B$5="(Semua)",$H235='📊 Dashboard'!$B$5),OR('📊 Dashboard'!$B$6="(Semua)",$E235='📊 Dashboard'!$B$6),OR('📊 Dashboard'!$B$7="(Semua)",$AF235='📊 Dashboard'!$B$7),OR('📊 Dashboard'!$B$8="(Semua)",$AG235='📊 Dashboard'!$B$8),OR('📊 Dashboard'!$B$9="(Semua)",$K235='📊 Dashboard'!$B$9)),1,0))</f>
        <v>0</v>
      </c>
      <c r="AR235" s="69"/>
    </row>
    <row r="236" ht="58" customHeight="1" spans="1:44">
      <c r="A236" s="58" t="str">
        <f t="shared" si="21"/>
        <v/>
      </c>
      <c r="B236" s="59"/>
      <c r="C236" s="60"/>
      <c r="D236" s="60"/>
      <c r="E236" s="58" t="str">
        <f t="shared" si="22"/>
        <v/>
      </c>
      <c r="F236" s="61"/>
      <c r="G236" s="61"/>
      <c r="H236" s="61"/>
      <c r="I236" s="61"/>
      <c r="J236" s="61"/>
      <c r="K236" s="61"/>
      <c r="L236" s="61"/>
      <c r="M236" s="61"/>
      <c r="N236" s="62"/>
      <c r="O236" s="62"/>
      <c r="P236" s="62"/>
      <c r="Q236" s="62"/>
      <c r="R236" s="63" t="str">
        <f>IFERROR(IF(OR($N236="",$O236="",$F236=""),"",ROUND(('⚙️ Setelan'!$B$3*'⚙️ Setelan'!$B$4/100)/(ABS($N236-$O236)*VLOOKUP($F236,'⚙️ Setelan'!$A$14:$F$20,4,FALSE)),2)),"")</f>
        <v/>
      </c>
      <c r="S236" s="64"/>
      <c r="T236" s="65" t="str">
        <f>IFERROR(IF(OR($N236="",$O236="",$S236=""),"",ABS($N236-$O236)*$S236*VLOOKUP($F236,'⚙️ Setelan'!$A$14:$F$20,4,FALSE)),"")</f>
        <v/>
      </c>
      <c r="U236" s="63" t="str">
        <f t="shared" si="23"/>
        <v/>
      </c>
      <c r="V236" s="65" t="str">
        <f>IFERROR(IF(OR($Q236="",$N236="",$S236=""),"",($Q236-$N236)*IF($G236="Buy",1,-1)*$S236*VLOOKUP($F236,'⚙️ Setelan'!$A$14:$F$20,4,FALSE)),"")</f>
        <v/>
      </c>
      <c r="W236" s="65" t="str">
        <f>IFERROR(IF(OR($S236="",$F236=""),"",$S236*VLOOKUP($F236,'⚙️ Setelan'!$A$14:$F$20,5,FALSE)),"")</f>
        <v/>
      </c>
      <c r="X236" s="65" t="str">
        <f t="shared" si="24"/>
        <v/>
      </c>
      <c r="Y236" s="63" t="str">
        <f t="shared" si="25"/>
        <v/>
      </c>
      <c r="Z236" s="58" t="str">
        <f t="shared" si="26"/>
        <v/>
      </c>
      <c r="AA236" s="66" t="str">
        <f t="shared" si="27"/>
        <v/>
      </c>
      <c r="AB236" s="62"/>
      <c r="AC236" s="62"/>
      <c r="AD236" s="63" t="str">
        <f>IFERROR(IF(OR($AB236="",$T236="",$T236=0),"",ROUND(ABS($N236-$AB236)*$S236*VLOOKUP($F236,'⚙️ Setelan'!$A$14:$F$20,4,FALSE)/$T236,2)),"")</f>
        <v/>
      </c>
      <c r="AE236" s="63" t="str">
        <f>IFERROR(IF(OR($AC236="",$T236="",$T236=0),"",ROUND(ABS($AC236-$N236)*$S236*VLOOKUP($F236,'⚙️ Setelan'!$A$14:$F$20,4,FALSE)/$T236,2)),"")</f>
        <v/>
      </c>
      <c r="AF236" s="61"/>
      <c r="AG236" s="61"/>
      <c r="AH236" s="61"/>
      <c r="AI236" s="61"/>
      <c r="AJ236" s="61"/>
      <c r="AK236" s="67"/>
      <c r="AL236" s="58" t="str">
        <f>IF(OR($C236="",$B236=""),"",IF(AND($Z235="Loss",$B236=$B235,MOD($C236-$D235,1)*1440&lt;'⚙️ Setelan'!$B$9),"⚠️ Revenge",""))</f>
        <v/>
      </c>
      <c r="AM236" s="68"/>
      <c r="AN236" s="58" t="str">
        <f>IF($AM236="","",IFERROR(_xlfn.IMAGE(IF(REGEXMATCH($AM236,"\.(png|jpg|jpeg|gif)$"),$AM236,"https://s3.tradingview.com/snapshots/"&amp;LOWER(MID(REGEXEXTRACT($AM236,"/x/([A-Za-z0-9]+)"),1,1))&amp;"/"&amp;REGEXEXTRACT($AM236,"/x/([A-Za-z0-9]+)")&amp;".png"),1),"⚠️ link tidak dikenali"))</f>
        <v/>
      </c>
      <c r="AO236" s="68"/>
      <c r="AP236" s="58" t="str">
        <f>IF($AO236="","",IFERROR(_xlfn.IMAGE(IF(REGEXMATCH($AO236,"\.(png|jpg|jpeg|gif)$"),$AO236,"https://s3.tradingview.com/snapshots/"&amp;LOWER(MID(REGEXEXTRACT($AO236,"/x/([A-Za-z0-9]+)"),1,1))&amp;"/"&amp;REGEXEXTRACT($AO236,"/x/([A-Za-z0-9]+)")&amp;".png"),1),"⚠️ link tidak dikenali"))</f>
        <v/>
      </c>
      <c r="AQ236" s="66">
        <f>IF($Z236="",0,IF(AND(OR('📊 Dashboard'!$B$4="(Semua)",$F236='📊 Dashboard'!$B$4),OR('📊 Dashboard'!$B$5="(Semua)",$H236='📊 Dashboard'!$B$5),OR('📊 Dashboard'!$B$6="(Semua)",$E236='📊 Dashboard'!$B$6),OR('📊 Dashboard'!$B$7="(Semua)",$AF236='📊 Dashboard'!$B$7),OR('📊 Dashboard'!$B$8="(Semua)",$AG236='📊 Dashboard'!$B$8),OR('📊 Dashboard'!$B$9="(Semua)",$K236='📊 Dashboard'!$B$9)),1,0))</f>
        <v>0</v>
      </c>
      <c r="AR236" s="69"/>
    </row>
    <row r="237" ht="58" customHeight="1" spans="1:44">
      <c r="A237" s="58" t="str">
        <f t="shared" si="21"/>
        <v/>
      </c>
      <c r="B237" s="59"/>
      <c r="C237" s="60"/>
      <c r="D237" s="60"/>
      <c r="E237" s="58" t="str">
        <f t="shared" si="22"/>
        <v/>
      </c>
      <c r="F237" s="61"/>
      <c r="G237" s="61"/>
      <c r="H237" s="61"/>
      <c r="I237" s="61"/>
      <c r="J237" s="61"/>
      <c r="K237" s="61"/>
      <c r="L237" s="61"/>
      <c r="M237" s="61"/>
      <c r="N237" s="62"/>
      <c r="O237" s="62"/>
      <c r="P237" s="62"/>
      <c r="Q237" s="62"/>
      <c r="R237" s="63" t="str">
        <f>IFERROR(IF(OR($N237="",$O237="",$F237=""),"",ROUND(('⚙️ Setelan'!$B$3*'⚙️ Setelan'!$B$4/100)/(ABS($N237-$O237)*VLOOKUP($F237,'⚙️ Setelan'!$A$14:$F$20,4,FALSE)),2)),"")</f>
        <v/>
      </c>
      <c r="S237" s="64"/>
      <c r="T237" s="65" t="str">
        <f>IFERROR(IF(OR($N237="",$O237="",$S237=""),"",ABS($N237-$O237)*$S237*VLOOKUP($F237,'⚙️ Setelan'!$A$14:$F$20,4,FALSE)),"")</f>
        <v/>
      </c>
      <c r="U237" s="63" t="str">
        <f t="shared" si="23"/>
        <v/>
      </c>
      <c r="V237" s="65" t="str">
        <f>IFERROR(IF(OR($Q237="",$N237="",$S237=""),"",($Q237-$N237)*IF($G237="Buy",1,-1)*$S237*VLOOKUP($F237,'⚙️ Setelan'!$A$14:$F$20,4,FALSE)),"")</f>
        <v/>
      </c>
      <c r="W237" s="65" t="str">
        <f>IFERROR(IF(OR($S237="",$F237=""),"",$S237*VLOOKUP($F237,'⚙️ Setelan'!$A$14:$F$20,5,FALSE)),"")</f>
        <v/>
      </c>
      <c r="X237" s="65" t="str">
        <f t="shared" si="24"/>
        <v/>
      </c>
      <c r="Y237" s="63" t="str">
        <f t="shared" si="25"/>
        <v/>
      </c>
      <c r="Z237" s="58" t="str">
        <f t="shared" si="26"/>
        <v/>
      </c>
      <c r="AA237" s="66" t="str">
        <f t="shared" si="27"/>
        <v/>
      </c>
      <c r="AB237" s="62"/>
      <c r="AC237" s="62"/>
      <c r="AD237" s="63" t="str">
        <f>IFERROR(IF(OR($AB237="",$T237="",$T237=0),"",ROUND(ABS($N237-$AB237)*$S237*VLOOKUP($F237,'⚙️ Setelan'!$A$14:$F$20,4,FALSE)/$T237,2)),"")</f>
        <v/>
      </c>
      <c r="AE237" s="63" t="str">
        <f>IFERROR(IF(OR($AC237="",$T237="",$T237=0),"",ROUND(ABS($AC237-$N237)*$S237*VLOOKUP($F237,'⚙️ Setelan'!$A$14:$F$20,4,FALSE)/$T237,2)),"")</f>
        <v/>
      </c>
      <c r="AF237" s="61"/>
      <c r="AG237" s="61"/>
      <c r="AH237" s="61"/>
      <c r="AI237" s="61"/>
      <c r="AJ237" s="61"/>
      <c r="AK237" s="67"/>
      <c r="AL237" s="58" t="str">
        <f>IF(OR($C237="",$B237=""),"",IF(AND($Z236="Loss",$B237=$B236,MOD($C237-$D236,1)*1440&lt;'⚙️ Setelan'!$B$9),"⚠️ Revenge",""))</f>
        <v/>
      </c>
      <c r="AM237" s="68"/>
      <c r="AN237" s="58" t="str">
        <f>IF($AM237="","",IFERROR(_xlfn.IMAGE(IF(REGEXMATCH($AM237,"\.(png|jpg|jpeg|gif)$"),$AM237,"https://s3.tradingview.com/snapshots/"&amp;LOWER(MID(REGEXEXTRACT($AM237,"/x/([A-Za-z0-9]+)"),1,1))&amp;"/"&amp;REGEXEXTRACT($AM237,"/x/([A-Za-z0-9]+)")&amp;".png"),1),"⚠️ link tidak dikenali"))</f>
        <v/>
      </c>
      <c r="AO237" s="68"/>
      <c r="AP237" s="58" t="str">
        <f>IF($AO237="","",IFERROR(_xlfn.IMAGE(IF(REGEXMATCH($AO237,"\.(png|jpg|jpeg|gif)$"),$AO237,"https://s3.tradingview.com/snapshots/"&amp;LOWER(MID(REGEXEXTRACT($AO237,"/x/([A-Za-z0-9]+)"),1,1))&amp;"/"&amp;REGEXEXTRACT($AO237,"/x/([A-Za-z0-9]+)")&amp;".png"),1),"⚠️ link tidak dikenali"))</f>
        <v/>
      </c>
      <c r="AQ237" s="66">
        <f>IF($Z237="",0,IF(AND(OR('📊 Dashboard'!$B$4="(Semua)",$F237='📊 Dashboard'!$B$4),OR('📊 Dashboard'!$B$5="(Semua)",$H237='📊 Dashboard'!$B$5),OR('📊 Dashboard'!$B$6="(Semua)",$E237='📊 Dashboard'!$B$6),OR('📊 Dashboard'!$B$7="(Semua)",$AF237='📊 Dashboard'!$B$7),OR('📊 Dashboard'!$B$8="(Semua)",$AG237='📊 Dashboard'!$B$8),OR('📊 Dashboard'!$B$9="(Semua)",$K237='📊 Dashboard'!$B$9)),1,0))</f>
        <v>0</v>
      </c>
      <c r="AR237" s="69"/>
    </row>
    <row r="238" ht="58" customHeight="1" spans="1:44">
      <c r="A238" s="58" t="str">
        <f t="shared" si="21"/>
        <v/>
      </c>
      <c r="B238" s="59"/>
      <c r="C238" s="60"/>
      <c r="D238" s="60"/>
      <c r="E238" s="58" t="str">
        <f t="shared" si="22"/>
        <v/>
      </c>
      <c r="F238" s="61"/>
      <c r="G238" s="61"/>
      <c r="H238" s="61"/>
      <c r="I238" s="61"/>
      <c r="J238" s="61"/>
      <c r="K238" s="61"/>
      <c r="L238" s="61"/>
      <c r="M238" s="61"/>
      <c r="N238" s="62"/>
      <c r="O238" s="62"/>
      <c r="P238" s="62"/>
      <c r="Q238" s="62"/>
      <c r="R238" s="63" t="str">
        <f>IFERROR(IF(OR($N238="",$O238="",$F238=""),"",ROUND(('⚙️ Setelan'!$B$3*'⚙️ Setelan'!$B$4/100)/(ABS($N238-$O238)*VLOOKUP($F238,'⚙️ Setelan'!$A$14:$F$20,4,FALSE)),2)),"")</f>
        <v/>
      </c>
      <c r="S238" s="64"/>
      <c r="T238" s="65" t="str">
        <f>IFERROR(IF(OR($N238="",$O238="",$S238=""),"",ABS($N238-$O238)*$S238*VLOOKUP($F238,'⚙️ Setelan'!$A$14:$F$20,4,FALSE)),"")</f>
        <v/>
      </c>
      <c r="U238" s="63" t="str">
        <f t="shared" si="23"/>
        <v/>
      </c>
      <c r="V238" s="65" t="str">
        <f>IFERROR(IF(OR($Q238="",$N238="",$S238=""),"",($Q238-$N238)*IF($G238="Buy",1,-1)*$S238*VLOOKUP($F238,'⚙️ Setelan'!$A$14:$F$20,4,FALSE)),"")</f>
        <v/>
      </c>
      <c r="W238" s="65" t="str">
        <f>IFERROR(IF(OR($S238="",$F238=""),"",$S238*VLOOKUP($F238,'⚙️ Setelan'!$A$14:$F$20,5,FALSE)),"")</f>
        <v/>
      </c>
      <c r="X238" s="65" t="str">
        <f t="shared" si="24"/>
        <v/>
      </c>
      <c r="Y238" s="63" t="str">
        <f t="shared" si="25"/>
        <v/>
      </c>
      <c r="Z238" s="58" t="str">
        <f t="shared" si="26"/>
        <v/>
      </c>
      <c r="AA238" s="66" t="str">
        <f t="shared" si="27"/>
        <v/>
      </c>
      <c r="AB238" s="62"/>
      <c r="AC238" s="62"/>
      <c r="AD238" s="63" t="str">
        <f>IFERROR(IF(OR($AB238="",$T238="",$T238=0),"",ROUND(ABS($N238-$AB238)*$S238*VLOOKUP($F238,'⚙️ Setelan'!$A$14:$F$20,4,FALSE)/$T238,2)),"")</f>
        <v/>
      </c>
      <c r="AE238" s="63" t="str">
        <f>IFERROR(IF(OR($AC238="",$T238="",$T238=0),"",ROUND(ABS($AC238-$N238)*$S238*VLOOKUP($F238,'⚙️ Setelan'!$A$14:$F$20,4,FALSE)/$T238,2)),"")</f>
        <v/>
      </c>
      <c r="AF238" s="61"/>
      <c r="AG238" s="61"/>
      <c r="AH238" s="61"/>
      <c r="AI238" s="61"/>
      <c r="AJ238" s="61"/>
      <c r="AK238" s="67"/>
      <c r="AL238" s="58" t="str">
        <f>IF(OR($C238="",$B238=""),"",IF(AND($Z237="Loss",$B238=$B237,MOD($C238-$D237,1)*1440&lt;'⚙️ Setelan'!$B$9),"⚠️ Revenge",""))</f>
        <v/>
      </c>
      <c r="AM238" s="68"/>
      <c r="AN238" s="58" t="str">
        <f>IF($AM238="","",IFERROR(_xlfn.IMAGE(IF(REGEXMATCH($AM238,"\.(png|jpg|jpeg|gif)$"),$AM238,"https://s3.tradingview.com/snapshots/"&amp;LOWER(MID(REGEXEXTRACT($AM238,"/x/([A-Za-z0-9]+)"),1,1))&amp;"/"&amp;REGEXEXTRACT($AM238,"/x/([A-Za-z0-9]+)")&amp;".png"),1),"⚠️ link tidak dikenali"))</f>
        <v/>
      </c>
      <c r="AO238" s="68"/>
      <c r="AP238" s="58" t="str">
        <f>IF($AO238="","",IFERROR(_xlfn.IMAGE(IF(REGEXMATCH($AO238,"\.(png|jpg|jpeg|gif)$"),$AO238,"https://s3.tradingview.com/snapshots/"&amp;LOWER(MID(REGEXEXTRACT($AO238,"/x/([A-Za-z0-9]+)"),1,1))&amp;"/"&amp;REGEXEXTRACT($AO238,"/x/([A-Za-z0-9]+)")&amp;".png"),1),"⚠️ link tidak dikenali"))</f>
        <v/>
      </c>
      <c r="AQ238" s="66">
        <f>IF($Z238="",0,IF(AND(OR('📊 Dashboard'!$B$4="(Semua)",$F238='📊 Dashboard'!$B$4),OR('📊 Dashboard'!$B$5="(Semua)",$H238='📊 Dashboard'!$B$5),OR('📊 Dashboard'!$B$6="(Semua)",$E238='📊 Dashboard'!$B$6),OR('📊 Dashboard'!$B$7="(Semua)",$AF238='📊 Dashboard'!$B$7),OR('📊 Dashboard'!$B$8="(Semua)",$AG238='📊 Dashboard'!$B$8),OR('📊 Dashboard'!$B$9="(Semua)",$K238='📊 Dashboard'!$B$9)),1,0))</f>
        <v>0</v>
      </c>
      <c r="AR238" s="69"/>
    </row>
    <row r="239" ht="58" customHeight="1" spans="1:44">
      <c r="A239" s="58" t="str">
        <f t="shared" si="21"/>
        <v/>
      </c>
      <c r="B239" s="59"/>
      <c r="C239" s="60"/>
      <c r="D239" s="60"/>
      <c r="E239" s="58" t="str">
        <f t="shared" si="22"/>
        <v/>
      </c>
      <c r="F239" s="61"/>
      <c r="G239" s="61"/>
      <c r="H239" s="61"/>
      <c r="I239" s="61"/>
      <c r="J239" s="61"/>
      <c r="K239" s="61"/>
      <c r="L239" s="61"/>
      <c r="M239" s="61"/>
      <c r="N239" s="62"/>
      <c r="O239" s="62"/>
      <c r="P239" s="62"/>
      <c r="Q239" s="62"/>
      <c r="R239" s="63" t="str">
        <f>IFERROR(IF(OR($N239="",$O239="",$F239=""),"",ROUND(('⚙️ Setelan'!$B$3*'⚙️ Setelan'!$B$4/100)/(ABS($N239-$O239)*VLOOKUP($F239,'⚙️ Setelan'!$A$14:$F$20,4,FALSE)),2)),"")</f>
        <v/>
      </c>
      <c r="S239" s="64"/>
      <c r="T239" s="65" t="str">
        <f>IFERROR(IF(OR($N239="",$O239="",$S239=""),"",ABS($N239-$O239)*$S239*VLOOKUP($F239,'⚙️ Setelan'!$A$14:$F$20,4,FALSE)),"")</f>
        <v/>
      </c>
      <c r="U239" s="63" t="str">
        <f t="shared" si="23"/>
        <v/>
      </c>
      <c r="V239" s="65" t="str">
        <f>IFERROR(IF(OR($Q239="",$N239="",$S239=""),"",($Q239-$N239)*IF($G239="Buy",1,-1)*$S239*VLOOKUP($F239,'⚙️ Setelan'!$A$14:$F$20,4,FALSE)),"")</f>
        <v/>
      </c>
      <c r="W239" s="65" t="str">
        <f>IFERROR(IF(OR($S239="",$F239=""),"",$S239*VLOOKUP($F239,'⚙️ Setelan'!$A$14:$F$20,5,FALSE)),"")</f>
        <v/>
      </c>
      <c r="X239" s="65" t="str">
        <f t="shared" si="24"/>
        <v/>
      </c>
      <c r="Y239" s="63" t="str">
        <f t="shared" si="25"/>
        <v/>
      </c>
      <c r="Z239" s="58" t="str">
        <f t="shared" si="26"/>
        <v/>
      </c>
      <c r="AA239" s="66" t="str">
        <f t="shared" si="27"/>
        <v/>
      </c>
      <c r="AB239" s="62"/>
      <c r="AC239" s="62"/>
      <c r="AD239" s="63" t="str">
        <f>IFERROR(IF(OR($AB239="",$T239="",$T239=0),"",ROUND(ABS($N239-$AB239)*$S239*VLOOKUP($F239,'⚙️ Setelan'!$A$14:$F$20,4,FALSE)/$T239,2)),"")</f>
        <v/>
      </c>
      <c r="AE239" s="63" t="str">
        <f>IFERROR(IF(OR($AC239="",$T239="",$T239=0),"",ROUND(ABS($AC239-$N239)*$S239*VLOOKUP($F239,'⚙️ Setelan'!$A$14:$F$20,4,FALSE)/$T239,2)),"")</f>
        <v/>
      </c>
      <c r="AF239" s="61"/>
      <c r="AG239" s="61"/>
      <c r="AH239" s="61"/>
      <c r="AI239" s="61"/>
      <c r="AJ239" s="61"/>
      <c r="AK239" s="67"/>
      <c r="AL239" s="58" t="str">
        <f>IF(OR($C239="",$B239=""),"",IF(AND($Z238="Loss",$B239=$B238,MOD($C239-$D238,1)*1440&lt;'⚙️ Setelan'!$B$9),"⚠️ Revenge",""))</f>
        <v/>
      </c>
      <c r="AM239" s="68"/>
      <c r="AN239" s="58" t="str">
        <f>IF($AM239="","",IFERROR(_xlfn.IMAGE(IF(REGEXMATCH($AM239,"\.(png|jpg|jpeg|gif)$"),$AM239,"https://s3.tradingview.com/snapshots/"&amp;LOWER(MID(REGEXEXTRACT($AM239,"/x/([A-Za-z0-9]+)"),1,1))&amp;"/"&amp;REGEXEXTRACT($AM239,"/x/([A-Za-z0-9]+)")&amp;".png"),1),"⚠️ link tidak dikenali"))</f>
        <v/>
      </c>
      <c r="AO239" s="68"/>
      <c r="AP239" s="58" t="str">
        <f>IF($AO239="","",IFERROR(_xlfn.IMAGE(IF(REGEXMATCH($AO239,"\.(png|jpg|jpeg|gif)$"),$AO239,"https://s3.tradingview.com/snapshots/"&amp;LOWER(MID(REGEXEXTRACT($AO239,"/x/([A-Za-z0-9]+)"),1,1))&amp;"/"&amp;REGEXEXTRACT($AO239,"/x/([A-Za-z0-9]+)")&amp;".png"),1),"⚠️ link tidak dikenali"))</f>
        <v/>
      </c>
      <c r="AQ239" s="66">
        <f>IF($Z239="",0,IF(AND(OR('📊 Dashboard'!$B$4="(Semua)",$F239='📊 Dashboard'!$B$4),OR('📊 Dashboard'!$B$5="(Semua)",$H239='📊 Dashboard'!$B$5),OR('📊 Dashboard'!$B$6="(Semua)",$E239='📊 Dashboard'!$B$6),OR('📊 Dashboard'!$B$7="(Semua)",$AF239='📊 Dashboard'!$B$7),OR('📊 Dashboard'!$B$8="(Semua)",$AG239='📊 Dashboard'!$B$8),OR('📊 Dashboard'!$B$9="(Semua)",$K239='📊 Dashboard'!$B$9)),1,0))</f>
        <v>0</v>
      </c>
      <c r="AR239" s="69"/>
    </row>
    <row r="240" ht="58" customHeight="1" spans="1:44">
      <c r="A240" s="58" t="str">
        <f t="shared" si="21"/>
        <v/>
      </c>
      <c r="B240" s="59"/>
      <c r="C240" s="60"/>
      <c r="D240" s="60"/>
      <c r="E240" s="58" t="str">
        <f t="shared" si="22"/>
        <v/>
      </c>
      <c r="F240" s="61"/>
      <c r="G240" s="61"/>
      <c r="H240" s="61"/>
      <c r="I240" s="61"/>
      <c r="J240" s="61"/>
      <c r="K240" s="61"/>
      <c r="L240" s="61"/>
      <c r="M240" s="61"/>
      <c r="N240" s="62"/>
      <c r="O240" s="62"/>
      <c r="P240" s="62"/>
      <c r="Q240" s="62"/>
      <c r="R240" s="63" t="str">
        <f>IFERROR(IF(OR($N240="",$O240="",$F240=""),"",ROUND(('⚙️ Setelan'!$B$3*'⚙️ Setelan'!$B$4/100)/(ABS($N240-$O240)*VLOOKUP($F240,'⚙️ Setelan'!$A$14:$F$20,4,FALSE)),2)),"")</f>
        <v/>
      </c>
      <c r="S240" s="64"/>
      <c r="T240" s="65" t="str">
        <f>IFERROR(IF(OR($N240="",$O240="",$S240=""),"",ABS($N240-$O240)*$S240*VLOOKUP($F240,'⚙️ Setelan'!$A$14:$F$20,4,FALSE)),"")</f>
        <v/>
      </c>
      <c r="U240" s="63" t="str">
        <f t="shared" si="23"/>
        <v/>
      </c>
      <c r="V240" s="65" t="str">
        <f>IFERROR(IF(OR($Q240="",$N240="",$S240=""),"",($Q240-$N240)*IF($G240="Buy",1,-1)*$S240*VLOOKUP($F240,'⚙️ Setelan'!$A$14:$F$20,4,FALSE)),"")</f>
        <v/>
      </c>
      <c r="W240" s="65" t="str">
        <f>IFERROR(IF(OR($S240="",$F240=""),"",$S240*VLOOKUP($F240,'⚙️ Setelan'!$A$14:$F$20,5,FALSE)),"")</f>
        <v/>
      </c>
      <c r="X240" s="65" t="str">
        <f t="shared" si="24"/>
        <v/>
      </c>
      <c r="Y240" s="63" t="str">
        <f t="shared" si="25"/>
        <v/>
      </c>
      <c r="Z240" s="58" t="str">
        <f t="shared" si="26"/>
        <v/>
      </c>
      <c r="AA240" s="66" t="str">
        <f t="shared" si="27"/>
        <v/>
      </c>
      <c r="AB240" s="62"/>
      <c r="AC240" s="62"/>
      <c r="AD240" s="63" t="str">
        <f>IFERROR(IF(OR($AB240="",$T240="",$T240=0),"",ROUND(ABS($N240-$AB240)*$S240*VLOOKUP($F240,'⚙️ Setelan'!$A$14:$F$20,4,FALSE)/$T240,2)),"")</f>
        <v/>
      </c>
      <c r="AE240" s="63" t="str">
        <f>IFERROR(IF(OR($AC240="",$T240="",$T240=0),"",ROUND(ABS($AC240-$N240)*$S240*VLOOKUP($F240,'⚙️ Setelan'!$A$14:$F$20,4,FALSE)/$T240,2)),"")</f>
        <v/>
      </c>
      <c r="AF240" s="61"/>
      <c r="AG240" s="61"/>
      <c r="AH240" s="61"/>
      <c r="AI240" s="61"/>
      <c r="AJ240" s="61"/>
      <c r="AK240" s="67"/>
      <c r="AL240" s="58" t="str">
        <f>IF(OR($C240="",$B240=""),"",IF(AND($Z239="Loss",$B240=$B239,MOD($C240-$D239,1)*1440&lt;'⚙️ Setelan'!$B$9),"⚠️ Revenge",""))</f>
        <v/>
      </c>
      <c r="AM240" s="68"/>
      <c r="AN240" s="58" t="str">
        <f>IF($AM240="","",IFERROR(_xlfn.IMAGE(IF(REGEXMATCH($AM240,"\.(png|jpg|jpeg|gif)$"),$AM240,"https://s3.tradingview.com/snapshots/"&amp;LOWER(MID(REGEXEXTRACT($AM240,"/x/([A-Za-z0-9]+)"),1,1))&amp;"/"&amp;REGEXEXTRACT($AM240,"/x/([A-Za-z0-9]+)")&amp;".png"),1),"⚠️ link tidak dikenali"))</f>
        <v/>
      </c>
      <c r="AO240" s="68"/>
      <c r="AP240" s="58" t="str">
        <f>IF($AO240="","",IFERROR(_xlfn.IMAGE(IF(REGEXMATCH($AO240,"\.(png|jpg|jpeg|gif)$"),$AO240,"https://s3.tradingview.com/snapshots/"&amp;LOWER(MID(REGEXEXTRACT($AO240,"/x/([A-Za-z0-9]+)"),1,1))&amp;"/"&amp;REGEXEXTRACT($AO240,"/x/([A-Za-z0-9]+)")&amp;".png"),1),"⚠️ link tidak dikenali"))</f>
        <v/>
      </c>
      <c r="AQ240" s="66">
        <f>IF($Z240="",0,IF(AND(OR('📊 Dashboard'!$B$4="(Semua)",$F240='📊 Dashboard'!$B$4),OR('📊 Dashboard'!$B$5="(Semua)",$H240='📊 Dashboard'!$B$5),OR('📊 Dashboard'!$B$6="(Semua)",$E240='📊 Dashboard'!$B$6),OR('📊 Dashboard'!$B$7="(Semua)",$AF240='📊 Dashboard'!$B$7),OR('📊 Dashboard'!$B$8="(Semua)",$AG240='📊 Dashboard'!$B$8),OR('📊 Dashboard'!$B$9="(Semua)",$K240='📊 Dashboard'!$B$9)),1,0))</f>
        <v>0</v>
      </c>
      <c r="AR240" s="69"/>
    </row>
    <row r="241" ht="58" customHeight="1" spans="1:44">
      <c r="A241" s="58" t="str">
        <f t="shared" si="21"/>
        <v/>
      </c>
      <c r="B241" s="59"/>
      <c r="C241" s="60"/>
      <c r="D241" s="60"/>
      <c r="E241" s="58" t="str">
        <f t="shared" si="22"/>
        <v/>
      </c>
      <c r="F241" s="61"/>
      <c r="G241" s="61"/>
      <c r="H241" s="61"/>
      <c r="I241" s="61"/>
      <c r="J241" s="61"/>
      <c r="K241" s="61"/>
      <c r="L241" s="61"/>
      <c r="M241" s="61"/>
      <c r="N241" s="62"/>
      <c r="O241" s="62"/>
      <c r="P241" s="62"/>
      <c r="Q241" s="62"/>
      <c r="R241" s="63" t="str">
        <f>IFERROR(IF(OR($N241="",$O241="",$F241=""),"",ROUND(('⚙️ Setelan'!$B$3*'⚙️ Setelan'!$B$4/100)/(ABS($N241-$O241)*VLOOKUP($F241,'⚙️ Setelan'!$A$14:$F$20,4,FALSE)),2)),"")</f>
        <v/>
      </c>
      <c r="S241" s="64"/>
      <c r="T241" s="65" t="str">
        <f>IFERROR(IF(OR($N241="",$O241="",$S241=""),"",ABS($N241-$O241)*$S241*VLOOKUP($F241,'⚙️ Setelan'!$A$14:$F$20,4,FALSE)),"")</f>
        <v/>
      </c>
      <c r="U241" s="63" t="str">
        <f t="shared" si="23"/>
        <v/>
      </c>
      <c r="V241" s="65" t="str">
        <f>IFERROR(IF(OR($Q241="",$N241="",$S241=""),"",($Q241-$N241)*IF($G241="Buy",1,-1)*$S241*VLOOKUP($F241,'⚙️ Setelan'!$A$14:$F$20,4,FALSE)),"")</f>
        <v/>
      </c>
      <c r="W241" s="65" t="str">
        <f>IFERROR(IF(OR($S241="",$F241=""),"",$S241*VLOOKUP($F241,'⚙️ Setelan'!$A$14:$F$20,5,FALSE)),"")</f>
        <v/>
      </c>
      <c r="X241" s="65" t="str">
        <f t="shared" si="24"/>
        <v/>
      </c>
      <c r="Y241" s="63" t="str">
        <f t="shared" si="25"/>
        <v/>
      </c>
      <c r="Z241" s="58" t="str">
        <f t="shared" si="26"/>
        <v/>
      </c>
      <c r="AA241" s="66" t="str">
        <f t="shared" si="27"/>
        <v/>
      </c>
      <c r="AB241" s="62"/>
      <c r="AC241" s="62"/>
      <c r="AD241" s="63" t="str">
        <f>IFERROR(IF(OR($AB241="",$T241="",$T241=0),"",ROUND(ABS($N241-$AB241)*$S241*VLOOKUP($F241,'⚙️ Setelan'!$A$14:$F$20,4,FALSE)/$T241,2)),"")</f>
        <v/>
      </c>
      <c r="AE241" s="63" t="str">
        <f>IFERROR(IF(OR($AC241="",$T241="",$T241=0),"",ROUND(ABS($AC241-$N241)*$S241*VLOOKUP($F241,'⚙️ Setelan'!$A$14:$F$20,4,FALSE)/$T241,2)),"")</f>
        <v/>
      </c>
      <c r="AF241" s="61"/>
      <c r="AG241" s="61"/>
      <c r="AH241" s="61"/>
      <c r="AI241" s="61"/>
      <c r="AJ241" s="61"/>
      <c r="AK241" s="67"/>
      <c r="AL241" s="58" t="str">
        <f>IF(OR($C241="",$B241=""),"",IF(AND($Z240="Loss",$B241=$B240,MOD($C241-$D240,1)*1440&lt;'⚙️ Setelan'!$B$9),"⚠️ Revenge",""))</f>
        <v/>
      </c>
      <c r="AM241" s="68"/>
      <c r="AN241" s="58" t="str">
        <f>IF($AM241="","",IFERROR(_xlfn.IMAGE(IF(REGEXMATCH($AM241,"\.(png|jpg|jpeg|gif)$"),$AM241,"https://s3.tradingview.com/snapshots/"&amp;LOWER(MID(REGEXEXTRACT($AM241,"/x/([A-Za-z0-9]+)"),1,1))&amp;"/"&amp;REGEXEXTRACT($AM241,"/x/([A-Za-z0-9]+)")&amp;".png"),1),"⚠️ link tidak dikenali"))</f>
        <v/>
      </c>
      <c r="AO241" s="68"/>
      <c r="AP241" s="58" t="str">
        <f>IF($AO241="","",IFERROR(_xlfn.IMAGE(IF(REGEXMATCH($AO241,"\.(png|jpg|jpeg|gif)$"),$AO241,"https://s3.tradingview.com/snapshots/"&amp;LOWER(MID(REGEXEXTRACT($AO241,"/x/([A-Za-z0-9]+)"),1,1))&amp;"/"&amp;REGEXEXTRACT($AO241,"/x/([A-Za-z0-9]+)")&amp;".png"),1),"⚠️ link tidak dikenali"))</f>
        <v/>
      </c>
      <c r="AQ241" s="66">
        <f>IF($Z241="",0,IF(AND(OR('📊 Dashboard'!$B$4="(Semua)",$F241='📊 Dashboard'!$B$4),OR('📊 Dashboard'!$B$5="(Semua)",$H241='📊 Dashboard'!$B$5),OR('📊 Dashboard'!$B$6="(Semua)",$E241='📊 Dashboard'!$B$6),OR('📊 Dashboard'!$B$7="(Semua)",$AF241='📊 Dashboard'!$B$7),OR('📊 Dashboard'!$B$8="(Semua)",$AG241='📊 Dashboard'!$B$8),OR('📊 Dashboard'!$B$9="(Semua)",$K241='📊 Dashboard'!$B$9)),1,0))</f>
        <v>0</v>
      </c>
      <c r="AR241" s="69"/>
    </row>
    <row r="242" ht="58" customHeight="1" spans="1:44">
      <c r="A242" s="58" t="str">
        <f t="shared" si="21"/>
        <v/>
      </c>
      <c r="B242" s="59"/>
      <c r="C242" s="60"/>
      <c r="D242" s="60"/>
      <c r="E242" s="58" t="str">
        <f t="shared" si="22"/>
        <v/>
      </c>
      <c r="F242" s="61"/>
      <c r="G242" s="61"/>
      <c r="H242" s="61"/>
      <c r="I242" s="61"/>
      <c r="J242" s="61"/>
      <c r="K242" s="61"/>
      <c r="L242" s="61"/>
      <c r="M242" s="61"/>
      <c r="N242" s="62"/>
      <c r="O242" s="62"/>
      <c r="P242" s="62"/>
      <c r="Q242" s="62"/>
      <c r="R242" s="63" t="str">
        <f>IFERROR(IF(OR($N242="",$O242="",$F242=""),"",ROUND(('⚙️ Setelan'!$B$3*'⚙️ Setelan'!$B$4/100)/(ABS($N242-$O242)*VLOOKUP($F242,'⚙️ Setelan'!$A$14:$F$20,4,FALSE)),2)),"")</f>
        <v/>
      </c>
      <c r="S242" s="64"/>
      <c r="T242" s="65" t="str">
        <f>IFERROR(IF(OR($N242="",$O242="",$S242=""),"",ABS($N242-$O242)*$S242*VLOOKUP($F242,'⚙️ Setelan'!$A$14:$F$20,4,FALSE)),"")</f>
        <v/>
      </c>
      <c r="U242" s="63" t="str">
        <f t="shared" si="23"/>
        <v/>
      </c>
      <c r="V242" s="65" t="str">
        <f>IFERROR(IF(OR($Q242="",$N242="",$S242=""),"",($Q242-$N242)*IF($G242="Buy",1,-1)*$S242*VLOOKUP($F242,'⚙️ Setelan'!$A$14:$F$20,4,FALSE)),"")</f>
        <v/>
      </c>
      <c r="W242" s="65" t="str">
        <f>IFERROR(IF(OR($S242="",$F242=""),"",$S242*VLOOKUP($F242,'⚙️ Setelan'!$A$14:$F$20,5,FALSE)),"")</f>
        <v/>
      </c>
      <c r="X242" s="65" t="str">
        <f t="shared" si="24"/>
        <v/>
      </c>
      <c r="Y242" s="63" t="str">
        <f t="shared" si="25"/>
        <v/>
      </c>
      <c r="Z242" s="58" t="str">
        <f t="shared" si="26"/>
        <v/>
      </c>
      <c r="AA242" s="66" t="str">
        <f t="shared" si="27"/>
        <v/>
      </c>
      <c r="AB242" s="62"/>
      <c r="AC242" s="62"/>
      <c r="AD242" s="63" t="str">
        <f>IFERROR(IF(OR($AB242="",$T242="",$T242=0),"",ROUND(ABS($N242-$AB242)*$S242*VLOOKUP($F242,'⚙️ Setelan'!$A$14:$F$20,4,FALSE)/$T242,2)),"")</f>
        <v/>
      </c>
      <c r="AE242" s="63" t="str">
        <f>IFERROR(IF(OR($AC242="",$T242="",$T242=0),"",ROUND(ABS($AC242-$N242)*$S242*VLOOKUP($F242,'⚙️ Setelan'!$A$14:$F$20,4,FALSE)/$T242,2)),"")</f>
        <v/>
      </c>
      <c r="AF242" s="61"/>
      <c r="AG242" s="61"/>
      <c r="AH242" s="61"/>
      <c r="AI242" s="61"/>
      <c r="AJ242" s="61"/>
      <c r="AK242" s="67"/>
      <c r="AL242" s="58" t="str">
        <f>IF(OR($C242="",$B242=""),"",IF(AND($Z241="Loss",$B242=$B241,MOD($C242-$D241,1)*1440&lt;'⚙️ Setelan'!$B$9),"⚠️ Revenge",""))</f>
        <v/>
      </c>
      <c r="AM242" s="68"/>
      <c r="AN242" s="58" t="str">
        <f>IF($AM242="","",IFERROR(_xlfn.IMAGE(IF(REGEXMATCH($AM242,"\.(png|jpg|jpeg|gif)$"),$AM242,"https://s3.tradingview.com/snapshots/"&amp;LOWER(MID(REGEXEXTRACT($AM242,"/x/([A-Za-z0-9]+)"),1,1))&amp;"/"&amp;REGEXEXTRACT($AM242,"/x/([A-Za-z0-9]+)")&amp;".png"),1),"⚠️ link tidak dikenali"))</f>
        <v/>
      </c>
      <c r="AO242" s="68"/>
      <c r="AP242" s="58" t="str">
        <f>IF($AO242="","",IFERROR(_xlfn.IMAGE(IF(REGEXMATCH($AO242,"\.(png|jpg|jpeg|gif)$"),$AO242,"https://s3.tradingview.com/snapshots/"&amp;LOWER(MID(REGEXEXTRACT($AO242,"/x/([A-Za-z0-9]+)"),1,1))&amp;"/"&amp;REGEXEXTRACT($AO242,"/x/([A-Za-z0-9]+)")&amp;".png"),1),"⚠️ link tidak dikenali"))</f>
        <v/>
      </c>
      <c r="AQ242" s="66">
        <f>IF($Z242="",0,IF(AND(OR('📊 Dashboard'!$B$4="(Semua)",$F242='📊 Dashboard'!$B$4),OR('📊 Dashboard'!$B$5="(Semua)",$H242='📊 Dashboard'!$B$5),OR('📊 Dashboard'!$B$6="(Semua)",$E242='📊 Dashboard'!$B$6),OR('📊 Dashboard'!$B$7="(Semua)",$AF242='📊 Dashboard'!$B$7),OR('📊 Dashboard'!$B$8="(Semua)",$AG242='📊 Dashboard'!$B$8),OR('📊 Dashboard'!$B$9="(Semua)",$K242='📊 Dashboard'!$B$9)),1,0))</f>
        <v>0</v>
      </c>
      <c r="AR242" s="69"/>
    </row>
    <row r="243" ht="58" customHeight="1" spans="1:44">
      <c r="A243" s="58" t="str">
        <f t="shared" si="21"/>
        <v/>
      </c>
      <c r="B243" s="59"/>
      <c r="C243" s="60"/>
      <c r="D243" s="60"/>
      <c r="E243" s="58" t="str">
        <f t="shared" si="22"/>
        <v/>
      </c>
      <c r="F243" s="61"/>
      <c r="G243" s="61"/>
      <c r="H243" s="61"/>
      <c r="I243" s="61"/>
      <c r="J243" s="61"/>
      <c r="K243" s="61"/>
      <c r="L243" s="61"/>
      <c r="M243" s="61"/>
      <c r="N243" s="62"/>
      <c r="O243" s="62"/>
      <c r="P243" s="62"/>
      <c r="Q243" s="62"/>
      <c r="R243" s="63" t="str">
        <f>IFERROR(IF(OR($N243="",$O243="",$F243=""),"",ROUND(('⚙️ Setelan'!$B$3*'⚙️ Setelan'!$B$4/100)/(ABS($N243-$O243)*VLOOKUP($F243,'⚙️ Setelan'!$A$14:$F$20,4,FALSE)),2)),"")</f>
        <v/>
      </c>
      <c r="S243" s="64"/>
      <c r="T243" s="65" t="str">
        <f>IFERROR(IF(OR($N243="",$O243="",$S243=""),"",ABS($N243-$O243)*$S243*VLOOKUP($F243,'⚙️ Setelan'!$A$14:$F$20,4,FALSE)),"")</f>
        <v/>
      </c>
      <c r="U243" s="63" t="str">
        <f t="shared" si="23"/>
        <v/>
      </c>
      <c r="V243" s="65" t="str">
        <f>IFERROR(IF(OR($Q243="",$N243="",$S243=""),"",($Q243-$N243)*IF($G243="Buy",1,-1)*$S243*VLOOKUP($F243,'⚙️ Setelan'!$A$14:$F$20,4,FALSE)),"")</f>
        <v/>
      </c>
      <c r="W243" s="65" t="str">
        <f>IFERROR(IF(OR($S243="",$F243=""),"",$S243*VLOOKUP($F243,'⚙️ Setelan'!$A$14:$F$20,5,FALSE)),"")</f>
        <v/>
      </c>
      <c r="X243" s="65" t="str">
        <f t="shared" si="24"/>
        <v/>
      </c>
      <c r="Y243" s="63" t="str">
        <f t="shared" si="25"/>
        <v/>
      </c>
      <c r="Z243" s="58" t="str">
        <f t="shared" si="26"/>
        <v/>
      </c>
      <c r="AA243" s="66" t="str">
        <f t="shared" si="27"/>
        <v/>
      </c>
      <c r="AB243" s="62"/>
      <c r="AC243" s="62"/>
      <c r="AD243" s="63" t="str">
        <f>IFERROR(IF(OR($AB243="",$T243="",$T243=0),"",ROUND(ABS($N243-$AB243)*$S243*VLOOKUP($F243,'⚙️ Setelan'!$A$14:$F$20,4,FALSE)/$T243,2)),"")</f>
        <v/>
      </c>
      <c r="AE243" s="63" t="str">
        <f>IFERROR(IF(OR($AC243="",$T243="",$T243=0),"",ROUND(ABS($AC243-$N243)*$S243*VLOOKUP($F243,'⚙️ Setelan'!$A$14:$F$20,4,FALSE)/$T243,2)),"")</f>
        <v/>
      </c>
      <c r="AF243" s="61"/>
      <c r="AG243" s="61"/>
      <c r="AH243" s="61"/>
      <c r="AI243" s="61"/>
      <c r="AJ243" s="61"/>
      <c r="AK243" s="67"/>
      <c r="AL243" s="58" t="str">
        <f>IF(OR($C243="",$B243=""),"",IF(AND($Z242="Loss",$B243=$B242,MOD($C243-$D242,1)*1440&lt;'⚙️ Setelan'!$B$9),"⚠️ Revenge",""))</f>
        <v/>
      </c>
      <c r="AM243" s="68"/>
      <c r="AN243" s="58" t="str">
        <f>IF($AM243="","",IFERROR(_xlfn.IMAGE(IF(REGEXMATCH($AM243,"\.(png|jpg|jpeg|gif)$"),$AM243,"https://s3.tradingview.com/snapshots/"&amp;LOWER(MID(REGEXEXTRACT($AM243,"/x/([A-Za-z0-9]+)"),1,1))&amp;"/"&amp;REGEXEXTRACT($AM243,"/x/([A-Za-z0-9]+)")&amp;".png"),1),"⚠️ link tidak dikenali"))</f>
        <v/>
      </c>
      <c r="AO243" s="68"/>
      <c r="AP243" s="58" t="str">
        <f>IF($AO243="","",IFERROR(_xlfn.IMAGE(IF(REGEXMATCH($AO243,"\.(png|jpg|jpeg|gif)$"),$AO243,"https://s3.tradingview.com/snapshots/"&amp;LOWER(MID(REGEXEXTRACT($AO243,"/x/([A-Za-z0-9]+)"),1,1))&amp;"/"&amp;REGEXEXTRACT($AO243,"/x/([A-Za-z0-9]+)")&amp;".png"),1),"⚠️ link tidak dikenali"))</f>
        <v/>
      </c>
      <c r="AQ243" s="66">
        <f>IF($Z243="",0,IF(AND(OR('📊 Dashboard'!$B$4="(Semua)",$F243='📊 Dashboard'!$B$4),OR('📊 Dashboard'!$B$5="(Semua)",$H243='📊 Dashboard'!$B$5),OR('📊 Dashboard'!$B$6="(Semua)",$E243='📊 Dashboard'!$B$6),OR('📊 Dashboard'!$B$7="(Semua)",$AF243='📊 Dashboard'!$B$7),OR('📊 Dashboard'!$B$8="(Semua)",$AG243='📊 Dashboard'!$B$8),OR('📊 Dashboard'!$B$9="(Semua)",$K243='📊 Dashboard'!$B$9)),1,0))</f>
        <v>0</v>
      </c>
      <c r="AR243" s="69"/>
    </row>
    <row r="244" ht="58" customHeight="1" spans="1:44">
      <c r="A244" s="58" t="str">
        <f t="shared" si="21"/>
        <v/>
      </c>
      <c r="B244" s="59"/>
      <c r="C244" s="60"/>
      <c r="D244" s="60"/>
      <c r="E244" s="58" t="str">
        <f t="shared" si="22"/>
        <v/>
      </c>
      <c r="F244" s="61"/>
      <c r="G244" s="61"/>
      <c r="H244" s="61"/>
      <c r="I244" s="61"/>
      <c r="J244" s="61"/>
      <c r="K244" s="61"/>
      <c r="L244" s="61"/>
      <c r="M244" s="61"/>
      <c r="N244" s="62"/>
      <c r="O244" s="62"/>
      <c r="P244" s="62"/>
      <c r="Q244" s="62"/>
      <c r="R244" s="63" t="str">
        <f>IFERROR(IF(OR($N244="",$O244="",$F244=""),"",ROUND(('⚙️ Setelan'!$B$3*'⚙️ Setelan'!$B$4/100)/(ABS($N244-$O244)*VLOOKUP($F244,'⚙️ Setelan'!$A$14:$F$20,4,FALSE)),2)),"")</f>
        <v/>
      </c>
      <c r="S244" s="64"/>
      <c r="T244" s="65" t="str">
        <f>IFERROR(IF(OR($N244="",$O244="",$S244=""),"",ABS($N244-$O244)*$S244*VLOOKUP($F244,'⚙️ Setelan'!$A$14:$F$20,4,FALSE)),"")</f>
        <v/>
      </c>
      <c r="U244" s="63" t="str">
        <f t="shared" si="23"/>
        <v/>
      </c>
      <c r="V244" s="65" t="str">
        <f>IFERROR(IF(OR($Q244="",$N244="",$S244=""),"",($Q244-$N244)*IF($G244="Buy",1,-1)*$S244*VLOOKUP($F244,'⚙️ Setelan'!$A$14:$F$20,4,FALSE)),"")</f>
        <v/>
      </c>
      <c r="W244" s="65" t="str">
        <f>IFERROR(IF(OR($S244="",$F244=""),"",$S244*VLOOKUP($F244,'⚙️ Setelan'!$A$14:$F$20,5,FALSE)),"")</f>
        <v/>
      </c>
      <c r="X244" s="65" t="str">
        <f t="shared" si="24"/>
        <v/>
      </c>
      <c r="Y244" s="63" t="str">
        <f t="shared" si="25"/>
        <v/>
      </c>
      <c r="Z244" s="58" t="str">
        <f t="shared" si="26"/>
        <v/>
      </c>
      <c r="AA244" s="66" t="str">
        <f t="shared" si="27"/>
        <v/>
      </c>
      <c r="AB244" s="62"/>
      <c r="AC244" s="62"/>
      <c r="AD244" s="63" t="str">
        <f>IFERROR(IF(OR($AB244="",$T244="",$T244=0),"",ROUND(ABS($N244-$AB244)*$S244*VLOOKUP($F244,'⚙️ Setelan'!$A$14:$F$20,4,FALSE)/$T244,2)),"")</f>
        <v/>
      </c>
      <c r="AE244" s="63" t="str">
        <f>IFERROR(IF(OR($AC244="",$T244="",$T244=0),"",ROUND(ABS($AC244-$N244)*$S244*VLOOKUP($F244,'⚙️ Setelan'!$A$14:$F$20,4,FALSE)/$T244,2)),"")</f>
        <v/>
      </c>
      <c r="AF244" s="61"/>
      <c r="AG244" s="61"/>
      <c r="AH244" s="61"/>
      <c r="AI244" s="61"/>
      <c r="AJ244" s="61"/>
      <c r="AK244" s="67"/>
      <c r="AL244" s="58" t="str">
        <f>IF(OR($C244="",$B244=""),"",IF(AND($Z243="Loss",$B244=$B243,MOD($C244-$D243,1)*1440&lt;'⚙️ Setelan'!$B$9),"⚠️ Revenge",""))</f>
        <v/>
      </c>
      <c r="AM244" s="68"/>
      <c r="AN244" s="58" t="str">
        <f>IF($AM244="","",IFERROR(_xlfn.IMAGE(IF(REGEXMATCH($AM244,"\.(png|jpg|jpeg|gif)$"),$AM244,"https://s3.tradingview.com/snapshots/"&amp;LOWER(MID(REGEXEXTRACT($AM244,"/x/([A-Za-z0-9]+)"),1,1))&amp;"/"&amp;REGEXEXTRACT($AM244,"/x/([A-Za-z0-9]+)")&amp;".png"),1),"⚠️ link tidak dikenali"))</f>
        <v/>
      </c>
      <c r="AO244" s="68"/>
      <c r="AP244" s="58" t="str">
        <f>IF($AO244="","",IFERROR(_xlfn.IMAGE(IF(REGEXMATCH($AO244,"\.(png|jpg|jpeg|gif)$"),$AO244,"https://s3.tradingview.com/snapshots/"&amp;LOWER(MID(REGEXEXTRACT($AO244,"/x/([A-Za-z0-9]+)"),1,1))&amp;"/"&amp;REGEXEXTRACT($AO244,"/x/([A-Za-z0-9]+)")&amp;".png"),1),"⚠️ link tidak dikenali"))</f>
        <v/>
      </c>
      <c r="AQ244" s="66">
        <f>IF($Z244="",0,IF(AND(OR('📊 Dashboard'!$B$4="(Semua)",$F244='📊 Dashboard'!$B$4),OR('📊 Dashboard'!$B$5="(Semua)",$H244='📊 Dashboard'!$B$5),OR('📊 Dashboard'!$B$6="(Semua)",$E244='📊 Dashboard'!$B$6),OR('📊 Dashboard'!$B$7="(Semua)",$AF244='📊 Dashboard'!$B$7),OR('📊 Dashboard'!$B$8="(Semua)",$AG244='📊 Dashboard'!$B$8),OR('📊 Dashboard'!$B$9="(Semua)",$K244='📊 Dashboard'!$B$9)),1,0))</f>
        <v>0</v>
      </c>
      <c r="AR244" s="69"/>
    </row>
    <row r="245" ht="58" customHeight="1" spans="1:44">
      <c r="A245" s="58" t="str">
        <f t="shared" si="21"/>
        <v/>
      </c>
      <c r="B245" s="59"/>
      <c r="C245" s="60"/>
      <c r="D245" s="60"/>
      <c r="E245" s="58" t="str">
        <f t="shared" si="22"/>
        <v/>
      </c>
      <c r="F245" s="61"/>
      <c r="G245" s="61"/>
      <c r="H245" s="61"/>
      <c r="I245" s="61"/>
      <c r="J245" s="61"/>
      <c r="K245" s="61"/>
      <c r="L245" s="61"/>
      <c r="M245" s="61"/>
      <c r="N245" s="62"/>
      <c r="O245" s="62"/>
      <c r="P245" s="62"/>
      <c r="Q245" s="62"/>
      <c r="R245" s="63" t="str">
        <f>IFERROR(IF(OR($N245="",$O245="",$F245=""),"",ROUND(('⚙️ Setelan'!$B$3*'⚙️ Setelan'!$B$4/100)/(ABS($N245-$O245)*VLOOKUP($F245,'⚙️ Setelan'!$A$14:$F$20,4,FALSE)),2)),"")</f>
        <v/>
      </c>
      <c r="S245" s="64"/>
      <c r="T245" s="65" t="str">
        <f>IFERROR(IF(OR($N245="",$O245="",$S245=""),"",ABS($N245-$O245)*$S245*VLOOKUP($F245,'⚙️ Setelan'!$A$14:$F$20,4,FALSE)),"")</f>
        <v/>
      </c>
      <c r="U245" s="63" t="str">
        <f t="shared" si="23"/>
        <v/>
      </c>
      <c r="V245" s="65" t="str">
        <f>IFERROR(IF(OR($Q245="",$N245="",$S245=""),"",($Q245-$N245)*IF($G245="Buy",1,-1)*$S245*VLOOKUP($F245,'⚙️ Setelan'!$A$14:$F$20,4,FALSE)),"")</f>
        <v/>
      </c>
      <c r="W245" s="65" t="str">
        <f>IFERROR(IF(OR($S245="",$F245=""),"",$S245*VLOOKUP($F245,'⚙️ Setelan'!$A$14:$F$20,5,FALSE)),"")</f>
        <v/>
      </c>
      <c r="X245" s="65" t="str">
        <f t="shared" si="24"/>
        <v/>
      </c>
      <c r="Y245" s="63" t="str">
        <f t="shared" si="25"/>
        <v/>
      </c>
      <c r="Z245" s="58" t="str">
        <f t="shared" si="26"/>
        <v/>
      </c>
      <c r="AA245" s="66" t="str">
        <f t="shared" si="27"/>
        <v/>
      </c>
      <c r="AB245" s="62"/>
      <c r="AC245" s="62"/>
      <c r="AD245" s="63" t="str">
        <f>IFERROR(IF(OR($AB245="",$T245="",$T245=0),"",ROUND(ABS($N245-$AB245)*$S245*VLOOKUP($F245,'⚙️ Setelan'!$A$14:$F$20,4,FALSE)/$T245,2)),"")</f>
        <v/>
      </c>
      <c r="AE245" s="63" t="str">
        <f>IFERROR(IF(OR($AC245="",$T245="",$T245=0),"",ROUND(ABS($AC245-$N245)*$S245*VLOOKUP($F245,'⚙️ Setelan'!$A$14:$F$20,4,FALSE)/$T245,2)),"")</f>
        <v/>
      </c>
      <c r="AF245" s="61"/>
      <c r="AG245" s="61"/>
      <c r="AH245" s="61"/>
      <c r="AI245" s="61"/>
      <c r="AJ245" s="61"/>
      <c r="AK245" s="67"/>
      <c r="AL245" s="58" t="str">
        <f>IF(OR($C245="",$B245=""),"",IF(AND($Z244="Loss",$B245=$B244,MOD($C245-$D244,1)*1440&lt;'⚙️ Setelan'!$B$9),"⚠️ Revenge",""))</f>
        <v/>
      </c>
      <c r="AM245" s="68"/>
      <c r="AN245" s="58" t="str">
        <f>IF($AM245="","",IFERROR(_xlfn.IMAGE(IF(REGEXMATCH($AM245,"\.(png|jpg|jpeg|gif)$"),$AM245,"https://s3.tradingview.com/snapshots/"&amp;LOWER(MID(REGEXEXTRACT($AM245,"/x/([A-Za-z0-9]+)"),1,1))&amp;"/"&amp;REGEXEXTRACT($AM245,"/x/([A-Za-z0-9]+)")&amp;".png"),1),"⚠️ link tidak dikenali"))</f>
        <v/>
      </c>
      <c r="AO245" s="68"/>
      <c r="AP245" s="58" t="str">
        <f>IF($AO245="","",IFERROR(_xlfn.IMAGE(IF(REGEXMATCH($AO245,"\.(png|jpg|jpeg|gif)$"),$AO245,"https://s3.tradingview.com/snapshots/"&amp;LOWER(MID(REGEXEXTRACT($AO245,"/x/([A-Za-z0-9]+)"),1,1))&amp;"/"&amp;REGEXEXTRACT($AO245,"/x/([A-Za-z0-9]+)")&amp;".png"),1),"⚠️ link tidak dikenali"))</f>
        <v/>
      </c>
      <c r="AQ245" s="66">
        <f>IF($Z245="",0,IF(AND(OR('📊 Dashboard'!$B$4="(Semua)",$F245='📊 Dashboard'!$B$4),OR('📊 Dashboard'!$B$5="(Semua)",$H245='📊 Dashboard'!$B$5),OR('📊 Dashboard'!$B$6="(Semua)",$E245='📊 Dashboard'!$B$6),OR('📊 Dashboard'!$B$7="(Semua)",$AF245='📊 Dashboard'!$B$7),OR('📊 Dashboard'!$B$8="(Semua)",$AG245='📊 Dashboard'!$B$8),OR('📊 Dashboard'!$B$9="(Semua)",$K245='📊 Dashboard'!$B$9)),1,0))</f>
        <v>0</v>
      </c>
      <c r="AR245" s="69"/>
    </row>
    <row r="246" ht="58" customHeight="1" spans="1:44">
      <c r="A246" s="58" t="str">
        <f t="shared" si="21"/>
        <v/>
      </c>
      <c r="B246" s="59"/>
      <c r="C246" s="60"/>
      <c r="D246" s="60"/>
      <c r="E246" s="58" t="str">
        <f t="shared" si="22"/>
        <v/>
      </c>
      <c r="F246" s="61"/>
      <c r="G246" s="61"/>
      <c r="H246" s="61"/>
      <c r="I246" s="61"/>
      <c r="J246" s="61"/>
      <c r="K246" s="61"/>
      <c r="L246" s="61"/>
      <c r="M246" s="61"/>
      <c r="N246" s="62"/>
      <c r="O246" s="62"/>
      <c r="P246" s="62"/>
      <c r="Q246" s="62"/>
      <c r="R246" s="63" t="str">
        <f>IFERROR(IF(OR($N246="",$O246="",$F246=""),"",ROUND(('⚙️ Setelan'!$B$3*'⚙️ Setelan'!$B$4/100)/(ABS($N246-$O246)*VLOOKUP($F246,'⚙️ Setelan'!$A$14:$F$20,4,FALSE)),2)),"")</f>
        <v/>
      </c>
      <c r="S246" s="64"/>
      <c r="T246" s="65" t="str">
        <f>IFERROR(IF(OR($N246="",$O246="",$S246=""),"",ABS($N246-$O246)*$S246*VLOOKUP($F246,'⚙️ Setelan'!$A$14:$F$20,4,FALSE)),"")</f>
        <v/>
      </c>
      <c r="U246" s="63" t="str">
        <f t="shared" si="23"/>
        <v/>
      </c>
      <c r="V246" s="65" t="str">
        <f>IFERROR(IF(OR($Q246="",$N246="",$S246=""),"",($Q246-$N246)*IF($G246="Buy",1,-1)*$S246*VLOOKUP($F246,'⚙️ Setelan'!$A$14:$F$20,4,FALSE)),"")</f>
        <v/>
      </c>
      <c r="W246" s="65" t="str">
        <f>IFERROR(IF(OR($S246="",$F246=""),"",$S246*VLOOKUP($F246,'⚙️ Setelan'!$A$14:$F$20,5,FALSE)),"")</f>
        <v/>
      </c>
      <c r="X246" s="65" t="str">
        <f t="shared" si="24"/>
        <v/>
      </c>
      <c r="Y246" s="63" t="str">
        <f t="shared" si="25"/>
        <v/>
      </c>
      <c r="Z246" s="58" t="str">
        <f t="shared" si="26"/>
        <v/>
      </c>
      <c r="AA246" s="66" t="str">
        <f t="shared" si="27"/>
        <v/>
      </c>
      <c r="AB246" s="62"/>
      <c r="AC246" s="62"/>
      <c r="AD246" s="63" t="str">
        <f>IFERROR(IF(OR($AB246="",$T246="",$T246=0),"",ROUND(ABS($N246-$AB246)*$S246*VLOOKUP($F246,'⚙️ Setelan'!$A$14:$F$20,4,FALSE)/$T246,2)),"")</f>
        <v/>
      </c>
      <c r="AE246" s="63" t="str">
        <f>IFERROR(IF(OR($AC246="",$T246="",$T246=0),"",ROUND(ABS($AC246-$N246)*$S246*VLOOKUP($F246,'⚙️ Setelan'!$A$14:$F$20,4,FALSE)/$T246,2)),"")</f>
        <v/>
      </c>
      <c r="AF246" s="61"/>
      <c r="AG246" s="61"/>
      <c r="AH246" s="61"/>
      <c r="AI246" s="61"/>
      <c r="AJ246" s="61"/>
      <c r="AK246" s="67"/>
      <c r="AL246" s="58" t="str">
        <f>IF(OR($C246="",$B246=""),"",IF(AND($Z245="Loss",$B246=$B245,MOD($C246-$D245,1)*1440&lt;'⚙️ Setelan'!$B$9),"⚠️ Revenge",""))</f>
        <v/>
      </c>
      <c r="AM246" s="68"/>
      <c r="AN246" s="58" t="str">
        <f>IF($AM246="","",IFERROR(_xlfn.IMAGE(IF(REGEXMATCH($AM246,"\.(png|jpg|jpeg|gif)$"),$AM246,"https://s3.tradingview.com/snapshots/"&amp;LOWER(MID(REGEXEXTRACT($AM246,"/x/([A-Za-z0-9]+)"),1,1))&amp;"/"&amp;REGEXEXTRACT($AM246,"/x/([A-Za-z0-9]+)")&amp;".png"),1),"⚠️ link tidak dikenali"))</f>
        <v/>
      </c>
      <c r="AO246" s="68"/>
      <c r="AP246" s="58" t="str">
        <f>IF($AO246="","",IFERROR(_xlfn.IMAGE(IF(REGEXMATCH($AO246,"\.(png|jpg|jpeg|gif)$"),$AO246,"https://s3.tradingview.com/snapshots/"&amp;LOWER(MID(REGEXEXTRACT($AO246,"/x/([A-Za-z0-9]+)"),1,1))&amp;"/"&amp;REGEXEXTRACT($AO246,"/x/([A-Za-z0-9]+)")&amp;".png"),1),"⚠️ link tidak dikenali"))</f>
        <v/>
      </c>
      <c r="AQ246" s="66">
        <f>IF($Z246="",0,IF(AND(OR('📊 Dashboard'!$B$4="(Semua)",$F246='📊 Dashboard'!$B$4),OR('📊 Dashboard'!$B$5="(Semua)",$H246='📊 Dashboard'!$B$5),OR('📊 Dashboard'!$B$6="(Semua)",$E246='📊 Dashboard'!$B$6),OR('📊 Dashboard'!$B$7="(Semua)",$AF246='📊 Dashboard'!$B$7),OR('📊 Dashboard'!$B$8="(Semua)",$AG246='📊 Dashboard'!$B$8),OR('📊 Dashboard'!$B$9="(Semua)",$K246='📊 Dashboard'!$B$9)),1,0))</f>
        <v>0</v>
      </c>
      <c r="AR246" s="69"/>
    </row>
    <row r="247" ht="58" customHeight="1" spans="1:44">
      <c r="A247" s="58" t="str">
        <f t="shared" si="21"/>
        <v/>
      </c>
      <c r="B247" s="59"/>
      <c r="C247" s="60"/>
      <c r="D247" s="60"/>
      <c r="E247" s="58" t="str">
        <f t="shared" si="22"/>
        <v/>
      </c>
      <c r="F247" s="61"/>
      <c r="G247" s="61"/>
      <c r="H247" s="61"/>
      <c r="I247" s="61"/>
      <c r="J247" s="61"/>
      <c r="K247" s="61"/>
      <c r="L247" s="61"/>
      <c r="M247" s="61"/>
      <c r="N247" s="62"/>
      <c r="O247" s="62"/>
      <c r="P247" s="62"/>
      <c r="Q247" s="62"/>
      <c r="R247" s="63" t="str">
        <f>IFERROR(IF(OR($N247="",$O247="",$F247=""),"",ROUND(('⚙️ Setelan'!$B$3*'⚙️ Setelan'!$B$4/100)/(ABS($N247-$O247)*VLOOKUP($F247,'⚙️ Setelan'!$A$14:$F$20,4,FALSE)),2)),"")</f>
        <v/>
      </c>
      <c r="S247" s="64"/>
      <c r="T247" s="65" t="str">
        <f>IFERROR(IF(OR($N247="",$O247="",$S247=""),"",ABS($N247-$O247)*$S247*VLOOKUP($F247,'⚙️ Setelan'!$A$14:$F$20,4,FALSE)),"")</f>
        <v/>
      </c>
      <c r="U247" s="63" t="str">
        <f t="shared" si="23"/>
        <v/>
      </c>
      <c r="V247" s="65" t="str">
        <f>IFERROR(IF(OR($Q247="",$N247="",$S247=""),"",($Q247-$N247)*IF($G247="Buy",1,-1)*$S247*VLOOKUP($F247,'⚙️ Setelan'!$A$14:$F$20,4,FALSE)),"")</f>
        <v/>
      </c>
      <c r="W247" s="65" t="str">
        <f>IFERROR(IF(OR($S247="",$F247=""),"",$S247*VLOOKUP($F247,'⚙️ Setelan'!$A$14:$F$20,5,FALSE)),"")</f>
        <v/>
      </c>
      <c r="X247" s="65" t="str">
        <f t="shared" si="24"/>
        <v/>
      </c>
      <c r="Y247" s="63" t="str">
        <f t="shared" si="25"/>
        <v/>
      </c>
      <c r="Z247" s="58" t="str">
        <f t="shared" si="26"/>
        <v/>
      </c>
      <c r="AA247" s="66" t="str">
        <f t="shared" si="27"/>
        <v/>
      </c>
      <c r="AB247" s="62"/>
      <c r="AC247" s="62"/>
      <c r="AD247" s="63" t="str">
        <f>IFERROR(IF(OR($AB247="",$T247="",$T247=0),"",ROUND(ABS($N247-$AB247)*$S247*VLOOKUP($F247,'⚙️ Setelan'!$A$14:$F$20,4,FALSE)/$T247,2)),"")</f>
        <v/>
      </c>
      <c r="AE247" s="63" t="str">
        <f>IFERROR(IF(OR($AC247="",$T247="",$T247=0),"",ROUND(ABS($AC247-$N247)*$S247*VLOOKUP($F247,'⚙️ Setelan'!$A$14:$F$20,4,FALSE)/$T247,2)),"")</f>
        <v/>
      </c>
      <c r="AF247" s="61"/>
      <c r="AG247" s="61"/>
      <c r="AH247" s="61"/>
      <c r="AI247" s="61"/>
      <c r="AJ247" s="61"/>
      <c r="AK247" s="67"/>
      <c r="AL247" s="58" t="str">
        <f>IF(OR($C247="",$B247=""),"",IF(AND($Z246="Loss",$B247=$B246,MOD($C247-$D246,1)*1440&lt;'⚙️ Setelan'!$B$9),"⚠️ Revenge",""))</f>
        <v/>
      </c>
      <c r="AM247" s="68"/>
      <c r="AN247" s="58" t="str">
        <f>IF($AM247="","",IFERROR(_xlfn.IMAGE(IF(REGEXMATCH($AM247,"\.(png|jpg|jpeg|gif)$"),$AM247,"https://s3.tradingview.com/snapshots/"&amp;LOWER(MID(REGEXEXTRACT($AM247,"/x/([A-Za-z0-9]+)"),1,1))&amp;"/"&amp;REGEXEXTRACT($AM247,"/x/([A-Za-z0-9]+)")&amp;".png"),1),"⚠️ link tidak dikenali"))</f>
        <v/>
      </c>
      <c r="AO247" s="68"/>
      <c r="AP247" s="58" t="str">
        <f>IF($AO247="","",IFERROR(_xlfn.IMAGE(IF(REGEXMATCH($AO247,"\.(png|jpg|jpeg|gif)$"),$AO247,"https://s3.tradingview.com/snapshots/"&amp;LOWER(MID(REGEXEXTRACT($AO247,"/x/([A-Za-z0-9]+)"),1,1))&amp;"/"&amp;REGEXEXTRACT($AO247,"/x/([A-Za-z0-9]+)")&amp;".png"),1),"⚠️ link tidak dikenali"))</f>
        <v/>
      </c>
      <c r="AQ247" s="66">
        <f>IF($Z247="",0,IF(AND(OR('📊 Dashboard'!$B$4="(Semua)",$F247='📊 Dashboard'!$B$4),OR('📊 Dashboard'!$B$5="(Semua)",$H247='📊 Dashboard'!$B$5),OR('📊 Dashboard'!$B$6="(Semua)",$E247='📊 Dashboard'!$B$6),OR('📊 Dashboard'!$B$7="(Semua)",$AF247='📊 Dashboard'!$B$7),OR('📊 Dashboard'!$B$8="(Semua)",$AG247='📊 Dashboard'!$B$8),OR('📊 Dashboard'!$B$9="(Semua)",$K247='📊 Dashboard'!$B$9)),1,0))</f>
        <v>0</v>
      </c>
      <c r="AR247" s="69"/>
    </row>
    <row r="248" ht="58" customHeight="1" spans="1:44">
      <c r="A248" s="58" t="str">
        <f t="shared" si="21"/>
        <v/>
      </c>
      <c r="B248" s="59"/>
      <c r="C248" s="60"/>
      <c r="D248" s="60"/>
      <c r="E248" s="58" t="str">
        <f t="shared" si="22"/>
        <v/>
      </c>
      <c r="F248" s="61"/>
      <c r="G248" s="61"/>
      <c r="H248" s="61"/>
      <c r="I248" s="61"/>
      <c r="J248" s="61"/>
      <c r="K248" s="61"/>
      <c r="L248" s="61"/>
      <c r="M248" s="61"/>
      <c r="N248" s="62"/>
      <c r="O248" s="62"/>
      <c r="P248" s="62"/>
      <c r="Q248" s="62"/>
      <c r="R248" s="63" t="str">
        <f>IFERROR(IF(OR($N248="",$O248="",$F248=""),"",ROUND(('⚙️ Setelan'!$B$3*'⚙️ Setelan'!$B$4/100)/(ABS($N248-$O248)*VLOOKUP($F248,'⚙️ Setelan'!$A$14:$F$20,4,FALSE)),2)),"")</f>
        <v/>
      </c>
      <c r="S248" s="64"/>
      <c r="T248" s="65" t="str">
        <f>IFERROR(IF(OR($N248="",$O248="",$S248=""),"",ABS($N248-$O248)*$S248*VLOOKUP($F248,'⚙️ Setelan'!$A$14:$F$20,4,FALSE)),"")</f>
        <v/>
      </c>
      <c r="U248" s="63" t="str">
        <f t="shared" si="23"/>
        <v/>
      </c>
      <c r="V248" s="65" t="str">
        <f>IFERROR(IF(OR($Q248="",$N248="",$S248=""),"",($Q248-$N248)*IF($G248="Buy",1,-1)*$S248*VLOOKUP($F248,'⚙️ Setelan'!$A$14:$F$20,4,FALSE)),"")</f>
        <v/>
      </c>
      <c r="W248" s="65" t="str">
        <f>IFERROR(IF(OR($S248="",$F248=""),"",$S248*VLOOKUP($F248,'⚙️ Setelan'!$A$14:$F$20,5,FALSE)),"")</f>
        <v/>
      </c>
      <c r="X248" s="65" t="str">
        <f t="shared" si="24"/>
        <v/>
      </c>
      <c r="Y248" s="63" t="str">
        <f t="shared" si="25"/>
        <v/>
      </c>
      <c r="Z248" s="58" t="str">
        <f t="shared" si="26"/>
        <v/>
      </c>
      <c r="AA248" s="66" t="str">
        <f t="shared" si="27"/>
        <v/>
      </c>
      <c r="AB248" s="62"/>
      <c r="AC248" s="62"/>
      <c r="AD248" s="63" t="str">
        <f>IFERROR(IF(OR($AB248="",$T248="",$T248=0),"",ROUND(ABS($N248-$AB248)*$S248*VLOOKUP($F248,'⚙️ Setelan'!$A$14:$F$20,4,FALSE)/$T248,2)),"")</f>
        <v/>
      </c>
      <c r="AE248" s="63" t="str">
        <f>IFERROR(IF(OR($AC248="",$T248="",$T248=0),"",ROUND(ABS($AC248-$N248)*$S248*VLOOKUP($F248,'⚙️ Setelan'!$A$14:$F$20,4,FALSE)/$T248,2)),"")</f>
        <v/>
      </c>
      <c r="AF248" s="61"/>
      <c r="AG248" s="61"/>
      <c r="AH248" s="61"/>
      <c r="AI248" s="61"/>
      <c r="AJ248" s="61"/>
      <c r="AK248" s="67"/>
      <c r="AL248" s="58" t="str">
        <f>IF(OR($C248="",$B248=""),"",IF(AND($Z247="Loss",$B248=$B247,MOD($C248-$D247,1)*1440&lt;'⚙️ Setelan'!$B$9),"⚠️ Revenge",""))</f>
        <v/>
      </c>
      <c r="AM248" s="68"/>
      <c r="AN248" s="58" t="str">
        <f>IF($AM248="","",IFERROR(_xlfn.IMAGE(IF(REGEXMATCH($AM248,"\.(png|jpg|jpeg|gif)$"),$AM248,"https://s3.tradingview.com/snapshots/"&amp;LOWER(MID(REGEXEXTRACT($AM248,"/x/([A-Za-z0-9]+)"),1,1))&amp;"/"&amp;REGEXEXTRACT($AM248,"/x/([A-Za-z0-9]+)")&amp;".png"),1),"⚠️ link tidak dikenali"))</f>
        <v/>
      </c>
      <c r="AO248" s="68"/>
      <c r="AP248" s="58" t="str">
        <f>IF($AO248="","",IFERROR(_xlfn.IMAGE(IF(REGEXMATCH($AO248,"\.(png|jpg|jpeg|gif)$"),$AO248,"https://s3.tradingview.com/snapshots/"&amp;LOWER(MID(REGEXEXTRACT($AO248,"/x/([A-Za-z0-9]+)"),1,1))&amp;"/"&amp;REGEXEXTRACT($AO248,"/x/([A-Za-z0-9]+)")&amp;".png"),1),"⚠️ link tidak dikenali"))</f>
        <v/>
      </c>
      <c r="AQ248" s="66">
        <f>IF($Z248="",0,IF(AND(OR('📊 Dashboard'!$B$4="(Semua)",$F248='📊 Dashboard'!$B$4),OR('📊 Dashboard'!$B$5="(Semua)",$H248='📊 Dashboard'!$B$5),OR('📊 Dashboard'!$B$6="(Semua)",$E248='📊 Dashboard'!$B$6),OR('📊 Dashboard'!$B$7="(Semua)",$AF248='📊 Dashboard'!$B$7),OR('📊 Dashboard'!$B$8="(Semua)",$AG248='📊 Dashboard'!$B$8),OR('📊 Dashboard'!$B$9="(Semua)",$K248='📊 Dashboard'!$B$9)),1,0))</f>
        <v>0</v>
      </c>
      <c r="AR248" s="69"/>
    </row>
    <row r="249" ht="58" customHeight="1" spans="1:44">
      <c r="A249" s="58" t="str">
        <f t="shared" si="21"/>
        <v/>
      </c>
      <c r="B249" s="59"/>
      <c r="C249" s="60"/>
      <c r="D249" s="60"/>
      <c r="E249" s="58" t="str">
        <f t="shared" si="22"/>
        <v/>
      </c>
      <c r="F249" s="61"/>
      <c r="G249" s="61"/>
      <c r="H249" s="61"/>
      <c r="I249" s="61"/>
      <c r="J249" s="61"/>
      <c r="K249" s="61"/>
      <c r="L249" s="61"/>
      <c r="M249" s="61"/>
      <c r="N249" s="62"/>
      <c r="O249" s="62"/>
      <c r="P249" s="62"/>
      <c r="Q249" s="62"/>
      <c r="R249" s="63" t="str">
        <f>IFERROR(IF(OR($N249="",$O249="",$F249=""),"",ROUND(('⚙️ Setelan'!$B$3*'⚙️ Setelan'!$B$4/100)/(ABS($N249-$O249)*VLOOKUP($F249,'⚙️ Setelan'!$A$14:$F$20,4,FALSE)),2)),"")</f>
        <v/>
      </c>
      <c r="S249" s="64"/>
      <c r="T249" s="65" t="str">
        <f>IFERROR(IF(OR($N249="",$O249="",$S249=""),"",ABS($N249-$O249)*$S249*VLOOKUP($F249,'⚙️ Setelan'!$A$14:$F$20,4,FALSE)),"")</f>
        <v/>
      </c>
      <c r="U249" s="63" t="str">
        <f t="shared" si="23"/>
        <v/>
      </c>
      <c r="V249" s="65" t="str">
        <f>IFERROR(IF(OR($Q249="",$N249="",$S249=""),"",($Q249-$N249)*IF($G249="Buy",1,-1)*$S249*VLOOKUP($F249,'⚙️ Setelan'!$A$14:$F$20,4,FALSE)),"")</f>
        <v/>
      </c>
      <c r="W249" s="65" t="str">
        <f>IFERROR(IF(OR($S249="",$F249=""),"",$S249*VLOOKUP($F249,'⚙️ Setelan'!$A$14:$F$20,5,FALSE)),"")</f>
        <v/>
      </c>
      <c r="X249" s="65" t="str">
        <f t="shared" si="24"/>
        <v/>
      </c>
      <c r="Y249" s="63" t="str">
        <f t="shared" si="25"/>
        <v/>
      </c>
      <c r="Z249" s="58" t="str">
        <f t="shared" si="26"/>
        <v/>
      </c>
      <c r="AA249" s="66" t="str">
        <f t="shared" si="27"/>
        <v/>
      </c>
      <c r="AB249" s="62"/>
      <c r="AC249" s="62"/>
      <c r="AD249" s="63" t="str">
        <f>IFERROR(IF(OR($AB249="",$T249="",$T249=0),"",ROUND(ABS($N249-$AB249)*$S249*VLOOKUP($F249,'⚙️ Setelan'!$A$14:$F$20,4,FALSE)/$T249,2)),"")</f>
        <v/>
      </c>
      <c r="AE249" s="63" t="str">
        <f>IFERROR(IF(OR($AC249="",$T249="",$T249=0),"",ROUND(ABS($AC249-$N249)*$S249*VLOOKUP($F249,'⚙️ Setelan'!$A$14:$F$20,4,FALSE)/$T249,2)),"")</f>
        <v/>
      </c>
      <c r="AF249" s="61"/>
      <c r="AG249" s="61"/>
      <c r="AH249" s="61"/>
      <c r="AI249" s="61"/>
      <c r="AJ249" s="61"/>
      <c r="AK249" s="67"/>
      <c r="AL249" s="58" t="str">
        <f>IF(OR($C249="",$B249=""),"",IF(AND($Z248="Loss",$B249=$B248,MOD($C249-$D248,1)*1440&lt;'⚙️ Setelan'!$B$9),"⚠️ Revenge",""))</f>
        <v/>
      </c>
      <c r="AM249" s="68"/>
      <c r="AN249" s="58" t="str">
        <f>IF($AM249="","",IFERROR(_xlfn.IMAGE(IF(REGEXMATCH($AM249,"\.(png|jpg|jpeg|gif)$"),$AM249,"https://s3.tradingview.com/snapshots/"&amp;LOWER(MID(REGEXEXTRACT($AM249,"/x/([A-Za-z0-9]+)"),1,1))&amp;"/"&amp;REGEXEXTRACT($AM249,"/x/([A-Za-z0-9]+)")&amp;".png"),1),"⚠️ link tidak dikenali"))</f>
        <v/>
      </c>
      <c r="AO249" s="68"/>
      <c r="AP249" s="58" t="str">
        <f>IF($AO249="","",IFERROR(_xlfn.IMAGE(IF(REGEXMATCH($AO249,"\.(png|jpg|jpeg|gif)$"),$AO249,"https://s3.tradingview.com/snapshots/"&amp;LOWER(MID(REGEXEXTRACT($AO249,"/x/([A-Za-z0-9]+)"),1,1))&amp;"/"&amp;REGEXEXTRACT($AO249,"/x/([A-Za-z0-9]+)")&amp;".png"),1),"⚠️ link tidak dikenali"))</f>
        <v/>
      </c>
      <c r="AQ249" s="66">
        <f>IF($Z249="",0,IF(AND(OR('📊 Dashboard'!$B$4="(Semua)",$F249='📊 Dashboard'!$B$4),OR('📊 Dashboard'!$B$5="(Semua)",$H249='📊 Dashboard'!$B$5),OR('📊 Dashboard'!$B$6="(Semua)",$E249='📊 Dashboard'!$B$6),OR('📊 Dashboard'!$B$7="(Semua)",$AF249='📊 Dashboard'!$B$7),OR('📊 Dashboard'!$B$8="(Semua)",$AG249='📊 Dashboard'!$B$8),OR('📊 Dashboard'!$B$9="(Semua)",$K249='📊 Dashboard'!$B$9)),1,0))</f>
        <v>0</v>
      </c>
      <c r="AR249" s="69"/>
    </row>
    <row r="250" ht="58" customHeight="1" spans="1:44">
      <c r="A250" s="58" t="str">
        <f t="shared" si="21"/>
        <v/>
      </c>
      <c r="B250" s="59"/>
      <c r="C250" s="60"/>
      <c r="D250" s="60"/>
      <c r="E250" s="58" t="str">
        <f t="shared" si="22"/>
        <v/>
      </c>
      <c r="F250" s="61"/>
      <c r="G250" s="61"/>
      <c r="H250" s="61"/>
      <c r="I250" s="61"/>
      <c r="J250" s="61"/>
      <c r="K250" s="61"/>
      <c r="L250" s="61"/>
      <c r="M250" s="61"/>
      <c r="N250" s="62"/>
      <c r="O250" s="62"/>
      <c r="P250" s="62"/>
      <c r="Q250" s="62"/>
      <c r="R250" s="63" t="str">
        <f>IFERROR(IF(OR($N250="",$O250="",$F250=""),"",ROUND(('⚙️ Setelan'!$B$3*'⚙️ Setelan'!$B$4/100)/(ABS($N250-$O250)*VLOOKUP($F250,'⚙️ Setelan'!$A$14:$F$20,4,FALSE)),2)),"")</f>
        <v/>
      </c>
      <c r="S250" s="64"/>
      <c r="T250" s="65" t="str">
        <f>IFERROR(IF(OR($N250="",$O250="",$S250=""),"",ABS($N250-$O250)*$S250*VLOOKUP($F250,'⚙️ Setelan'!$A$14:$F$20,4,FALSE)),"")</f>
        <v/>
      </c>
      <c r="U250" s="63" t="str">
        <f t="shared" si="23"/>
        <v/>
      </c>
      <c r="V250" s="65" t="str">
        <f>IFERROR(IF(OR($Q250="",$N250="",$S250=""),"",($Q250-$N250)*IF($G250="Buy",1,-1)*$S250*VLOOKUP($F250,'⚙️ Setelan'!$A$14:$F$20,4,FALSE)),"")</f>
        <v/>
      </c>
      <c r="W250" s="65" t="str">
        <f>IFERROR(IF(OR($S250="",$F250=""),"",$S250*VLOOKUP($F250,'⚙️ Setelan'!$A$14:$F$20,5,FALSE)),"")</f>
        <v/>
      </c>
      <c r="X250" s="65" t="str">
        <f t="shared" si="24"/>
        <v/>
      </c>
      <c r="Y250" s="63" t="str">
        <f t="shared" si="25"/>
        <v/>
      </c>
      <c r="Z250" s="58" t="str">
        <f t="shared" si="26"/>
        <v/>
      </c>
      <c r="AA250" s="66" t="str">
        <f t="shared" si="27"/>
        <v/>
      </c>
      <c r="AB250" s="62"/>
      <c r="AC250" s="62"/>
      <c r="AD250" s="63" t="str">
        <f>IFERROR(IF(OR($AB250="",$T250="",$T250=0),"",ROUND(ABS($N250-$AB250)*$S250*VLOOKUP($F250,'⚙️ Setelan'!$A$14:$F$20,4,FALSE)/$T250,2)),"")</f>
        <v/>
      </c>
      <c r="AE250" s="63" t="str">
        <f>IFERROR(IF(OR($AC250="",$T250="",$T250=0),"",ROUND(ABS($AC250-$N250)*$S250*VLOOKUP($F250,'⚙️ Setelan'!$A$14:$F$20,4,FALSE)/$T250,2)),"")</f>
        <v/>
      </c>
      <c r="AF250" s="61"/>
      <c r="AG250" s="61"/>
      <c r="AH250" s="61"/>
      <c r="AI250" s="61"/>
      <c r="AJ250" s="61"/>
      <c r="AK250" s="67"/>
      <c r="AL250" s="58" t="str">
        <f>IF(OR($C250="",$B250=""),"",IF(AND($Z249="Loss",$B250=$B249,MOD($C250-$D249,1)*1440&lt;'⚙️ Setelan'!$B$9),"⚠️ Revenge",""))</f>
        <v/>
      </c>
      <c r="AM250" s="68"/>
      <c r="AN250" s="58" t="str">
        <f>IF($AM250="","",IFERROR(_xlfn.IMAGE(IF(REGEXMATCH($AM250,"\.(png|jpg|jpeg|gif)$"),$AM250,"https://s3.tradingview.com/snapshots/"&amp;LOWER(MID(REGEXEXTRACT($AM250,"/x/([A-Za-z0-9]+)"),1,1))&amp;"/"&amp;REGEXEXTRACT($AM250,"/x/([A-Za-z0-9]+)")&amp;".png"),1),"⚠️ link tidak dikenali"))</f>
        <v/>
      </c>
      <c r="AO250" s="68"/>
      <c r="AP250" s="58" t="str">
        <f>IF($AO250="","",IFERROR(_xlfn.IMAGE(IF(REGEXMATCH($AO250,"\.(png|jpg|jpeg|gif)$"),$AO250,"https://s3.tradingview.com/snapshots/"&amp;LOWER(MID(REGEXEXTRACT($AO250,"/x/([A-Za-z0-9]+)"),1,1))&amp;"/"&amp;REGEXEXTRACT($AO250,"/x/([A-Za-z0-9]+)")&amp;".png"),1),"⚠️ link tidak dikenali"))</f>
        <v/>
      </c>
      <c r="AQ250" s="66">
        <f>IF($Z250="",0,IF(AND(OR('📊 Dashboard'!$B$4="(Semua)",$F250='📊 Dashboard'!$B$4),OR('📊 Dashboard'!$B$5="(Semua)",$H250='📊 Dashboard'!$B$5),OR('📊 Dashboard'!$B$6="(Semua)",$E250='📊 Dashboard'!$B$6),OR('📊 Dashboard'!$B$7="(Semua)",$AF250='📊 Dashboard'!$B$7),OR('📊 Dashboard'!$B$8="(Semua)",$AG250='📊 Dashboard'!$B$8),OR('📊 Dashboard'!$B$9="(Semua)",$K250='📊 Dashboard'!$B$9)),1,0))</f>
        <v>0</v>
      </c>
      <c r="AR250" s="69"/>
    </row>
    <row r="251" ht="58" customHeight="1" spans="1:44">
      <c r="A251" s="58" t="str">
        <f t="shared" si="21"/>
        <v/>
      </c>
      <c r="B251" s="59"/>
      <c r="C251" s="60"/>
      <c r="D251" s="60"/>
      <c r="E251" s="58" t="str">
        <f t="shared" si="22"/>
        <v/>
      </c>
      <c r="F251" s="61"/>
      <c r="G251" s="61"/>
      <c r="H251" s="61"/>
      <c r="I251" s="61"/>
      <c r="J251" s="61"/>
      <c r="K251" s="61"/>
      <c r="L251" s="61"/>
      <c r="M251" s="61"/>
      <c r="N251" s="62"/>
      <c r="O251" s="62"/>
      <c r="P251" s="62"/>
      <c r="Q251" s="62"/>
      <c r="R251" s="63" t="str">
        <f>IFERROR(IF(OR($N251="",$O251="",$F251=""),"",ROUND(('⚙️ Setelan'!$B$3*'⚙️ Setelan'!$B$4/100)/(ABS($N251-$O251)*VLOOKUP($F251,'⚙️ Setelan'!$A$14:$F$20,4,FALSE)),2)),"")</f>
        <v/>
      </c>
      <c r="S251" s="64"/>
      <c r="T251" s="65" t="str">
        <f>IFERROR(IF(OR($N251="",$O251="",$S251=""),"",ABS($N251-$O251)*$S251*VLOOKUP($F251,'⚙️ Setelan'!$A$14:$F$20,4,FALSE)),"")</f>
        <v/>
      </c>
      <c r="U251" s="63" t="str">
        <f t="shared" si="23"/>
        <v/>
      </c>
      <c r="V251" s="65" t="str">
        <f>IFERROR(IF(OR($Q251="",$N251="",$S251=""),"",($Q251-$N251)*IF($G251="Buy",1,-1)*$S251*VLOOKUP($F251,'⚙️ Setelan'!$A$14:$F$20,4,FALSE)),"")</f>
        <v/>
      </c>
      <c r="W251" s="65" t="str">
        <f>IFERROR(IF(OR($S251="",$F251=""),"",$S251*VLOOKUP($F251,'⚙️ Setelan'!$A$14:$F$20,5,FALSE)),"")</f>
        <v/>
      </c>
      <c r="X251" s="65" t="str">
        <f t="shared" si="24"/>
        <v/>
      </c>
      <c r="Y251" s="63" t="str">
        <f t="shared" si="25"/>
        <v/>
      </c>
      <c r="Z251" s="58" t="str">
        <f t="shared" si="26"/>
        <v/>
      </c>
      <c r="AA251" s="66" t="str">
        <f t="shared" si="27"/>
        <v/>
      </c>
      <c r="AB251" s="62"/>
      <c r="AC251" s="62"/>
      <c r="AD251" s="63" t="str">
        <f>IFERROR(IF(OR($AB251="",$T251="",$T251=0),"",ROUND(ABS($N251-$AB251)*$S251*VLOOKUP($F251,'⚙️ Setelan'!$A$14:$F$20,4,FALSE)/$T251,2)),"")</f>
        <v/>
      </c>
      <c r="AE251" s="63" t="str">
        <f>IFERROR(IF(OR($AC251="",$T251="",$T251=0),"",ROUND(ABS($AC251-$N251)*$S251*VLOOKUP($F251,'⚙️ Setelan'!$A$14:$F$20,4,FALSE)/$T251,2)),"")</f>
        <v/>
      </c>
      <c r="AF251" s="61"/>
      <c r="AG251" s="61"/>
      <c r="AH251" s="61"/>
      <c r="AI251" s="61"/>
      <c r="AJ251" s="61"/>
      <c r="AK251" s="67"/>
      <c r="AL251" s="58" t="str">
        <f>IF(OR($C251="",$B251=""),"",IF(AND($Z250="Loss",$B251=$B250,MOD($C251-$D250,1)*1440&lt;'⚙️ Setelan'!$B$9),"⚠️ Revenge",""))</f>
        <v/>
      </c>
      <c r="AM251" s="68"/>
      <c r="AN251" s="58" t="str">
        <f>IF($AM251="","",IFERROR(_xlfn.IMAGE(IF(REGEXMATCH($AM251,"\.(png|jpg|jpeg|gif)$"),$AM251,"https://s3.tradingview.com/snapshots/"&amp;LOWER(MID(REGEXEXTRACT($AM251,"/x/([A-Za-z0-9]+)"),1,1))&amp;"/"&amp;REGEXEXTRACT($AM251,"/x/([A-Za-z0-9]+)")&amp;".png"),1),"⚠️ link tidak dikenali"))</f>
        <v/>
      </c>
      <c r="AO251" s="68"/>
      <c r="AP251" s="58" t="str">
        <f>IF($AO251="","",IFERROR(_xlfn.IMAGE(IF(REGEXMATCH($AO251,"\.(png|jpg|jpeg|gif)$"),$AO251,"https://s3.tradingview.com/snapshots/"&amp;LOWER(MID(REGEXEXTRACT($AO251,"/x/([A-Za-z0-9]+)"),1,1))&amp;"/"&amp;REGEXEXTRACT($AO251,"/x/([A-Za-z0-9]+)")&amp;".png"),1),"⚠️ link tidak dikenali"))</f>
        <v/>
      </c>
      <c r="AQ251" s="66">
        <f>IF($Z251="",0,IF(AND(OR('📊 Dashboard'!$B$4="(Semua)",$F251='📊 Dashboard'!$B$4),OR('📊 Dashboard'!$B$5="(Semua)",$H251='📊 Dashboard'!$B$5),OR('📊 Dashboard'!$B$6="(Semua)",$E251='📊 Dashboard'!$B$6),OR('📊 Dashboard'!$B$7="(Semua)",$AF251='📊 Dashboard'!$B$7),OR('📊 Dashboard'!$B$8="(Semua)",$AG251='📊 Dashboard'!$B$8),OR('📊 Dashboard'!$B$9="(Semua)",$K251='📊 Dashboard'!$B$9)),1,0))</f>
        <v>0</v>
      </c>
      <c r="AR251" s="69"/>
    </row>
    <row r="252" ht="58" customHeight="1" spans="1:44">
      <c r="A252" s="58" t="str">
        <f t="shared" si="21"/>
        <v/>
      </c>
      <c r="B252" s="59"/>
      <c r="C252" s="60"/>
      <c r="D252" s="60"/>
      <c r="E252" s="58" t="str">
        <f t="shared" si="22"/>
        <v/>
      </c>
      <c r="F252" s="61"/>
      <c r="G252" s="61"/>
      <c r="H252" s="61"/>
      <c r="I252" s="61"/>
      <c r="J252" s="61"/>
      <c r="K252" s="61"/>
      <c r="L252" s="61"/>
      <c r="M252" s="61"/>
      <c r="N252" s="62"/>
      <c r="O252" s="62"/>
      <c r="P252" s="62"/>
      <c r="Q252" s="62"/>
      <c r="R252" s="63" t="str">
        <f>IFERROR(IF(OR($N252="",$O252="",$F252=""),"",ROUND(('⚙️ Setelan'!$B$3*'⚙️ Setelan'!$B$4/100)/(ABS($N252-$O252)*VLOOKUP($F252,'⚙️ Setelan'!$A$14:$F$20,4,FALSE)),2)),"")</f>
        <v/>
      </c>
      <c r="S252" s="64"/>
      <c r="T252" s="65" t="str">
        <f>IFERROR(IF(OR($N252="",$O252="",$S252=""),"",ABS($N252-$O252)*$S252*VLOOKUP($F252,'⚙️ Setelan'!$A$14:$F$20,4,FALSE)),"")</f>
        <v/>
      </c>
      <c r="U252" s="63" t="str">
        <f t="shared" si="23"/>
        <v/>
      </c>
      <c r="V252" s="65" t="str">
        <f>IFERROR(IF(OR($Q252="",$N252="",$S252=""),"",($Q252-$N252)*IF($G252="Buy",1,-1)*$S252*VLOOKUP($F252,'⚙️ Setelan'!$A$14:$F$20,4,FALSE)),"")</f>
        <v/>
      </c>
      <c r="W252" s="65" t="str">
        <f>IFERROR(IF(OR($S252="",$F252=""),"",$S252*VLOOKUP($F252,'⚙️ Setelan'!$A$14:$F$20,5,FALSE)),"")</f>
        <v/>
      </c>
      <c r="X252" s="65" t="str">
        <f t="shared" si="24"/>
        <v/>
      </c>
      <c r="Y252" s="63" t="str">
        <f t="shared" si="25"/>
        <v/>
      </c>
      <c r="Z252" s="58" t="str">
        <f t="shared" si="26"/>
        <v/>
      </c>
      <c r="AA252" s="66" t="str">
        <f t="shared" si="27"/>
        <v/>
      </c>
      <c r="AB252" s="62"/>
      <c r="AC252" s="62"/>
      <c r="AD252" s="63" t="str">
        <f>IFERROR(IF(OR($AB252="",$T252="",$T252=0),"",ROUND(ABS($N252-$AB252)*$S252*VLOOKUP($F252,'⚙️ Setelan'!$A$14:$F$20,4,FALSE)/$T252,2)),"")</f>
        <v/>
      </c>
      <c r="AE252" s="63" t="str">
        <f>IFERROR(IF(OR($AC252="",$T252="",$T252=0),"",ROUND(ABS($AC252-$N252)*$S252*VLOOKUP($F252,'⚙️ Setelan'!$A$14:$F$20,4,FALSE)/$T252,2)),"")</f>
        <v/>
      </c>
      <c r="AF252" s="61"/>
      <c r="AG252" s="61"/>
      <c r="AH252" s="61"/>
      <c r="AI252" s="61"/>
      <c r="AJ252" s="61"/>
      <c r="AK252" s="67"/>
      <c r="AL252" s="58" t="str">
        <f>IF(OR($C252="",$B252=""),"",IF(AND($Z251="Loss",$B252=$B251,MOD($C252-$D251,1)*1440&lt;'⚙️ Setelan'!$B$9),"⚠️ Revenge",""))</f>
        <v/>
      </c>
      <c r="AM252" s="68"/>
      <c r="AN252" s="58" t="str">
        <f>IF($AM252="","",IFERROR(_xlfn.IMAGE(IF(REGEXMATCH($AM252,"\.(png|jpg|jpeg|gif)$"),$AM252,"https://s3.tradingview.com/snapshots/"&amp;LOWER(MID(REGEXEXTRACT($AM252,"/x/([A-Za-z0-9]+)"),1,1))&amp;"/"&amp;REGEXEXTRACT($AM252,"/x/([A-Za-z0-9]+)")&amp;".png"),1),"⚠️ link tidak dikenali"))</f>
        <v/>
      </c>
      <c r="AO252" s="68"/>
      <c r="AP252" s="58" t="str">
        <f>IF($AO252="","",IFERROR(_xlfn.IMAGE(IF(REGEXMATCH($AO252,"\.(png|jpg|jpeg|gif)$"),$AO252,"https://s3.tradingview.com/snapshots/"&amp;LOWER(MID(REGEXEXTRACT($AO252,"/x/([A-Za-z0-9]+)"),1,1))&amp;"/"&amp;REGEXEXTRACT($AO252,"/x/([A-Za-z0-9]+)")&amp;".png"),1),"⚠️ link tidak dikenali"))</f>
        <v/>
      </c>
      <c r="AQ252" s="66">
        <f>IF($Z252="",0,IF(AND(OR('📊 Dashboard'!$B$4="(Semua)",$F252='📊 Dashboard'!$B$4),OR('📊 Dashboard'!$B$5="(Semua)",$H252='📊 Dashboard'!$B$5),OR('📊 Dashboard'!$B$6="(Semua)",$E252='📊 Dashboard'!$B$6),OR('📊 Dashboard'!$B$7="(Semua)",$AF252='📊 Dashboard'!$B$7),OR('📊 Dashboard'!$B$8="(Semua)",$AG252='📊 Dashboard'!$B$8),OR('📊 Dashboard'!$B$9="(Semua)",$K252='📊 Dashboard'!$B$9)),1,0))</f>
        <v>0</v>
      </c>
      <c r="AR252" s="69"/>
    </row>
    <row r="253" ht="58" customHeight="1" spans="1:44">
      <c r="A253" s="58" t="str">
        <f t="shared" si="21"/>
        <v/>
      </c>
      <c r="B253" s="59"/>
      <c r="C253" s="60"/>
      <c r="D253" s="60"/>
      <c r="E253" s="58" t="str">
        <f t="shared" si="22"/>
        <v/>
      </c>
      <c r="F253" s="61"/>
      <c r="G253" s="61"/>
      <c r="H253" s="61"/>
      <c r="I253" s="61"/>
      <c r="J253" s="61"/>
      <c r="K253" s="61"/>
      <c r="L253" s="61"/>
      <c r="M253" s="61"/>
      <c r="N253" s="62"/>
      <c r="O253" s="62"/>
      <c r="P253" s="62"/>
      <c r="Q253" s="62"/>
      <c r="R253" s="63" t="str">
        <f>IFERROR(IF(OR($N253="",$O253="",$F253=""),"",ROUND(('⚙️ Setelan'!$B$3*'⚙️ Setelan'!$B$4/100)/(ABS($N253-$O253)*VLOOKUP($F253,'⚙️ Setelan'!$A$14:$F$20,4,FALSE)),2)),"")</f>
        <v/>
      </c>
      <c r="S253" s="64"/>
      <c r="T253" s="65" t="str">
        <f>IFERROR(IF(OR($N253="",$O253="",$S253=""),"",ABS($N253-$O253)*$S253*VLOOKUP($F253,'⚙️ Setelan'!$A$14:$F$20,4,FALSE)),"")</f>
        <v/>
      </c>
      <c r="U253" s="63" t="str">
        <f t="shared" si="23"/>
        <v/>
      </c>
      <c r="V253" s="65" t="str">
        <f>IFERROR(IF(OR($Q253="",$N253="",$S253=""),"",($Q253-$N253)*IF($G253="Buy",1,-1)*$S253*VLOOKUP($F253,'⚙️ Setelan'!$A$14:$F$20,4,FALSE)),"")</f>
        <v/>
      </c>
      <c r="W253" s="65" t="str">
        <f>IFERROR(IF(OR($S253="",$F253=""),"",$S253*VLOOKUP($F253,'⚙️ Setelan'!$A$14:$F$20,5,FALSE)),"")</f>
        <v/>
      </c>
      <c r="X253" s="65" t="str">
        <f t="shared" si="24"/>
        <v/>
      </c>
      <c r="Y253" s="63" t="str">
        <f t="shared" si="25"/>
        <v/>
      </c>
      <c r="Z253" s="58" t="str">
        <f t="shared" si="26"/>
        <v/>
      </c>
      <c r="AA253" s="66" t="str">
        <f t="shared" si="27"/>
        <v/>
      </c>
      <c r="AB253" s="62"/>
      <c r="AC253" s="62"/>
      <c r="AD253" s="63" t="str">
        <f>IFERROR(IF(OR($AB253="",$T253="",$T253=0),"",ROUND(ABS($N253-$AB253)*$S253*VLOOKUP($F253,'⚙️ Setelan'!$A$14:$F$20,4,FALSE)/$T253,2)),"")</f>
        <v/>
      </c>
      <c r="AE253" s="63" t="str">
        <f>IFERROR(IF(OR($AC253="",$T253="",$T253=0),"",ROUND(ABS($AC253-$N253)*$S253*VLOOKUP($F253,'⚙️ Setelan'!$A$14:$F$20,4,FALSE)/$T253,2)),"")</f>
        <v/>
      </c>
      <c r="AF253" s="61"/>
      <c r="AG253" s="61"/>
      <c r="AH253" s="61"/>
      <c r="AI253" s="61"/>
      <c r="AJ253" s="61"/>
      <c r="AK253" s="67"/>
      <c r="AL253" s="58" t="str">
        <f>IF(OR($C253="",$B253=""),"",IF(AND($Z252="Loss",$B253=$B252,MOD($C253-$D252,1)*1440&lt;'⚙️ Setelan'!$B$9),"⚠️ Revenge",""))</f>
        <v/>
      </c>
      <c r="AM253" s="68"/>
      <c r="AN253" s="58" t="str">
        <f>IF($AM253="","",IFERROR(_xlfn.IMAGE(IF(REGEXMATCH($AM253,"\.(png|jpg|jpeg|gif)$"),$AM253,"https://s3.tradingview.com/snapshots/"&amp;LOWER(MID(REGEXEXTRACT($AM253,"/x/([A-Za-z0-9]+)"),1,1))&amp;"/"&amp;REGEXEXTRACT($AM253,"/x/([A-Za-z0-9]+)")&amp;".png"),1),"⚠️ link tidak dikenali"))</f>
        <v/>
      </c>
      <c r="AO253" s="68"/>
      <c r="AP253" s="58" t="str">
        <f>IF($AO253="","",IFERROR(_xlfn.IMAGE(IF(REGEXMATCH($AO253,"\.(png|jpg|jpeg|gif)$"),$AO253,"https://s3.tradingview.com/snapshots/"&amp;LOWER(MID(REGEXEXTRACT($AO253,"/x/([A-Za-z0-9]+)"),1,1))&amp;"/"&amp;REGEXEXTRACT($AO253,"/x/([A-Za-z0-9]+)")&amp;".png"),1),"⚠️ link tidak dikenali"))</f>
        <v/>
      </c>
      <c r="AQ253" s="66">
        <f>IF($Z253="",0,IF(AND(OR('📊 Dashboard'!$B$4="(Semua)",$F253='📊 Dashboard'!$B$4),OR('📊 Dashboard'!$B$5="(Semua)",$H253='📊 Dashboard'!$B$5),OR('📊 Dashboard'!$B$6="(Semua)",$E253='📊 Dashboard'!$B$6),OR('📊 Dashboard'!$B$7="(Semua)",$AF253='📊 Dashboard'!$B$7),OR('📊 Dashboard'!$B$8="(Semua)",$AG253='📊 Dashboard'!$B$8),OR('📊 Dashboard'!$B$9="(Semua)",$K253='📊 Dashboard'!$B$9)),1,0))</f>
        <v>0</v>
      </c>
      <c r="AR253" s="69"/>
    </row>
    <row r="254" ht="58" customHeight="1" spans="1:44">
      <c r="A254" s="58" t="str">
        <f t="shared" si="21"/>
        <v/>
      </c>
      <c r="B254" s="59"/>
      <c r="C254" s="60"/>
      <c r="D254" s="60"/>
      <c r="E254" s="58" t="str">
        <f t="shared" si="22"/>
        <v/>
      </c>
      <c r="F254" s="61"/>
      <c r="G254" s="61"/>
      <c r="H254" s="61"/>
      <c r="I254" s="61"/>
      <c r="J254" s="61"/>
      <c r="K254" s="61"/>
      <c r="L254" s="61"/>
      <c r="M254" s="61"/>
      <c r="N254" s="62"/>
      <c r="O254" s="62"/>
      <c r="P254" s="62"/>
      <c r="Q254" s="62"/>
      <c r="R254" s="63" t="str">
        <f>IFERROR(IF(OR($N254="",$O254="",$F254=""),"",ROUND(('⚙️ Setelan'!$B$3*'⚙️ Setelan'!$B$4/100)/(ABS($N254-$O254)*VLOOKUP($F254,'⚙️ Setelan'!$A$14:$F$20,4,FALSE)),2)),"")</f>
        <v/>
      </c>
      <c r="S254" s="64"/>
      <c r="T254" s="65" t="str">
        <f>IFERROR(IF(OR($N254="",$O254="",$S254=""),"",ABS($N254-$O254)*$S254*VLOOKUP($F254,'⚙️ Setelan'!$A$14:$F$20,4,FALSE)),"")</f>
        <v/>
      </c>
      <c r="U254" s="63" t="str">
        <f t="shared" si="23"/>
        <v/>
      </c>
      <c r="V254" s="65" t="str">
        <f>IFERROR(IF(OR($Q254="",$N254="",$S254=""),"",($Q254-$N254)*IF($G254="Buy",1,-1)*$S254*VLOOKUP($F254,'⚙️ Setelan'!$A$14:$F$20,4,FALSE)),"")</f>
        <v/>
      </c>
      <c r="W254" s="65" t="str">
        <f>IFERROR(IF(OR($S254="",$F254=""),"",$S254*VLOOKUP($F254,'⚙️ Setelan'!$A$14:$F$20,5,FALSE)),"")</f>
        <v/>
      </c>
      <c r="X254" s="65" t="str">
        <f t="shared" si="24"/>
        <v/>
      </c>
      <c r="Y254" s="63" t="str">
        <f t="shared" si="25"/>
        <v/>
      </c>
      <c r="Z254" s="58" t="str">
        <f t="shared" si="26"/>
        <v/>
      </c>
      <c r="AA254" s="66" t="str">
        <f t="shared" si="27"/>
        <v/>
      </c>
      <c r="AB254" s="62"/>
      <c r="AC254" s="62"/>
      <c r="AD254" s="63" t="str">
        <f>IFERROR(IF(OR($AB254="",$T254="",$T254=0),"",ROUND(ABS($N254-$AB254)*$S254*VLOOKUP($F254,'⚙️ Setelan'!$A$14:$F$20,4,FALSE)/$T254,2)),"")</f>
        <v/>
      </c>
      <c r="AE254" s="63" t="str">
        <f>IFERROR(IF(OR($AC254="",$T254="",$T254=0),"",ROUND(ABS($AC254-$N254)*$S254*VLOOKUP($F254,'⚙️ Setelan'!$A$14:$F$20,4,FALSE)/$T254,2)),"")</f>
        <v/>
      </c>
      <c r="AF254" s="61"/>
      <c r="AG254" s="61"/>
      <c r="AH254" s="61"/>
      <c r="AI254" s="61"/>
      <c r="AJ254" s="61"/>
      <c r="AK254" s="67"/>
      <c r="AL254" s="58" t="str">
        <f>IF(OR($C254="",$B254=""),"",IF(AND($Z253="Loss",$B254=$B253,MOD($C254-$D253,1)*1440&lt;'⚙️ Setelan'!$B$9),"⚠️ Revenge",""))</f>
        <v/>
      </c>
      <c r="AM254" s="68"/>
      <c r="AN254" s="58" t="str">
        <f>IF($AM254="","",IFERROR(_xlfn.IMAGE(IF(REGEXMATCH($AM254,"\.(png|jpg|jpeg|gif)$"),$AM254,"https://s3.tradingview.com/snapshots/"&amp;LOWER(MID(REGEXEXTRACT($AM254,"/x/([A-Za-z0-9]+)"),1,1))&amp;"/"&amp;REGEXEXTRACT($AM254,"/x/([A-Za-z0-9]+)")&amp;".png"),1),"⚠️ link tidak dikenali"))</f>
        <v/>
      </c>
      <c r="AO254" s="68"/>
      <c r="AP254" s="58" t="str">
        <f>IF($AO254="","",IFERROR(_xlfn.IMAGE(IF(REGEXMATCH($AO254,"\.(png|jpg|jpeg|gif)$"),$AO254,"https://s3.tradingview.com/snapshots/"&amp;LOWER(MID(REGEXEXTRACT($AO254,"/x/([A-Za-z0-9]+)"),1,1))&amp;"/"&amp;REGEXEXTRACT($AO254,"/x/([A-Za-z0-9]+)")&amp;".png"),1),"⚠️ link tidak dikenali"))</f>
        <v/>
      </c>
      <c r="AQ254" s="66">
        <f>IF($Z254="",0,IF(AND(OR('📊 Dashboard'!$B$4="(Semua)",$F254='📊 Dashboard'!$B$4),OR('📊 Dashboard'!$B$5="(Semua)",$H254='📊 Dashboard'!$B$5),OR('📊 Dashboard'!$B$6="(Semua)",$E254='📊 Dashboard'!$B$6),OR('📊 Dashboard'!$B$7="(Semua)",$AF254='📊 Dashboard'!$B$7),OR('📊 Dashboard'!$B$8="(Semua)",$AG254='📊 Dashboard'!$B$8),OR('📊 Dashboard'!$B$9="(Semua)",$K254='📊 Dashboard'!$B$9)),1,0))</f>
        <v>0</v>
      </c>
      <c r="AR254" s="69"/>
    </row>
    <row r="255" ht="58" customHeight="1" spans="1:44">
      <c r="A255" s="58" t="str">
        <f t="shared" si="21"/>
        <v/>
      </c>
      <c r="B255" s="59"/>
      <c r="C255" s="60"/>
      <c r="D255" s="60"/>
      <c r="E255" s="58" t="str">
        <f t="shared" si="22"/>
        <v/>
      </c>
      <c r="F255" s="61"/>
      <c r="G255" s="61"/>
      <c r="H255" s="61"/>
      <c r="I255" s="61"/>
      <c r="J255" s="61"/>
      <c r="K255" s="61"/>
      <c r="L255" s="61"/>
      <c r="M255" s="61"/>
      <c r="N255" s="62"/>
      <c r="O255" s="62"/>
      <c r="P255" s="62"/>
      <c r="Q255" s="62"/>
      <c r="R255" s="63" t="str">
        <f>IFERROR(IF(OR($N255="",$O255="",$F255=""),"",ROUND(('⚙️ Setelan'!$B$3*'⚙️ Setelan'!$B$4/100)/(ABS($N255-$O255)*VLOOKUP($F255,'⚙️ Setelan'!$A$14:$F$20,4,FALSE)),2)),"")</f>
        <v/>
      </c>
      <c r="S255" s="64"/>
      <c r="T255" s="65" t="str">
        <f>IFERROR(IF(OR($N255="",$O255="",$S255=""),"",ABS($N255-$O255)*$S255*VLOOKUP($F255,'⚙️ Setelan'!$A$14:$F$20,4,FALSE)),"")</f>
        <v/>
      </c>
      <c r="U255" s="63" t="str">
        <f t="shared" si="23"/>
        <v/>
      </c>
      <c r="V255" s="65" t="str">
        <f>IFERROR(IF(OR($Q255="",$N255="",$S255=""),"",($Q255-$N255)*IF($G255="Buy",1,-1)*$S255*VLOOKUP($F255,'⚙️ Setelan'!$A$14:$F$20,4,FALSE)),"")</f>
        <v/>
      </c>
      <c r="W255" s="65" t="str">
        <f>IFERROR(IF(OR($S255="",$F255=""),"",$S255*VLOOKUP($F255,'⚙️ Setelan'!$A$14:$F$20,5,FALSE)),"")</f>
        <v/>
      </c>
      <c r="X255" s="65" t="str">
        <f t="shared" si="24"/>
        <v/>
      </c>
      <c r="Y255" s="63" t="str">
        <f t="shared" si="25"/>
        <v/>
      </c>
      <c r="Z255" s="58" t="str">
        <f t="shared" si="26"/>
        <v/>
      </c>
      <c r="AA255" s="66" t="str">
        <f t="shared" si="27"/>
        <v/>
      </c>
      <c r="AB255" s="62"/>
      <c r="AC255" s="62"/>
      <c r="AD255" s="63" t="str">
        <f>IFERROR(IF(OR($AB255="",$T255="",$T255=0),"",ROUND(ABS($N255-$AB255)*$S255*VLOOKUP($F255,'⚙️ Setelan'!$A$14:$F$20,4,FALSE)/$T255,2)),"")</f>
        <v/>
      </c>
      <c r="AE255" s="63" t="str">
        <f>IFERROR(IF(OR($AC255="",$T255="",$T255=0),"",ROUND(ABS($AC255-$N255)*$S255*VLOOKUP($F255,'⚙️ Setelan'!$A$14:$F$20,4,FALSE)/$T255,2)),"")</f>
        <v/>
      </c>
      <c r="AF255" s="61"/>
      <c r="AG255" s="61"/>
      <c r="AH255" s="61"/>
      <c r="AI255" s="61"/>
      <c r="AJ255" s="61"/>
      <c r="AK255" s="67"/>
      <c r="AL255" s="58" t="str">
        <f>IF(OR($C255="",$B255=""),"",IF(AND($Z254="Loss",$B255=$B254,MOD($C255-$D254,1)*1440&lt;'⚙️ Setelan'!$B$9),"⚠️ Revenge",""))</f>
        <v/>
      </c>
      <c r="AM255" s="68"/>
      <c r="AN255" s="58" t="str">
        <f>IF($AM255="","",IFERROR(_xlfn.IMAGE(IF(REGEXMATCH($AM255,"\.(png|jpg|jpeg|gif)$"),$AM255,"https://s3.tradingview.com/snapshots/"&amp;LOWER(MID(REGEXEXTRACT($AM255,"/x/([A-Za-z0-9]+)"),1,1))&amp;"/"&amp;REGEXEXTRACT($AM255,"/x/([A-Za-z0-9]+)")&amp;".png"),1),"⚠️ link tidak dikenali"))</f>
        <v/>
      </c>
      <c r="AO255" s="68"/>
      <c r="AP255" s="58" t="str">
        <f>IF($AO255="","",IFERROR(_xlfn.IMAGE(IF(REGEXMATCH($AO255,"\.(png|jpg|jpeg|gif)$"),$AO255,"https://s3.tradingview.com/snapshots/"&amp;LOWER(MID(REGEXEXTRACT($AO255,"/x/([A-Za-z0-9]+)"),1,1))&amp;"/"&amp;REGEXEXTRACT($AO255,"/x/([A-Za-z0-9]+)")&amp;".png"),1),"⚠️ link tidak dikenali"))</f>
        <v/>
      </c>
      <c r="AQ255" s="66">
        <f>IF($Z255="",0,IF(AND(OR('📊 Dashboard'!$B$4="(Semua)",$F255='📊 Dashboard'!$B$4),OR('📊 Dashboard'!$B$5="(Semua)",$H255='📊 Dashboard'!$B$5),OR('📊 Dashboard'!$B$6="(Semua)",$E255='📊 Dashboard'!$B$6),OR('📊 Dashboard'!$B$7="(Semua)",$AF255='📊 Dashboard'!$B$7),OR('📊 Dashboard'!$B$8="(Semua)",$AG255='📊 Dashboard'!$B$8),OR('📊 Dashboard'!$B$9="(Semua)",$K255='📊 Dashboard'!$B$9)),1,0))</f>
        <v>0</v>
      </c>
      <c r="AR255" s="69"/>
    </row>
    <row r="256" ht="58" customHeight="1" spans="1:44">
      <c r="A256" s="58" t="str">
        <f t="shared" si="21"/>
        <v/>
      </c>
      <c r="B256" s="59"/>
      <c r="C256" s="60"/>
      <c r="D256" s="60"/>
      <c r="E256" s="58" t="str">
        <f t="shared" si="22"/>
        <v/>
      </c>
      <c r="F256" s="61"/>
      <c r="G256" s="61"/>
      <c r="H256" s="61"/>
      <c r="I256" s="61"/>
      <c r="J256" s="61"/>
      <c r="K256" s="61"/>
      <c r="L256" s="61"/>
      <c r="M256" s="61"/>
      <c r="N256" s="62"/>
      <c r="O256" s="62"/>
      <c r="P256" s="62"/>
      <c r="Q256" s="62"/>
      <c r="R256" s="63" t="str">
        <f>IFERROR(IF(OR($N256="",$O256="",$F256=""),"",ROUND(('⚙️ Setelan'!$B$3*'⚙️ Setelan'!$B$4/100)/(ABS($N256-$O256)*VLOOKUP($F256,'⚙️ Setelan'!$A$14:$F$20,4,FALSE)),2)),"")</f>
        <v/>
      </c>
      <c r="S256" s="64"/>
      <c r="T256" s="65" t="str">
        <f>IFERROR(IF(OR($N256="",$O256="",$S256=""),"",ABS($N256-$O256)*$S256*VLOOKUP($F256,'⚙️ Setelan'!$A$14:$F$20,4,FALSE)),"")</f>
        <v/>
      </c>
      <c r="U256" s="63" t="str">
        <f t="shared" si="23"/>
        <v/>
      </c>
      <c r="V256" s="65" t="str">
        <f>IFERROR(IF(OR($Q256="",$N256="",$S256=""),"",($Q256-$N256)*IF($G256="Buy",1,-1)*$S256*VLOOKUP($F256,'⚙️ Setelan'!$A$14:$F$20,4,FALSE)),"")</f>
        <v/>
      </c>
      <c r="W256" s="65" t="str">
        <f>IFERROR(IF(OR($S256="",$F256=""),"",$S256*VLOOKUP($F256,'⚙️ Setelan'!$A$14:$F$20,5,FALSE)),"")</f>
        <v/>
      </c>
      <c r="X256" s="65" t="str">
        <f t="shared" si="24"/>
        <v/>
      </c>
      <c r="Y256" s="63" t="str">
        <f t="shared" si="25"/>
        <v/>
      </c>
      <c r="Z256" s="58" t="str">
        <f t="shared" si="26"/>
        <v/>
      </c>
      <c r="AA256" s="66" t="str">
        <f t="shared" si="27"/>
        <v/>
      </c>
      <c r="AB256" s="62"/>
      <c r="AC256" s="62"/>
      <c r="AD256" s="63" t="str">
        <f>IFERROR(IF(OR($AB256="",$T256="",$T256=0),"",ROUND(ABS($N256-$AB256)*$S256*VLOOKUP($F256,'⚙️ Setelan'!$A$14:$F$20,4,FALSE)/$T256,2)),"")</f>
        <v/>
      </c>
      <c r="AE256" s="63" t="str">
        <f>IFERROR(IF(OR($AC256="",$T256="",$T256=0),"",ROUND(ABS($AC256-$N256)*$S256*VLOOKUP($F256,'⚙️ Setelan'!$A$14:$F$20,4,FALSE)/$T256,2)),"")</f>
        <v/>
      </c>
      <c r="AF256" s="61"/>
      <c r="AG256" s="61"/>
      <c r="AH256" s="61"/>
      <c r="AI256" s="61"/>
      <c r="AJ256" s="61"/>
      <c r="AK256" s="67"/>
      <c r="AL256" s="58" t="str">
        <f>IF(OR($C256="",$B256=""),"",IF(AND($Z255="Loss",$B256=$B255,MOD($C256-$D255,1)*1440&lt;'⚙️ Setelan'!$B$9),"⚠️ Revenge",""))</f>
        <v/>
      </c>
      <c r="AM256" s="68"/>
      <c r="AN256" s="58" t="str">
        <f>IF($AM256="","",IFERROR(_xlfn.IMAGE(IF(REGEXMATCH($AM256,"\.(png|jpg|jpeg|gif)$"),$AM256,"https://s3.tradingview.com/snapshots/"&amp;LOWER(MID(REGEXEXTRACT($AM256,"/x/([A-Za-z0-9]+)"),1,1))&amp;"/"&amp;REGEXEXTRACT($AM256,"/x/([A-Za-z0-9]+)")&amp;".png"),1),"⚠️ link tidak dikenali"))</f>
        <v/>
      </c>
      <c r="AO256" s="68"/>
      <c r="AP256" s="58" t="str">
        <f>IF($AO256="","",IFERROR(_xlfn.IMAGE(IF(REGEXMATCH($AO256,"\.(png|jpg|jpeg|gif)$"),$AO256,"https://s3.tradingview.com/snapshots/"&amp;LOWER(MID(REGEXEXTRACT($AO256,"/x/([A-Za-z0-9]+)"),1,1))&amp;"/"&amp;REGEXEXTRACT($AO256,"/x/([A-Za-z0-9]+)")&amp;".png"),1),"⚠️ link tidak dikenali"))</f>
        <v/>
      </c>
      <c r="AQ256" s="66">
        <f>IF($Z256="",0,IF(AND(OR('📊 Dashboard'!$B$4="(Semua)",$F256='📊 Dashboard'!$B$4),OR('📊 Dashboard'!$B$5="(Semua)",$H256='📊 Dashboard'!$B$5),OR('📊 Dashboard'!$B$6="(Semua)",$E256='📊 Dashboard'!$B$6),OR('📊 Dashboard'!$B$7="(Semua)",$AF256='📊 Dashboard'!$B$7),OR('📊 Dashboard'!$B$8="(Semua)",$AG256='📊 Dashboard'!$B$8),OR('📊 Dashboard'!$B$9="(Semua)",$K256='📊 Dashboard'!$B$9)),1,0))</f>
        <v>0</v>
      </c>
      <c r="AR256" s="69"/>
    </row>
    <row r="257" ht="58" customHeight="1" spans="1:44">
      <c r="A257" s="58" t="str">
        <f t="shared" si="21"/>
        <v/>
      </c>
      <c r="B257" s="59"/>
      <c r="C257" s="60"/>
      <c r="D257" s="60"/>
      <c r="E257" s="58" t="str">
        <f t="shared" si="22"/>
        <v/>
      </c>
      <c r="F257" s="61"/>
      <c r="G257" s="61"/>
      <c r="H257" s="61"/>
      <c r="I257" s="61"/>
      <c r="J257" s="61"/>
      <c r="K257" s="61"/>
      <c r="L257" s="61"/>
      <c r="M257" s="61"/>
      <c r="N257" s="62"/>
      <c r="O257" s="62"/>
      <c r="P257" s="62"/>
      <c r="Q257" s="62"/>
      <c r="R257" s="63" t="str">
        <f>IFERROR(IF(OR($N257="",$O257="",$F257=""),"",ROUND(('⚙️ Setelan'!$B$3*'⚙️ Setelan'!$B$4/100)/(ABS($N257-$O257)*VLOOKUP($F257,'⚙️ Setelan'!$A$14:$F$20,4,FALSE)),2)),"")</f>
        <v/>
      </c>
      <c r="S257" s="64"/>
      <c r="T257" s="65" t="str">
        <f>IFERROR(IF(OR($N257="",$O257="",$S257=""),"",ABS($N257-$O257)*$S257*VLOOKUP($F257,'⚙️ Setelan'!$A$14:$F$20,4,FALSE)),"")</f>
        <v/>
      </c>
      <c r="U257" s="63" t="str">
        <f t="shared" si="23"/>
        <v/>
      </c>
      <c r="V257" s="65" t="str">
        <f>IFERROR(IF(OR($Q257="",$N257="",$S257=""),"",($Q257-$N257)*IF($G257="Buy",1,-1)*$S257*VLOOKUP($F257,'⚙️ Setelan'!$A$14:$F$20,4,FALSE)),"")</f>
        <v/>
      </c>
      <c r="W257" s="65" t="str">
        <f>IFERROR(IF(OR($S257="",$F257=""),"",$S257*VLOOKUP($F257,'⚙️ Setelan'!$A$14:$F$20,5,FALSE)),"")</f>
        <v/>
      </c>
      <c r="X257" s="65" t="str">
        <f t="shared" si="24"/>
        <v/>
      </c>
      <c r="Y257" s="63" t="str">
        <f t="shared" si="25"/>
        <v/>
      </c>
      <c r="Z257" s="58" t="str">
        <f t="shared" si="26"/>
        <v/>
      </c>
      <c r="AA257" s="66" t="str">
        <f t="shared" si="27"/>
        <v/>
      </c>
      <c r="AB257" s="62"/>
      <c r="AC257" s="62"/>
      <c r="AD257" s="63" t="str">
        <f>IFERROR(IF(OR($AB257="",$T257="",$T257=0),"",ROUND(ABS($N257-$AB257)*$S257*VLOOKUP($F257,'⚙️ Setelan'!$A$14:$F$20,4,FALSE)/$T257,2)),"")</f>
        <v/>
      </c>
      <c r="AE257" s="63" t="str">
        <f>IFERROR(IF(OR($AC257="",$T257="",$T257=0),"",ROUND(ABS($AC257-$N257)*$S257*VLOOKUP($F257,'⚙️ Setelan'!$A$14:$F$20,4,FALSE)/$T257,2)),"")</f>
        <v/>
      </c>
      <c r="AF257" s="61"/>
      <c r="AG257" s="61"/>
      <c r="AH257" s="61"/>
      <c r="AI257" s="61"/>
      <c r="AJ257" s="61"/>
      <c r="AK257" s="67"/>
      <c r="AL257" s="58" t="str">
        <f>IF(OR($C257="",$B257=""),"",IF(AND($Z256="Loss",$B257=$B256,MOD($C257-$D256,1)*1440&lt;'⚙️ Setelan'!$B$9),"⚠️ Revenge",""))</f>
        <v/>
      </c>
      <c r="AM257" s="68"/>
      <c r="AN257" s="58" t="str">
        <f>IF($AM257="","",IFERROR(_xlfn.IMAGE(IF(REGEXMATCH($AM257,"\.(png|jpg|jpeg|gif)$"),$AM257,"https://s3.tradingview.com/snapshots/"&amp;LOWER(MID(REGEXEXTRACT($AM257,"/x/([A-Za-z0-9]+)"),1,1))&amp;"/"&amp;REGEXEXTRACT($AM257,"/x/([A-Za-z0-9]+)")&amp;".png"),1),"⚠️ link tidak dikenali"))</f>
        <v/>
      </c>
      <c r="AO257" s="68"/>
      <c r="AP257" s="58" t="str">
        <f>IF($AO257="","",IFERROR(_xlfn.IMAGE(IF(REGEXMATCH($AO257,"\.(png|jpg|jpeg|gif)$"),$AO257,"https://s3.tradingview.com/snapshots/"&amp;LOWER(MID(REGEXEXTRACT($AO257,"/x/([A-Za-z0-9]+)"),1,1))&amp;"/"&amp;REGEXEXTRACT($AO257,"/x/([A-Za-z0-9]+)")&amp;".png"),1),"⚠️ link tidak dikenali"))</f>
        <v/>
      </c>
      <c r="AQ257" s="66">
        <f>IF($Z257="",0,IF(AND(OR('📊 Dashboard'!$B$4="(Semua)",$F257='📊 Dashboard'!$B$4),OR('📊 Dashboard'!$B$5="(Semua)",$H257='📊 Dashboard'!$B$5),OR('📊 Dashboard'!$B$6="(Semua)",$E257='📊 Dashboard'!$B$6),OR('📊 Dashboard'!$B$7="(Semua)",$AF257='📊 Dashboard'!$B$7),OR('📊 Dashboard'!$B$8="(Semua)",$AG257='📊 Dashboard'!$B$8),OR('📊 Dashboard'!$B$9="(Semua)",$K257='📊 Dashboard'!$B$9)),1,0))</f>
        <v>0</v>
      </c>
      <c r="AR257" s="69"/>
    </row>
    <row r="258" ht="58" customHeight="1" spans="1:44">
      <c r="A258" s="58" t="str">
        <f t="shared" si="21"/>
        <v/>
      </c>
      <c r="B258" s="59"/>
      <c r="C258" s="60"/>
      <c r="D258" s="60"/>
      <c r="E258" s="58" t="str">
        <f t="shared" si="22"/>
        <v/>
      </c>
      <c r="F258" s="61"/>
      <c r="G258" s="61"/>
      <c r="H258" s="61"/>
      <c r="I258" s="61"/>
      <c r="J258" s="61"/>
      <c r="K258" s="61"/>
      <c r="L258" s="61"/>
      <c r="M258" s="61"/>
      <c r="N258" s="62"/>
      <c r="O258" s="62"/>
      <c r="P258" s="62"/>
      <c r="Q258" s="62"/>
      <c r="R258" s="63" t="str">
        <f>IFERROR(IF(OR($N258="",$O258="",$F258=""),"",ROUND(('⚙️ Setelan'!$B$3*'⚙️ Setelan'!$B$4/100)/(ABS($N258-$O258)*VLOOKUP($F258,'⚙️ Setelan'!$A$14:$F$20,4,FALSE)),2)),"")</f>
        <v/>
      </c>
      <c r="S258" s="64"/>
      <c r="T258" s="65" t="str">
        <f>IFERROR(IF(OR($N258="",$O258="",$S258=""),"",ABS($N258-$O258)*$S258*VLOOKUP($F258,'⚙️ Setelan'!$A$14:$F$20,4,FALSE)),"")</f>
        <v/>
      </c>
      <c r="U258" s="63" t="str">
        <f t="shared" si="23"/>
        <v/>
      </c>
      <c r="V258" s="65" t="str">
        <f>IFERROR(IF(OR($Q258="",$N258="",$S258=""),"",($Q258-$N258)*IF($G258="Buy",1,-1)*$S258*VLOOKUP($F258,'⚙️ Setelan'!$A$14:$F$20,4,FALSE)),"")</f>
        <v/>
      </c>
      <c r="W258" s="65" t="str">
        <f>IFERROR(IF(OR($S258="",$F258=""),"",$S258*VLOOKUP($F258,'⚙️ Setelan'!$A$14:$F$20,5,FALSE)),"")</f>
        <v/>
      </c>
      <c r="X258" s="65" t="str">
        <f t="shared" si="24"/>
        <v/>
      </c>
      <c r="Y258" s="63" t="str">
        <f t="shared" si="25"/>
        <v/>
      </c>
      <c r="Z258" s="58" t="str">
        <f t="shared" si="26"/>
        <v/>
      </c>
      <c r="AA258" s="66" t="str">
        <f t="shared" si="27"/>
        <v/>
      </c>
      <c r="AB258" s="62"/>
      <c r="AC258" s="62"/>
      <c r="AD258" s="63" t="str">
        <f>IFERROR(IF(OR($AB258="",$T258="",$T258=0),"",ROUND(ABS($N258-$AB258)*$S258*VLOOKUP($F258,'⚙️ Setelan'!$A$14:$F$20,4,FALSE)/$T258,2)),"")</f>
        <v/>
      </c>
      <c r="AE258" s="63" t="str">
        <f>IFERROR(IF(OR($AC258="",$T258="",$T258=0),"",ROUND(ABS($AC258-$N258)*$S258*VLOOKUP($F258,'⚙️ Setelan'!$A$14:$F$20,4,FALSE)/$T258,2)),"")</f>
        <v/>
      </c>
      <c r="AF258" s="61"/>
      <c r="AG258" s="61"/>
      <c r="AH258" s="61"/>
      <c r="AI258" s="61"/>
      <c r="AJ258" s="61"/>
      <c r="AK258" s="67"/>
      <c r="AL258" s="58" t="str">
        <f>IF(OR($C258="",$B258=""),"",IF(AND($Z257="Loss",$B258=$B257,MOD($C258-$D257,1)*1440&lt;'⚙️ Setelan'!$B$9),"⚠️ Revenge",""))</f>
        <v/>
      </c>
      <c r="AM258" s="68"/>
      <c r="AN258" s="58" t="str">
        <f>IF($AM258="","",IFERROR(_xlfn.IMAGE(IF(REGEXMATCH($AM258,"\.(png|jpg|jpeg|gif)$"),$AM258,"https://s3.tradingview.com/snapshots/"&amp;LOWER(MID(REGEXEXTRACT($AM258,"/x/([A-Za-z0-9]+)"),1,1))&amp;"/"&amp;REGEXEXTRACT($AM258,"/x/([A-Za-z0-9]+)")&amp;".png"),1),"⚠️ link tidak dikenali"))</f>
        <v/>
      </c>
      <c r="AO258" s="68"/>
      <c r="AP258" s="58" t="str">
        <f>IF($AO258="","",IFERROR(_xlfn.IMAGE(IF(REGEXMATCH($AO258,"\.(png|jpg|jpeg|gif)$"),$AO258,"https://s3.tradingview.com/snapshots/"&amp;LOWER(MID(REGEXEXTRACT($AO258,"/x/([A-Za-z0-9]+)"),1,1))&amp;"/"&amp;REGEXEXTRACT($AO258,"/x/([A-Za-z0-9]+)")&amp;".png"),1),"⚠️ link tidak dikenali"))</f>
        <v/>
      </c>
      <c r="AQ258" s="66">
        <f>IF($Z258="",0,IF(AND(OR('📊 Dashboard'!$B$4="(Semua)",$F258='📊 Dashboard'!$B$4),OR('📊 Dashboard'!$B$5="(Semua)",$H258='📊 Dashboard'!$B$5),OR('📊 Dashboard'!$B$6="(Semua)",$E258='📊 Dashboard'!$B$6),OR('📊 Dashboard'!$B$7="(Semua)",$AF258='📊 Dashboard'!$B$7),OR('📊 Dashboard'!$B$8="(Semua)",$AG258='📊 Dashboard'!$B$8),OR('📊 Dashboard'!$B$9="(Semua)",$K258='📊 Dashboard'!$B$9)),1,0))</f>
        <v>0</v>
      </c>
      <c r="AR258" s="69"/>
    </row>
    <row r="259" ht="58" customHeight="1" spans="1:44">
      <c r="A259" s="58" t="str">
        <f t="shared" ref="A259:A322" si="28">IF($B259="","",ROW()-2)</f>
        <v/>
      </c>
      <c r="B259" s="59"/>
      <c r="C259" s="60"/>
      <c r="D259" s="60"/>
      <c r="E259" s="58" t="str">
        <f t="shared" ref="E259:E322" si="29">IF($C259="","",IF(AND($C259&gt;=TIME(14,0,0),$C259&lt;TIME(19,30,0)),"London",IF(AND($C259&gt;=TIME(19,30,0),$C259&lt;TIME(23,0,0)),"Overlap LDN+NY",IF(OR($C259&gt;=TIME(23,0,0),$C259&lt;TIME(4,0,0)),"New York","Asia"))))</f>
        <v/>
      </c>
      <c r="F259" s="61"/>
      <c r="G259" s="61"/>
      <c r="H259" s="61"/>
      <c r="I259" s="61"/>
      <c r="J259" s="61"/>
      <c r="K259" s="61"/>
      <c r="L259" s="61"/>
      <c r="M259" s="61"/>
      <c r="N259" s="62"/>
      <c r="O259" s="62"/>
      <c r="P259" s="62"/>
      <c r="Q259" s="62"/>
      <c r="R259" s="63" t="str">
        <f>IFERROR(IF(OR($N259="",$O259="",$F259=""),"",ROUND(('⚙️ Setelan'!$B$3*'⚙️ Setelan'!$B$4/100)/(ABS($N259-$O259)*VLOOKUP($F259,'⚙️ Setelan'!$A$14:$F$20,4,FALSE)),2)),"")</f>
        <v/>
      </c>
      <c r="S259" s="64"/>
      <c r="T259" s="65" t="str">
        <f>IFERROR(IF(OR($N259="",$O259="",$S259=""),"",ABS($N259-$O259)*$S259*VLOOKUP($F259,'⚙️ Setelan'!$A$14:$F$20,4,FALSE)),"")</f>
        <v/>
      </c>
      <c r="U259" s="63" t="str">
        <f t="shared" ref="U259:U322" si="30">IFERROR(IF(OR($N259="",$O259="",$P259=""),"",ROUND(ABS($P259-$N259)/ABS($N259-$O259),2)),"")</f>
        <v/>
      </c>
      <c r="V259" s="65" t="str">
        <f>IFERROR(IF(OR($Q259="",$N259="",$S259=""),"",($Q259-$N259)*IF($G259="Buy",1,-1)*$S259*VLOOKUP($F259,'⚙️ Setelan'!$A$14:$F$20,4,FALSE)),"")</f>
        <v/>
      </c>
      <c r="W259" s="65" t="str">
        <f>IFERROR(IF(OR($S259="",$F259=""),"",$S259*VLOOKUP($F259,'⚙️ Setelan'!$A$14:$F$20,5,FALSE)),"")</f>
        <v/>
      </c>
      <c r="X259" s="65" t="str">
        <f t="shared" ref="X259:X322" si="31">IF($V259="","",$V259-IF($W259="",0,$W259))</f>
        <v/>
      </c>
      <c r="Y259" s="63" t="str">
        <f t="shared" ref="Y259:Y322" si="32">IF(OR($X259="",$T259="",$T259=0),"",ROUND($X259/$T259,2))</f>
        <v/>
      </c>
      <c r="Z259" s="58" t="str">
        <f t="shared" ref="Z259:Z322" si="33">IF($X259="","",IF($X259&gt;0,"Win",IF($X259&lt;0,"Loss","BE")))</f>
        <v/>
      </c>
      <c r="AA259" s="66" t="str">
        <f t="shared" ref="AA259:AA322" si="34">IF(OR($C259="",$D259=""),"",ROUND(MOD($D259-$C259,1)*1440,0))</f>
        <v/>
      </c>
      <c r="AB259" s="62"/>
      <c r="AC259" s="62"/>
      <c r="AD259" s="63" t="str">
        <f>IFERROR(IF(OR($AB259="",$T259="",$T259=0),"",ROUND(ABS($N259-$AB259)*$S259*VLOOKUP($F259,'⚙️ Setelan'!$A$14:$F$20,4,FALSE)/$T259,2)),"")</f>
        <v/>
      </c>
      <c r="AE259" s="63" t="str">
        <f>IFERROR(IF(OR($AC259="",$T259="",$T259=0),"",ROUND(ABS($AC259-$N259)*$S259*VLOOKUP($F259,'⚙️ Setelan'!$A$14:$F$20,4,FALSE)/$T259,2)),"")</f>
        <v/>
      </c>
      <c r="AF259" s="61"/>
      <c r="AG259" s="61"/>
      <c r="AH259" s="61"/>
      <c r="AI259" s="61"/>
      <c r="AJ259" s="61"/>
      <c r="AK259" s="67"/>
      <c r="AL259" s="58" t="str">
        <f>IF(OR($C259="",$B259=""),"",IF(AND($Z258="Loss",$B259=$B258,MOD($C259-$D258,1)*1440&lt;'⚙️ Setelan'!$B$9),"⚠️ Revenge",""))</f>
        <v/>
      </c>
      <c r="AM259" s="68"/>
      <c r="AN259" s="58" t="str">
        <f>IF($AM259="","",IFERROR(_xlfn.IMAGE(IF(REGEXMATCH($AM259,"\.(png|jpg|jpeg|gif)$"),$AM259,"https://s3.tradingview.com/snapshots/"&amp;LOWER(MID(REGEXEXTRACT($AM259,"/x/([A-Za-z0-9]+)"),1,1))&amp;"/"&amp;REGEXEXTRACT($AM259,"/x/([A-Za-z0-9]+)")&amp;".png"),1),"⚠️ link tidak dikenali"))</f>
        <v/>
      </c>
      <c r="AO259" s="68"/>
      <c r="AP259" s="58" t="str">
        <f>IF($AO259="","",IFERROR(_xlfn.IMAGE(IF(REGEXMATCH($AO259,"\.(png|jpg|jpeg|gif)$"),$AO259,"https://s3.tradingview.com/snapshots/"&amp;LOWER(MID(REGEXEXTRACT($AO259,"/x/([A-Za-z0-9]+)"),1,1))&amp;"/"&amp;REGEXEXTRACT($AO259,"/x/([A-Za-z0-9]+)")&amp;".png"),1),"⚠️ link tidak dikenali"))</f>
        <v/>
      </c>
      <c r="AQ259" s="66">
        <f>IF($Z259="",0,IF(AND(OR('📊 Dashboard'!$B$4="(Semua)",$F259='📊 Dashboard'!$B$4),OR('📊 Dashboard'!$B$5="(Semua)",$H259='📊 Dashboard'!$B$5),OR('📊 Dashboard'!$B$6="(Semua)",$E259='📊 Dashboard'!$B$6),OR('📊 Dashboard'!$B$7="(Semua)",$AF259='📊 Dashboard'!$B$7),OR('📊 Dashboard'!$B$8="(Semua)",$AG259='📊 Dashboard'!$B$8),OR('📊 Dashboard'!$B$9="(Semua)",$K259='📊 Dashboard'!$B$9)),1,0))</f>
        <v>0</v>
      </c>
      <c r="AR259" s="69"/>
    </row>
    <row r="260" ht="58" customHeight="1" spans="1:44">
      <c r="A260" s="58" t="str">
        <f t="shared" si="28"/>
        <v/>
      </c>
      <c r="B260" s="59"/>
      <c r="C260" s="60"/>
      <c r="D260" s="60"/>
      <c r="E260" s="58" t="str">
        <f t="shared" si="29"/>
        <v/>
      </c>
      <c r="F260" s="61"/>
      <c r="G260" s="61"/>
      <c r="H260" s="61"/>
      <c r="I260" s="61"/>
      <c r="J260" s="61"/>
      <c r="K260" s="61"/>
      <c r="L260" s="61"/>
      <c r="M260" s="61"/>
      <c r="N260" s="62"/>
      <c r="O260" s="62"/>
      <c r="P260" s="62"/>
      <c r="Q260" s="62"/>
      <c r="R260" s="63" t="str">
        <f>IFERROR(IF(OR($N260="",$O260="",$F260=""),"",ROUND(('⚙️ Setelan'!$B$3*'⚙️ Setelan'!$B$4/100)/(ABS($N260-$O260)*VLOOKUP($F260,'⚙️ Setelan'!$A$14:$F$20,4,FALSE)),2)),"")</f>
        <v/>
      </c>
      <c r="S260" s="64"/>
      <c r="T260" s="65" t="str">
        <f>IFERROR(IF(OR($N260="",$O260="",$S260=""),"",ABS($N260-$O260)*$S260*VLOOKUP($F260,'⚙️ Setelan'!$A$14:$F$20,4,FALSE)),"")</f>
        <v/>
      </c>
      <c r="U260" s="63" t="str">
        <f t="shared" si="30"/>
        <v/>
      </c>
      <c r="V260" s="65" t="str">
        <f>IFERROR(IF(OR($Q260="",$N260="",$S260=""),"",($Q260-$N260)*IF($G260="Buy",1,-1)*$S260*VLOOKUP($F260,'⚙️ Setelan'!$A$14:$F$20,4,FALSE)),"")</f>
        <v/>
      </c>
      <c r="W260" s="65" t="str">
        <f>IFERROR(IF(OR($S260="",$F260=""),"",$S260*VLOOKUP($F260,'⚙️ Setelan'!$A$14:$F$20,5,FALSE)),"")</f>
        <v/>
      </c>
      <c r="X260" s="65" t="str">
        <f t="shared" si="31"/>
        <v/>
      </c>
      <c r="Y260" s="63" t="str">
        <f t="shared" si="32"/>
        <v/>
      </c>
      <c r="Z260" s="58" t="str">
        <f t="shared" si="33"/>
        <v/>
      </c>
      <c r="AA260" s="66" t="str">
        <f t="shared" si="34"/>
        <v/>
      </c>
      <c r="AB260" s="62"/>
      <c r="AC260" s="62"/>
      <c r="AD260" s="63" t="str">
        <f>IFERROR(IF(OR($AB260="",$T260="",$T260=0),"",ROUND(ABS($N260-$AB260)*$S260*VLOOKUP($F260,'⚙️ Setelan'!$A$14:$F$20,4,FALSE)/$T260,2)),"")</f>
        <v/>
      </c>
      <c r="AE260" s="63" t="str">
        <f>IFERROR(IF(OR($AC260="",$T260="",$T260=0),"",ROUND(ABS($AC260-$N260)*$S260*VLOOKUP($F260,'⚙️ Setelan'!$A$14:$F$20,4,FALSE)/$T260,2)),"")</f>
        <v/>
      </c>
      <c r="AF260" s="61"/>
      <c r="AG260" s="61"/>
      <c r="AH260" s="61"/>
      <c r="AI260" s="61"/>
      <c r="AJ260" s="61"/>
      <c r="AK260" s="67"/>
      <c r="AL260" s="58" t="str">
        <f>IF(OR($C260="",$B260=""),"",IF(AND($Z259="Loss",$B260=$B259,MOD($C260-$D259,1)*1440&lt;'⚙️ Setelan'!$B$9),"⚠️ Revenge",""))</f>
        <v/>
      </c>
      <c r="AM260" s="68"/>
      <c r="AN260" s="58" t="str">
        <f>IF($AM260="","",IFERROR(_xlfn.IMAGE(IF(REGEXMATCH($AM260,"\.(png|jpg|jpeg|gif)$"),$AM260,"https://s3.tradingview.com/snapshots/"&amp;LOWER(MID(REGEXEXTRACT($AM260,"/x/([A-Za-z0-9]+)"),1,1))&amp;"/"&amp;REGEXEXTRACT($AM260,"/x/([A-Za-z0-9]+)")&amp;".png"),1),"⚠️ link tidak dikenali"))</f>
        <v/>
      </c>
      <c r="AO260" s="68"/>
      <c r="AP260" s="58" t="str">
        <f>IF($AO260="","",IFERROR(_xlfn.IMAGE(IF(REGEXMATCH($AO260,"\.(png|jpg|jpeg|gif)$"),$AO260,"https://s3.tradingview.com/snapshots/"&amp;LOWER(MID(REGEXEXTRACT($AO260,"/x/([A-Za-z0-9]+)"),1,1))&amp;"/"&amp;REGEXEXTRACT($AO260,"/x/([A-Za-z0-9]+)")&amp;".png"),1),"⚠️ link tidak dikenali"))</f>
        <v/>
      </c>
      <c r="AQ260" s="66">
        <f>IF($Z260="",0,IF(AND(OR('📊 Dashboard'!$B$4="(Semua)",$F260='📊 Dashboard'!$B$4),OR('📊 Dashboard'!$B$5="(Semua)",$H260='📊 Dashboard'!$B$5),OR('📊 Dashboard'!$B$6="(Semua)",$E260='📊 Dashboard'!$B$6),OR('📊 Dashboard'!$B$7="(Semua)",$AF260='📊 Dashboard'!$B$7),OR('📊 Dashboard'!$B$8="(Semua)",$AG260='📊 Dashboard'!$B$8),OR('📊 Dashboard'!$B$9="(Semua)",$K260='📊 Dashboard'!$B$9)),1,0))</f>
        <v>0</v>
      </c>
      <c r="AR260" s="69"/>
    </row>
    <row r="261" ht="58" customHeight="1" spans="1:44">
      <c r="A261" s="58" t="str">
        <f t="shared" si="28"/>
        <v/>
      </c>
      <c r="B261" s="59"/>
      <c r="C261" s="60"/>
      <c r="D261" s="60"/>
      <c r="E261" s="58" t="str">
        <f t="shared" si="29"/>
        <v/>
      </c>
      <c r="F261" s="61"/>
      <c r="G261" s="61"/>
      <c r="H261" s="61"/>
      <c r="I261" s="61"/>
      <c r="J261" s="61"/>
      <c r="K261" s="61"/>
      <c r="L261" s="61"/>
      <c r="M261" s="61"/>
      <c r="N261" s="62"/>
      <c r="O261" s="62"/>
      <c r="P261" s="62"/>
      <c r="Q261" s="62"/>
      <c r="R261" s="63" t="str">
        <f>IFERROR(IF(OR($N261="",$O261="",$F261=""),"",ROUND(('⚙️ Setelan'!$B$3*'⚙️ Setelan'!$B$4/100)/(ABS($N261-$O261)*VLOOKUP($F261,'⚙️ Setelan'!$A$14:$F$20,4,FALSE)),2)),"")</f>
        <v/>
      </c>
      <c r="S261" s="64"/>
      <c r="T261" s="65" t="str">
        <f>IFERROR(IF(OR($N261="",$O261="",$S261=""),"",ABS($N261-$O261)*$S261*VLOOKUP($F261,'⚙️ Setelan'!$A$14:$F$20,4,FALSE)),"")</f>
        <v/>
      </c>
      <c r="U261" s="63" t="str">
        <f t="shared" si="30"/>
        <v/>
      </c>
      <c r="V261" s="65" t="str">
        <f>IFERROR(IF(OR($Q261="",$N261="",$S261=""),"",($Q261-$N261)*IF($G261="Buy",1,-1)*$S261*VLOOKUP($F261,'⚙️ Setelan'!$A$14:$F$20,4,FALSE)),"")</f>
        <v/>
      </c>
      <c r="W261" s="65" t="str">
        <f>IFERROR(IF(OR($S261="",$F261=""),"",$S261*VLOOKUP($F261,'⚙️ Setelan'!$A$14:$F$20,5,FALSE)),"")</f>
        <v/>
      </c>
      <c r="X261" s="65" t="str">
        <f t="shared" si="31"/>
        <v/>
      </c>
      <c r="Y261" s="63" t="str">
        <f t="shared" si="32"/>
        <v/>
      </c>
      <c r="Z261" s="58" t="str">
        <f t="shared" si="33"/>
        <v/>
      </c>
      <c r="AA261" s="66" t="str">
        <f t="shared" si="34"/>
        <v/>
      </c>
      <c r="AB261" s="62"/>
      <c r="AC261" s="62"/>
      <c r="AD261" s="63" t="str">
        <f>IFERROR(IF(OR($AB261="",$T261="",$T261=0),"",ROUND(ABS($N261-$AB261)*$S261*VLOOKUP($F261,'⚙️ Setelan'!$A$14:$F$20,4,FALSE)/$T261,2)),"")</f>
        <v/>
      </c>
      <c r="AE261" s="63" t="str">
        <f>IFERROR(IF(OR($AC261="",$T261="",$T261=0),"",ROUND(ABS($AC261-$N261)*$S261*VLOOKUP($F261,'⚙️ Setelan'!$A$14:$F$20,4,FALSE)/$T261,2)),"")</f>
        <v/>
      </c>
      <c r="AF261" s="61"/>
      <c r="AG261" s="61"/>
      <c r="AH261" s="61"/>
      <c r="AI261" s="61"/>
      <c r="AJ261" s="61"/>
      <c r="AK261" s="67"/>
      <c r="AL261" s="58" t="str">
        <f>IF(OR($C261="",$B261=""),"",IF(AND($Z260="Loss",$B261=$B260,MOD($C261-$D260,1)*1440&lt;'⚙️ Setelan'!$B$9),"⚠️ Revenge",""))</f>
        <v/>
      </c>
      <c r="AM261" s="68"/>
      <c r="AN261" s="58" t="str">
        <f>IF($AM261="","",IFERROR(_xlfn.IMAGE(IF(REGEXMATCH($AM261,"\.(png|jpg|jpeg|gif)$"),$AM261,"https://s3.tradingview.com/snapshots/"&amp;LOWER(MID(REGEXEXTRACT($AM261,"/x/([A-Za-z0-9]+)"),1,1))&amp;"/"&amp;REGEXEXTRACT($AM261,"/x/([A-Za-z0-9]+)")&amp;".png"),1),"⚠️ link tidak dikenali"))</f>
        <v/>
      </c>
      <c r="AO261" s="68"/>
      <c r="AP261" s="58" t="str">
        <f>IF($AO261="","",IFERROR(_xlfn.IMAGE(IF(REGEXMATCH($AO261,"\.(png|jpg|jpeg|gif)$"),$AO261,"https://s3.tradingview.com/snapshots/"&amp;LOWER(MID(REGEXEXTRACT($AO261,"/x/([A-Za-z0-9]+)"),1,1))&amp;"/"&amp;REGEXEXTRACT($AO261,"/x/([A-Za-z0-9]+)")&amp;".png"),1),"⚠️ link tidak dikenali"))</f>
        <v/>
      </c>
      <c r="AQ261" s="66">
        <f>IF($Z261="",0,IF(AND(OR('📊 Dashboard'!$B$4="(Semua)",$F261='📊 Dashboard'!$B$4),OR('📊 Dashboard'!$B$5="(Semua)",$H261='📊 Dashboard'!$B$5),OR('📊 Dashboard'!$B$6="(Semua)",$E261='📊 Dashboard'!$B$6),OR('📊 Dashboard'!$B$7="(Semua)",$AF261='📊 Dashboard'!$B$7),OR('📊 Dashboard'!$B$8="(Semua)",$AG261='📊 Dashboard'!$B$8),OR('📊 Dashboard'!$B$9="(Semua)",$K261='📊 Dashboard'!$B$9)),1,0))</f>
        <v>0</v>
      </c>
      <c r="AR261" s="69"/>
    </row>
    <row r="262" ht="58" customHeight="1" spans="1:44">
      <c r="A262" s="58" t="str">
        <f t="shared" si="28"/>
        <v/>
      </c>
      <c r="B262" s="59"/>
      <c r="C262" s="60"/>
      <c r="D262" s="60"/>
      <c r="E262" s="58" t="str">
        <f t="shared" si="29"/>
        <v/>
      </c>
      <c r="F262" s="61"/>
      <c r="G262" s="61"/>
      <c r="H262" s="61"/>
      <c r="I262" s="61"/>
      <c r="J262" s="61"/>
      <c r="K262" s="61"/>
      <c r="L262" s="61"/>
      <c r="M262" s="61"/>
      <c r="N262" s="62"/>
      <c r="O262" s="62"/>
      <c r="P262" s="62"/>
      <c r="Q262" s="62"/>
      <c r="R262" s="63" t="str">
        <f>IFERROR(IF(OR($N262="",$O262="",$F262=""),"",ROUND(('⚙️ Setelan'!$B$3*'⚙️ Setelan'!$B$4/100)/(ABS($N262-$O262)*VLOOKUP($F262,'⚙️ Setelan'!$A$14:$F$20,4,FALSE)),2)),"")</f>
        <v/>
      </c>
      <c r="S262" s="64"/>
      <c r="T262" s="65" t="str">
        <f>IFERROR(IF(OR($N262="",$O262="",$S262=""),"",ABS($N262-$O262)*$S262*VLOOKUP($F262,'⚙️ Setelan'!$A$14:$F$20,4,FALSE)),"")</f>
        <v/>
      </c>
      <c r="U262" s="63" t="str">
        <f t="shared" si="30"/>
        <v/>
      </c>
      <c r="V262" s="65" t="str">
        <f>IFERROR(IF(OR($Q262="",$N262="",$S262=""),"",($Q262-$N262)*IF($G262="Buy",1,-1)*$S262*VLOOKUP($F262,'⚙️ Setelan'!$A$14:$F$20,4,FALSE)),"")</f>
        <v/>
      </c>
      <c r="W262" s="65" t="str">
        <f>IFERROR(IF(OR($S262="",$F262=""),"",$S262*VLOOKUP($F262,'⚙️ Setelan'!$A$14:$F$20,5,FALSE)),"")</f>
        <v/>
      </c>
      <c r="X262" s="65" t="str">
        <f t="shared" si="31"/>
        <v/>
      </c>
      <c r="Y262" s="63" t="str">
        <f t="shared" si="32"/>
        <v/>
      </c>
      <c r="Z262" s="58" t="str">
        <f t="shared" si="33"/>
        <v/>
      </c>
      <c r="AA262" s="66" t="str">
        <f t="shared" si="34"/>
        <v/>
      </c>
      <c r="AB262" s="62"/>
      <c r="AC262" s="62"/>
      <c r="AD262" s="63" t="str">
        <f>IFERROR(IF(OR($AB262="",$T262="",$T262=0),"",ROUND(ABS($N262-$AB262)*$S262*VLOOKUP($F262,'⚙️ Setelan'!$A$14:$F$20,4,FALSE)/$T262,2)),"")</f>
        <v/>
      </c>
      <c r="AE262" s="63" t="str">
        <f>IFERROR(IF(OR($AC262="",$T262="",$T262=0),"",ROUND(ABS($AC262-$N262)*$S262*VLOOKUP($F262,'⚙️ Setelan'!$A$14:$F$20,4,FALSE)/$T262,2)),"")</f>
        <v/>
      </c>
      <c r="AF262" s="61"/>
      <c r="AG262" s="61"/>
      <c r="AH262" s="61"/>
      <c r="AI262" s="61"/>
      <c r="AJ262" s="61"/>
      <c r="AK262" s="67"/>
      <c r="AL262" s="58" t="str">
        <f>IF(OR($C262="",$B262=""),"",IF(AND($Z261="Loss",$B262=$B261,MOD($C262-$D261,1)*1440&lt;'⚙️ Setelan'!$B$9),"⚠️ Revenge",""))</f>
        <v/>
      </c>
      <c r="AM262" s="68"/>
      <c r="AN262" s="58" t="str">
        <f>IF($AM262="","",IFERROR(_xlfn.IMAGE(IF(REGEXMATCH($AM262,"\.(png|jpg|jpeg|gif)$"),$AM262,"https://s3.tradingview.com/snapshots/"&amp;LOWER(MID(REGEXEXTRACT($AM262,"/x/([A-Za-z0-9]+)"),1,1))&amp;"/"&amp;REGEXEXTRACT($AM262,"/x/([A-Za-z0-9]+)")&amp;".png"),1),"⚠️ link tidak dikenali"))</f>
        <v/>
      </c>
      <c r="AO262" s="68"/>
      <c r="AP262" s="58" t="str">
        <f>IF($AO262="","",IFERROR(_xlfn.IMAGE(IF(REGEXMATCH($AO262,"\.(png|jpg|jpeg|gif)$"),$AO262,"https://s3.tradingview.com/snapshots/"&amp;LOWER(MID(REGEXEXTRACT($AO262,"/x/([A-Za-z0-9]+)"),1,1))&amp;"/"&amp;REGEXEXTRACT($AO262,"/x/([A-Za-z0-9]+)")&amp;".png"),1),"⚠️ link tidak dikenali"))</f>
        <v/>
      </c>
      <c r="AQ262" s="66">
        <f>IF($Z262="",0,IF(AND(OR('📊 Dashboard'!$B$4="(Semua)",$F262='📊 Dashboard'!$B$4),OR('📊 Dashboard'!$B$5="(Semua)",$H262='📊 Dashboard'!$B$5),OR('📊 Dashboard'!$B$6="(Semua)",$E262='📊 Dashboard'!$B$6),OR('📊 Dashboard'!$B$7="(Semua)",$AF262='📊 Dashboard'!$B$7),OR('📊 Dashboard'!$B$8="(Semua)",$AG262='📊 Dashboard'!$B$8),OR('📊 Dashboard'!$B$9="(Semua)",$K262='📊 Dashboard'!$B$9)),1,0))</f>
        <v>0</v>
      </c>
      <c r="AR262" s="69"/>
    </row>
    <row r="263" ht="58" customHeight="1" spans="1:44">
      <c r="A263" s="58" t="str">
        <f t="shared" si="28"/>
        <v/>
      </c>
      <c r="B263" s="59"/>
      <c r="C263" s="60"/>
      <c r="D263" s="60"/>
      <c r="E263" s="58" t="str">
        <f t="shared" si="29"/>
        <v/>
      </c>
      <c r="F263" s="61"/>
      <c r="G263" s="61"/>
      <c r="H263" s="61"/>
      <c r="I263" s="61"/>
      <c r="J263" s="61"/>
      <c r="K263" s="61"/>
      <c r="L263" s="61"/>
      <c r="M263" s="61"/>
      <c r="N263" s="62"/>
      <c r="O263" s="62"/>
      <c r="P263" s="62"/>
      <c r="Q263" s="62"/>
      <c r="R263" s="63" t="str">
        <f>IFERROR(IF(OR($N263="",$O263="",$F263=""),"",ROUND(('⚙️ Setelan'!$B$3*'⚙️ Setelan'!$B$4/100)/(ABS($N263-$O263)*VLOOKUP($F263,'⚙️ Setelan'!$A$14:$F$20,4,FALSE)),2)),"")</f>
        <v/>
      </c>
      <c r="S263" s="64"/>
      <c r="T263" s="65" t="str">
        <f>IFERROR(IF(OR($N263="",$O263="",$S263=""),"",ABS($N263-$O263)*$S263*VLOOKUP($F263,'⚙️ Setelan'!$A$14:$F$20,4,FALSE)),"")</f>
        <v/>
      </c>
      <c r="U263" s="63" t="str">
        <f t="shared" si="30"/>
        <v/>
      </c>
      <c r="V263" s="65" t="str">
        <f>IFERROR(IF(OR($Q263="",$N263="",$S263=""),"",($Q263-$N263)*IF($G263="Buy",1,-1)*$S263*VLOOKUP($F263,'⚙️ Setelan'!$A$14:$F$20,4,FALSE)),"")</f>
        <v/>
      </c>
      <c r="W263" s="65" t="str">
        <f>IFERROR(IF(OR($S263="",$F263=""),"",$S263*VLOOKUP($F263,'⚙️ Setelan'!$A$14:$F$20,5,FALSE)),"")</f>
        <v/>
      </c>
      <c r="X263" s="65" t="str">
        <f t="shared" si="31"/>
        <v/>
      </c>
      <c r="Y263" s="63" t="str">
        <f t="shared" si="32"/>
        <v/>
      </c>
      <c r="Z263" s="58" t="str">
        <f t="shared" si="33"/>
        <v/>
      </c>
      <c r="AA263" s="66" t="str">
        <f t="shared" si="34"/>
        <v/>
      </c>
      <c r="AB263" s="62"/>
      <c r="AC263" s="62"/>
      <c r="AD263" s="63" t="str">
        <f>IFERROR(IF(OR($AB263="",$T263="",$T263=0),"",ROUND(ABS($N263-$AB263)*$S263*VLOOKUP($F263,'⚙️ Setelan'!$A$14:$F$20,4,FALSE)/$T263,2)),"")</f>
        <v/>
      </c>
      <c r="AE263" s="63" t="str">
        <f>IFERROR(IF(OR($AC263="",$T263="",$T263=0),"",ROUND(ABS($AC263-$N263)*$S263*VLOOKUP($F263,'⚙️ Setelan'!$A$14:$F$20,4,FALSE)/$T263,2)),"")</f>
        <v/>
      </c>
      <c r="AF263" s="61"/>
      <c r="AG263" s="61"/>
      <c r="AH263" s="61"/>
      <c r="AI263" s="61"/>
      <c r="AJ263" s="61"/>
      <c r="AK263" s="67"/>
      <c r="AL263" s="58" t="str">
        <f>IF(OR($C263="",$B263=""),"",IF(AND($Z262="Loss",$B263=$B262,MOD($C263-$D262,1)*1440&lt;'⚙️ Setelan'!$B$9),"⚠️ Revenge",""))</f>
        <v/>
      </c>
      <c r="AM263" s="68"/>
      <c r="AN263" s="58" t="str">
        <f>IF($AM263="","",IFERROR(_xlfn.IMAGE(IF(REGEXMATCH($AM263,"\.(png|jpg|jpeg|gif)$"),$AM263,"https://s3.tradingview.com/snapshots/"&amp;LOWER(MID(REGEXEXTRACT($AM263,"/x/([A-Za-z0-9]+)"),1,1))&amp;"/"&amp;REGEXEXTRACT($AM263,"/x/([A-Za-z0-9]+)")&amp;".png"),1),"⚠️ link tidak dikenali"))</f>
        <v/>
      </c>
      <c r="AO263" s="68"/>
      <c r="AP263" s="58" t="str">
        <f>IF($AO263="","",IFERROR(_xlfn.IMAGE(IF(REGEXMATCH($AO263,"\.(png|jpg|jpeg|gif)$"),$AO263,"https://s3.tradingview.com/snapshots/"&amp;LOWER(MID(REGEXEXTRACT($AO263,"/x/([A-Za-z0-9]+)"),1,1))&amp;"/"&amp;REGEXEXTRACT($AO263,"/x/([A-Za-z0-9]+)")&amp;".png"),1),"⚠️ link tidak dikenali"))</f>
        <v/>
      </c>
      <c r="AQ263" s="66">
        <f>IF($Z263="",0,IF(AND(OR('📊 Dashboard'!$B$4="(Semua)",$F263='📊 Dashboard'!$B$4),OR('📊 Dashboard'!$B$5="(Semua)",$H263='📊 Dashboard'!$B$5),OR('📊 Dashboard'!$B$6="(Semua)",$E263='📊 Dashboard'!$B$6),OR('📊 Dashboard'!$B$7="(Semua)",$AF263='📊 Dashboard'!$B$7),OR('📊 Dashboard'!$B$8="(Semua)",$AG263='📊 Dashboard'!$B$8),OR('📊 Dashboard'!$B$9="(Semua)",$K263='📊 Dashboard'!$B$9)),1,0))</f>
        <v>0</v>
      </c>
      <c r="AR263" s="69"/>
    </row>
    <row r="264" ht="58" customHeight="1" spans="1:44">
      <c r="A264" s="58" t="str">
        <f t="shared" si="28"/>
        <v/>
      </c>
      <c r="B264" s="59"/>
      <c r="C264" s="60"/>
      <c r="D264" s="60"/>
      <c r="E264" s="58" t="str">
        <f t="shared" si="29"/>
        <v/>
      </c>
      <c r="F264" s="61"/>
      <c r="G264" s="61"/>
      <c r="H264" s="61"/>
      <c r="I264" s="61"/>
      <c r="J264" s="61"/>
      <c r="K264" s="61"/>
      <c r="L264" s="61"/>
      <c r="M264" s="61"/>
      <c r="N264" s="62"/>
      <c r="O264" s="62"/>
      <c r="P264" s="62"/>
      <c r="Q264" s="62"/>
      <c r="R264" s="63" t="str">
        <f>IFERROR(IF(OR($N264="",$O264="",$F264=""),"",ROUND(('⚙️ Setelan'!$B$3*'⚙️ Setelan'!$B$4/100)/(ABS($N264-$O264)*VLOOKUP($F264,'⚙️ Setelan'!$A$14:$F$20,4,FALSE)),2)),"")</f>
        <v/>
      </c>
      <c r="S264" s="64"/>
      <c r="T264" s="65" t="str">
        <f>IFERROR(IF(OR($N264="",$O264="",$S264=""),"",ABS($N264-$O264)*$S264*VLOOKUP($F264,'⚙️ Setelan'!$A$14:$F$20,4,FALSE)),"")</f>
        <v/>
      </c>
      <c r="U264" s="63" t="str">
        <f t="shared" si="30"/>
        <v/>
      </c>
      <c r="V264" s="65" t="str">
        <f>IFERROR(IF(OR($Q264="",$N264="",$S264=""),"",($Q264-$N264)*IF($G264="Buy",1,-1)*$S264*VLOOKUP($F264,'⚙️ Setelan'!$A$14:$F$20,4,FALSE)),"")</f>
        <v/>
      </c>
      <c r="W264" s="65" t="str">
        <f>IFERROR(IF(OR($S264="",$F264=""),"",$S264*VLOOKUP($F264,'⚙️ Setelan'!$A$14:$F$20,5,FALSE)),"")</f>
        <v/>
      </c>
      <c r="X264" s="65" t="str">
        <f t="shared" si="31"/>
        <v/>
      </c>
      <c r="Y264" s="63" t="str">
        <f t="shared" si="32"/>
        <v/>
      </c>
      <c r="Z264" s="58" t="str">
        <f t="shared" si="33"/>
        <v/>
      </c>
      <c r="AA264" s="66" t="str">
        <f t="shared" si="34"/>
        <v/>
      </c>
      <c r="AB264" s="62"/>
      <c r="AC264" s="62"/>
      <c r="AD264" s="63" t="str">
        <f>IFERROR(IF(OR($AB264="",$T264="",$T264=0),"",ROUND(ABS($N264-$AB264)*$S264*VLOOKUP($F264,'⚙️ Setelan'!$A$14:$F$20,4,FALSE)/$T264,2)),"")</f>
        <v/>
      </c>
      <c r="AE264" s="63" t="str">
        <f>IFERROR(IF(OR($AC264="",$T264="",$T264=0),"",ROUND(ABS($AC264-$N264)*$S264*VLOOKUP($F264,'⚙️ Setelan'!$A$14:$F$20,4,FALSE)/$T264,2)),"")</f>
        <v/>
      </c>
      <c r="AF264" s="61"/>
      <c r="AG264" s="61"/>
      <c r="AH264" s="61"/>
      <c r="AI264" s="61"/>
      <c r="AJ264" s="61"/>
      <c r="AK264" s="67"/>
      <c r="AL264" s="58" t="str">
        <f>IF(OR($C264="",$B264=""),"",IF(AND($Z263="Loss",$B264=$B263,MOD($C264-$D263,1)*1440&lt;'⚙️ Setelan'!$B$9),"⚠️ Revenge",""))</f>
        <v/>
      </c>
      <c r="AM264" s="68"/>
      <c r="AN264" s="58" t="str">
        <f>IF($AM264="","",IFERROR(_xlfn.IMAGE(IF(REGEXMATCH($AM264,"\.(png|jpg|jpeg|gif)$"),$AM264,"https://s3.tradingview.com/snapshots/"&amp;LOWER(MID(REGEXEXTRACT($AM264,"/x/([A-Za-z0-9]+)"),1,1))&amp;"/"&amp;REGEXEXTRACT($AM264,"/x/([A-Za-z0-9]+)")&amp;".png"),1),"⚠️ link tidak dikenali"))</f>
        <v/>
      </c>
      <c r="AO264" s="68"/>
      <c r="AP264" s="58" t="str">
        <f>IF($AO264="","",IFERROR(_xlfn.IMAGE(IF(REGEXMATCH($AO264,"\.(png|jpg|jpeg|gif)$"),$AO264,"https://s3.tradingview.com/snapshots/"&amp;LOWER(MID(REGEXEXTRACT($AO264,"/x/([A-Za-z0-9]+)"),1,1))&amp;"/"&amp;REGEXEXTRACT($AO264,"/x/([A-Za-z0-9]+)")&amp;".png"),1),"⚠️ link tidak dikenali"))</f>
        <v/>
      </c>
      <c r="AQ264" s="66">
        <f>IF($Z264="",0,IF(AND(OR('📊 Dashboard'!$B$4="(Semua)",$F264='📊 Dashboard'!$B$4),OR('📊 Dashboard'!$B$5="(Semua)",$H264='📊 Dashboard'!$B$5),OR('📊 Dashboard'!$B$6="(Semua)",$E264='📊 Dashboard'!$B$6),OR('📊 Dashboard'!$B$7="(Semua)",$AF264='📊 Dashboard'!$B$7),OR('📊 Dashboard'!$B$8="(Semua)",$AG264='📊 Dashboard'!$B$8),OR('📊 Dashboard'!$B$9="(Semua)",$K264='📊 Dashboard'!$B$9)),1,0))</f>
        <v>0</v>
      </c>
      <c r="AR264" s="69"/>
    </row>
    <row r="265" ht="58" customHeight="1" spans="1:44">
      <c r="A265" s="58" t="str">
        <f t="shared" si="28"/>
        <v/>
      </c>
      <c r="B265" s="59"/>
      <c r="C265" s="60"/>
      <c r="D265" s="60"/>
      <c r="E265" s="58" t="str">
        <f t="shared" si="29"/>
        <v/>
      </c>
      <c r="F265" s="61"/>
      <c r="G265" s="61"/>
      <c r="H265" s="61"/>
      <c r="I265" s="61"/>
      <c r="J265" s="61"/>
      <c r="K265" s="61"/>
      <c r="L265" s="61"/>
      <c r="M265" s="61"/>
      <c r="N265" s="62"/>
      <c r="O265" s="62"/>
      <c r="P265" s="62"/>
      <c r="Q265" s="62"/>
      <c r="R265" s="63" t="str">
        <f>IFERROR(IF(OR($N265="",$O265="",$F265=""),"",ROUND(('⚙️ Setelan'!$B$3*'⚙️ Setelan'!$B$4/100)/(ABS($N265-$O265)*VLOOKUP($F265,'⚙️ Setelan'!$A$14:$F$20,4,FALSE)),2)),"")</f>
        <v/>
      </c>
      <c r="S265" s="64"/>
      <c r="T265" s="65" t="str">
        <f>IFERROR(IF(OR($N265="",$O265="",$S265=""),"",ABS($N265-$O265)*$S265*VLOOKUP($F265,'⚙️ Setelan'!$A$14:$F$20,4,FALSE)),"")</f>
        <v/>
      </c>
      <c r="U265" s="63" t="str">
        <f t="shared" si="30"/>
        <v/>
      </c>
      <c r="V265" s="65" t="str">
        <f>IFERROR(IF(OR($Q265="",$N265="",$S265=""),"",($Q265-$N265)*IF($G265="Buy",1,-1)*$S265*VLOOKUP($F265,'⚙️ Setelan'!$A$14:$F$20,4,FALSE)),"")</f>
        <v/>
      </c>
      <c r="W265" s="65" t="str">
        <f>IFERROR(IF(OR($S265="",$F265=""),"",$S265*VLOOKUP($F265,'⚙️ Setelan'!$A$14:$F$20,5,FALSE)),"")</f>
        <v/>
      </c>
      <c r="X265" s="65" t="str">
        <f t="shared" si="31"/>
        <v/>
      </c>
      <c r="Y265" s="63" t="str">
        <f t="shared" si="32"/>
        <v/>
      </c>
      <c r="Z265" s="58" t="str">
        <f t="shared" si="33"/>
        <v/>
      </c>
      <c r="AA265" s="66" t="str">
        <f t="shared" si="34"/>
        <v/>
      </c>
      <c r="AB265" s="62"/>
      <c r="AC265" s="62"/>
      <c r="AD265" s="63" t="str">
        <f>IFERROR(IF(OR($AB265="",$T265="",$T265=0),"",ROUND(ABS($N265-$AB265)*$S265*VLOOKUP($F265,'⚙️ Setelan'!$A$14:$F$20,4,FALSE)/$T265,2)),"")</f>
        <v/>
      </c>
      <c r="AE265" s="63" t="str">
        <f>IFERROR(IF(OR($AC265="",$T265="",$T265=0),"",ROUND(ABS($AC265-$N265)*$S265*VLOOKUP($F265,'⚙️ Setelan'!$A$14:$F$20,4,FALSE)/$T265,2)),"")</f>
        <v/>
      </c>
      <c r="AF265" s="61"/>
      <c r="AG265" s="61"/>
      <c r="AH265" s="61"/>
      <c r="AI265" s="61"/>
      <c r="AJ265" s="61"/>
      <c r="AK265" s="67"/>
      <c r="AL265" s="58" t="str">
        <f>IF(OR($C265="",$B265=""),"",IF(AND($Z264="Loss",$B265=$B264,MOD($C265-$D264,1)*1440&lt;'⚙️ Setelan'!$B$9),"⚠️ Revenge",""))</f>
        <v/>
      </c>
      <c r="AM265" s="68"/>
      <c r="AN265" s="58" t="str">
        <f>IF($AM265="","",IFERROR(_xlfn.IMAGE(IF(REGEXMATCH($AM265,"\.(png|jpg|jpeg|gif)$"),$AM265,"https://s3.tradingview.com/snapshots/"&amp;LOWER(MID(REGEXEXTRACT($AM265,"/x/([A-Za-z0-9]+)"),1,1))&amp;"/"&amp;REGEXEXTRACT($AM265,"/x/([A-Za-z0-9]+)")&amp;".png"),1),"⚠️ link tidak dikenali"))</f>
        <v/>
      </c>
      <c r="AO265" s="68"/>
      <c r="AP265" s="58" t="str">
        <f>IF($AO265="","",IFERROR(_xlfn.IMAGE(IF(REGEXMATCH($AO265,"\.(png|jpg|jpeg|gif)$"),$AO265,"https://s3.tradingview.com/snapshots/"&amp;LOWER(MID(REGEXEXTRACT($AO265,"/x/([A-Za-z0-9]+)"),1,1))&amp;"/"&amp;REGEXEXTRACT($AO265,"/x/([A-Za-z0-9]+)")&amp;".png"),1),"⚠️ link tidak dikenali"))</f>
        <v/>
      </c>
      <c r="AQ265" s="66">
        <f>IF($Z265="",0,IF(AND(OR('📊 Dashboard'!$B$4="(Semua)",$F265='📊 Dashboard'!$B$4),OR('📊 Dashboard'!$B$5="(Semua)",$H265='📊 Dashboard'!$B$5),OR('📊 Dashboard'!$B$6="(Semua)",$E265='📊 Dashboard'!$B$6),OR('📊 Dashboard'!$B$7="(Semua)",$AF265='📊 Dashboard'!$B$7),OR('📊 Dashboard'!$B$8="(Semua)",$AG265='📊 Dashboard'!$B$8),OR('📊 Dashboard'!$B$9="(Semua)",$K265='📊 Dashboard'!$B$9)),1,0))</f>
        <v>0</v>
      </c>
      <c r="AR265" s="69"/>
    </row>
    <row r="266" ht="58" customHeight="1" spans="1:44">
      <c r="A266" s="58" t="str">
        <f t="shared" si="28"/>
        <v/>
      </c>
      <c r="B266" s="59"/>
      <c r="C266" s="60"/>
      <c r="D266" s="60"/>
      <c r="E266" s="58" t="str">
        <f t="shared" si="29"/>
        <v/>
      </c>
      <c r="F266" s="61"/>
      <c r="G266" s="61"/>
      <c r="H266" s="61"/>
      <c r="I266" s="61"/>
      <c r="J266" s="61"/>
      <c r="K266" s="61"/>
      <c r="L266" s="61"/>
      <c r="M266" s="61"/>
      <c r="N266" s="62"/>
      <c r="O266" s="62"/>
      <c r="P266" s="62"/>
      <c r="Q266" s="62"/>
      <c r="R266" s="63" t="str">
        <f>IFERROR(IF(OR($N266="",$O266="",$F266=""),"",ROUND(('⚙️ Setelan'!$B$3*'⚙️ Setelan'!$B$4/100)/(ABS($N266-$O266)*VLOOKUP($F266,'⚙️ Setelan'!$A$14:$F$20,4,FALSE)),2)),"")</f>
        <v/>
      </c>
      <c r="S266" s="64"/>
      <c r="T266" s="65" t="str">
        <f>IFERROR(IF(OR($N266="",$O266="",$S266=""),"",ABS($N266-$O266)*$S266*VLOOKUP($F266,'⚙️ Setelan'!$A$14:$F$20,4,FALSE)),"")</f>
        <v/>
      </c>
      <c r="U266" s="63" t="str">
        <f t="shared" si="30"/>
        <v/>
      </c>
      <c r="V266" s="65" t="str">
        <f>IFERROR(IF(OR($Q266="",$N266="",$S266=""),"",($Q266-$N266)*IF($G266="Buy",1,-1)*$S266*VLOOKUP($F266,'⚙️ Setelan'!$A$14:$F$20,4,FALSE)),"")</f>
        <v/>
      </c>
      <c r="W266" s="65" t="str">
        <f>IFERROR(IF(OR($S266="",$F266=""),"",$S266*VLOOKUP($F266,'⚙️ Setelan'!$A$14:$F$20,5,FALSE)),"")</f>
        <v/>
      </c>
      <c r="X266" s="65" t="str">
        <f t="shared" si="31"/>
        <v/>
      </c>
      <c r="Y266" s="63" t="str">
        <f t="shared" si="32"/>
        <v/>
      </c>
      <c r="Z266" s="58" t="str">
        <f t="shared" si="33"/>
        <v/>
      </c>
      <c r="AA266" s="66" t="str">
        <f t="shared" si="34"/>
        <v/>
      </c>
      <c r="AB266" s="62"/>
      <c r="AC266" s="62"/>
      <c r="AD266" s="63" t="str">
        <f>IFERROR(IF(OR($AB266="",$T266="",$T266=0),"",ROUND(ABS($N266-$AB266)*$S266*VLOOKUP($F266,'⚙️ Setelan'!$A$14:$F$20,4,FALSE)/$T266,2)),"")</f>
        <v/>
      </c>
      <c r="AE266" s="63" t="str">
        <f>IFERROR(IF(OR($AC266="",$T266="",$T266=0),"",ROUND(ABS($AC266-$N266)*$S266*VLOOKUP($F266,'⚙️ Setelan'!$A$14:$F$20,4,FALSE)/$T266,2)),"")</f>
        <v/>
      </c>
      <c r="AF266" s="61"/>
      <c r="AG266" s="61"/>
      <c r="AH266" s="61"/>
      <c r="AI266" s="61"/>
      <c r="AJ266" s="61"/>
      <c r="AK266" s="67"/>
      <c r="AL266" s="58" t="str">
        <f>IF(OR($C266="",$B266=""),"",IF(AND($Z265="Loss",$B266=$B265,MOD($C266-$D265,1)*1440&lt;'⚙️ Setelan'!$B$9),"⚠️ Revenge",""))</f>
        <v/>
      </c>
      <c r="AM266" s="68"/>
      <c r="AN266" s="58" t="str">
        <f>IF($AM266="","",IFERROR(_xlfn.IMAGE(IF(REGEXMATCH($AM266,"\.(png|jpg|jpeg|gif)$"),$AM266,"https://s3.tradingview.com/snapshots/"&amp;LOWER(MID(REGEXEXTRACT($AM266,"/x/([A-Za-z0-9]+)"),1,1))&amp;"/"&amp;REGEXEXTRACT($AM266,"/x/([A-Za-z0-9]+)")&amp;".png"),1),"⚠️ link tidak dikenali"))</f>
        <v/>
      </c>
      <c r="AO266" s="68"/>
      <c r="AP266" s="58" t="str">
        <f>IF($AO266="","",IFERROR(_xlfn.IMAGE(IF(REGEXMATCH($AO266,"\.(png|jpg|jpeg|gif)$"),$AO266,"https://s3.tradingview.com/snapshots/"&amp;LOWER(MID(REGEXEXTRACT($AO266,"/x/([A-Za-z0-9]+)"),1,1))&amp;"/"&amp;REGEXEXTRACT($AO266,"/x/([A-Za-z0-9]+)")&amp;".png"),1),"⚠️ link tidak dikenali"))</f>
        <v/>
      </c>
      <c r="AQ266" s="66">
        <f>IF($Z266="",0,IF(AND(OR('📊 Dashboard'!$B$4="(Semua)",$F266='📊 Dashboard'!$B$4),OR('📊 Dashboard'!$B$5="(Semua)",$H266='📊 Dashboard'!$B$5),OR('📊 Dashboard'!$B$6="(Semua)",$E266='📊 Dashboard'!$B$6),OR('📊 Dashboard'!$B$7="(Semua)",$AF266='📊 Dashboard'!$B$7),OR('📊 Dashboard'!$B$8="(Semua)",$AG266='📊 Dashboard'!$B$8),OR('📊 Dashboard'!$B$9="(Semua)",$K266='📊 Dashboard'!$B$9)),1,0))</f>
        <v>0</v>
      </c>
      <c r="AR266" s="69"/>
    </row>
    <row r="267" ht="58" customHeight="1" spans="1:44">
      <c r="A267" s="58" t="str">
        <f t="shared" si="28"/>
        <v/>
      </c>
      <c r="B267" s="59"/>
      <c r="C267" s="60"/>
      <c r="D267" s="60"/>
      <c r="E267" s="58" t="str">
        <f t="shared" si="29"/>
        <v/>
      </c>
      <c r="F267" s="61"/>
      <c r="G267" s="61"/>
      <c r="H267" s="61"/>
      <c r="I267" s="61"/>
      <c r="J267" s="61"/>
      <c r="K267" s="61"/>
      <c r="L267" s="61"/>
      <c r="M267" s="61"/>
      <c r="N267" s="62"/>
      <c r="O267" s="62"/>
      <c r="P267" s="62"/>
      <c r="Q267" s="62"/>
      <c r="R267" s="63" t="str">
        <f>IFERROR(IF(OR($N267="",$O267="",$F267=""),"",ROUND(('⚙️ Setelan'!$B$3*'⚙️ Setelan'!$B$4/100)/(ABS($N267-$O267)*VLOOKUP($F267,'⚙️ Setelan'!$A$14:$F$20,4,FALSE)),2)),"")</f>
        <v/>
      </c>
      <c r="S267" s="64"/>
      <c r="T267" s="65" t="str">
        <f>IFERROR(IF(OR($N267="",$O267="",$S267=""),"",ABS($N267-$O267)*$S267*VLOOKUP($F267,'⚙️ Setelan'!$A$14:$F$20,4,FALSE)),"")</f>
        <v/>
      </c>
      <c r="U267" s="63" t="str">
        <f t="shared" si="30"/>
        <v/>
      </c>
      <c r="V267" s="65" t="str">
        <f>IFERROR(IF(OR($Q267="",$N267="",$S267=""),"",($Q267-$N267)*IF($G267="Buy",1,-1)*$S267*VLOOKUP($F267,'⚙️ Setelan'!$A$14:$F$20,4,FALSE)),"")</f>
        <v/>
      </c>
      <c r="W267" s="65" t="str">
        <f>IFERROR(IF(OR($S267="",$F267=""),"",$S267*VLOOKUP($F267,'⚙️ Setelan'!$A$14:$F$20,5,FALSE)),"")</f>
        <v/>
      </c>
      <c r="X267" s="65" t="str">
        <f t="shared" si="31"/>
        <v/>
      </c>
      <c r="Y267" s="63" t="str">
        <f t="shared" si="32"/>
        <v/>
      </c>
      <c r="Z267" s="58" t="str">
        <f t="shared" si="33"/>
        <v/>
      </c>
      <c r="AA267" s="66" t="str">
        <f t="shared" si="34"/>
        <v/>
      </c>
      <c r="AB267" s="62"/>
      <c r="AC267" s="62"/>
      <c r="AD267" s="63" t="str">
        <f>IFERROR(IF(OR($AB267="",$T267="",$T267=0),"",ROUND(ABS($N267-$AB267)*$S267*VLOOKUP($F267,'⚙️ Setelan'!$A$14:$F$20,4,FALSE)/$T267,2)),"")</f>
        <v/>
      </c>
      <c r="AE267" s="63" t="str">
        <f>IFERROR(IF(OR($AC267="",$T267="",$T267=0),"",ROUND(ABS($AC267-$N267)*$S267*VLOOKUP($F267,'⚙️ Setelan'!$A$14:$F$20,4,FALSE)/$T267,2)),"")</f>
        <v/>
      </c>
      <c r="AF267" s="61"/>
      <c r="AG267" s="61"/>
      <c r="AH267" s="61"/>
      <c r="AI267" s="61"/>
      <c r="AJ267" s="61"/>
      <c r="AK267" s="67"/>
      <c r="AL267" s="58" t="str">
        <f>IF(OR($C267="",$B267=""),"",IF(AND($Z266="Loss",$B267=$B266,MOD($C267-$D266,1)*1440&lt;'⚙️ Setelan'!$B$9),"⚠️ Revenge",""))</f>
        <v/>
      </c>
      <c r="AM267" s="68"/>
      <c r="AN267" s="58" t="str">
        <f>IF($AM267="","",IFERROR(_xlfn.IMAGE(IF(REGEXMATCH($AM267,"\.(png|jpg|jpeg|gif)$"),$AM267,"https://s3.tradingview.com/snapshots/"&amp;LOWER(MID(REGEXEXTRACT($AM267,"/x/([A-Za-z0-9]+)"),1,1))&amp;"/"&amp;REGEXEXTRACT($AM267,"/x/([A-Za-z0-9]+)")&amp;".png"),1),"⚠️ link tidak dikenali"))</f>
        <v/>
      </c>
      <c r="AO267" s="68"/>
      <c r="AP267" s="58" t="str">
        <f>IF($AO267="","",IFERROR(_xlfn.IMAGE(IF(REGEXMATCH($AO267,"\.(png|jpg|jpeg|gif)$"),$AO267,"https://s3.tradingview.com/snapshots/"&amp;LOWER(MID(REGEXEXTRACT($AO267,"/x/([A-Za-z0-9]+)"),1,1))&amp;"/"&amp;REGEXEXTRACT($AO267,"/x/([A-Za-z0-9]+)")&amp;".png"),1),"⚠️ link tidak dikenali"))</f>
        <v/>
      </c>
      <c r="AQ267" s="66">
        <f>IF($Z267="",0,IF(AND(OR('📊 Dashboard'!$B$4="(Semua)",$F267='📊 Dashboard'!$B$4),OR('📊 Dashboard'!$B$5="(Semua)",$H267='📊 Dashboard'!$B$5),OR('📊 Dashboard'!$B$6="(Semua)",$E267='📊 Dashboard'!$B$6),OR('📊 Dashboard'!$B$7="(Semua)",$AF267='📊 Dashboard'!$B$7),OR('📊 Dashboard'!$B$8="(Semua)",$AG267='📊 Dashboard'!$B$8),OR('📊 Dashboard'!$B$9="(Semua)",$K267='📊 Dashboard'!$B$9)),1,0))</f>
        <v>0</v>
      </c>
      <c r="AR267" s="69"/>
    </row>
    <row r="268" ht="58" customHeight="1" spans="1:44">
      <c r="A268" s="58" t="str">
        <f t="shared" si="28"/>
        <v/>
      </c>
      <c r="B268" s="59"/>
      <c r="C268" s="60"/>
      <c r="D268" s="60"/>
      <c r="E268" s="58" t="str">
        <f t="shared" si="29"/>
        <v/>
      </c>
      <c r="F268" s="61"/>
      <c r="G268" s="61"/>
      <c r="H268" s="61"/>
      <c r="I268" s="61"/>
      <c r="J268" s="61"/>
      <c r="K268" s="61"/>
      <c r="L268" s="61"/>
      <c r="M268" s="61"/>
      <c r="N268" s="62"/>
      <c r="O268" s="62"/>
      <c r="P268" s="62"/>
      <c r="Q268" s="62"/>
      <c r="R268" s="63" t="str">
        <f>IFERROR(IF(OR($N268="",$O268="",$F268=""),"",ROUND(('⚙️ Setelan'!$B$3*'⚙️ Setelan'!$B$4/100)/(ABS($N268-$O268)*VLOOKUP($F268,'⚙️ Setelan'!$A$14:$F$20,4,FALSE)),2)),"")</f>
        <v/>
      </c>
      <c r="S268" s="64"/>
      <c r="T268" s="65" t="str">
        <f>IFERROR(IF(OR($N268="",$O268="",$S268=""),"",ABS($N268-$O268)*$S268*VLOOKUP($F268,'⚙️ Setelan'!$A$14:$F$20,4,FALSE)),"")</f>
        <v/>
      </c>
      <c r="U268" s="63" t="str">
        <f t="shared" si="30"/>
        <v/>
      </c>
      <c r="V268" s="65" t="str">
        <f>IFERROR(IF(OR($Q268="",$N268="",$S268=""),"",($Q268-$N268)*IF($G268="Buy",1,-1)*$S268*VLOOKUP($F268,'⚙️ Setelan'!$A$14:$F$20,4,FALSE)),"")</f>
        <v/>
      </c>
      <c r="W268" s="65" t="str">
        <f>IFERROR(IF(OR($S268="",$F268=""),"",$S268*VLOOKUP($F268,'⚙️ Setelan'!$A$14:$F$20,5,FALSE)),"")</f>
        <v/>
      </c>
      <c r="X268" s="65" t="str">
        <f t="shared" si="31"/>
        <v/>
      </c>
      <c r="Y268" s="63" t="str">
        <f t="shared" si="32"/>
        <v/>
      </c>
      <c r="Z268" s="58" t="str">
        <f t="shared" si="33"/>
        <v/>
      </c>
      <c r="AA268" s="66" t="str">
        <f t="shared" si="34"/>
        <v/>
      </c>
      <c r="AB268" s="62"/>
      <c r="AC268" s="62"/>
      <c r="AD268" s="63" t="str">
        <f>IFERROR(IF(OR($AB268="",$T268="",$T268=0),"",ROUND(ABS($N268-$AB268)*$S268*VLOOKUP($F268,'⚙️ Setelan'!$A$14:$F$20,4,FALSE)/$T268,2)),"")</f>
        <v/>
      </c>
      <c r="AE268" s="63" t="str">
        <f>IFERROR(IF(OR($AC268="",$T268="",$T268=0),"",ROUND(ABS($AC268-$N268)*$S268*VLOOKUP($F268,'⚙️ Setelan'!$A$14:$F$20,4,FALSE)/$T268,2)),"")</f>
        <v/>
      </c>
      <c r="AF268" s="61"/>
      <c r="AG268" s="61"/>
      <c r="AH268" s="61"/>
      <c r="AI268" s="61"/>
      <c r="AJ268" s="61"/>
      <c r="AK268" s="67"/>
      <c r="AL268" s="58" t="str">
        <f>IF(OR($C268="",$B268=""),"",IF(AND($Z267="Loss",$B268=$B267,MOD($C268-$D267,1)*1440&lt;'⚙️ Setelan'!$B$9),"⚠️ Revenge",""))</f>
        <v/>
      </c>
      <c r="AM268" s="68"/>
      <c r="AN268" s="58" t="str">
        <f>IF($AM268="","",IFERROR(_xlfn.IMAGE(IF(REGEXMATCH($AM268,"\.(png|jpg|jpeg|gif)$"),$AM268,"https://s3.tradingview.com/snapshots/"&amp;LOWER(MID(REGEXEXTRACT($AM268,"/x/([A-Za-z0-9]+)"),1,1))&amp;"/"&amp;REGEXEXTRACT($AM268,"/x/([A-Za-z0-9]+)")&amp;".png"),1),"⚠️ link tidak dikenali"))</f>
        <v/>
      </c>
      <c r="AO268" s="68"/>
      <c r="AP268" s="58" t="str">
        <f>IF($AO268="","",IFERROR(_xlfn.IMAGE(IF(REGEXMATCH($AO268,"\.(png|jpg|jpeg|gif)$"),$AO268,"https://s3.tradingview.com/snapshots/"&amp;LOWER(MID(REGEXEXTRACT($AO268,"/x/([A-Za-z0-9]+)"),1,1))&amp;"/"&amp;REGEXEXTRACT($AO268,"/x/([A-Za-z0-9]+)")&amp;".png"),1),"⚠️ link tidak dikenali"))</f>
        <v/>
      </c>
      <c r="AQ268" s="66">
        <f>IF($Z268="",0,IF(AND(OR('📊 Dashboard'!$B$4="(Semua)",$F268='📊 Dashboard'!$B$4),OR('📊 Dashboard'!$B$5="(Semua)",$H268='📊 Dashboard'!$B$5),OR('📊 Dashboard'!$B$6="(Semua)",$E268='📊 Dashboard'!$B$6),OR('📊 Dashboard'!$B$7="(Semua)",$AF268='📊 Dashboard'!$B$7),OR('📊 Dashboard'!$B$8="(Semua)",$AG268='📊 Dashboard'!$B$8),OR('📊 Dashboard'!$B$9="(Semua)",$K268='📊 Dashboard'!$B$9)),1,0))</f>
        <v>0</v>
      </c>
      <c r="AR268" s="69"/>
    </row>
    <row r="269" ht="58" customHeight="1" spans="1:44">
      <c r="A269" s="58" t="str">
        <f t="shared" si="28"/>
        <v/>
      </c>
      <c r="B269" s="59"/>
      <c r="C269" s="60"/>
      <c r="D269" s="60"/>
      <c r="E269" s="58" t="str">
        <f t="shared" si="29"/>
        <v/>
      </c>
      <c r="F269" s="61"/>
      <c r="G269" s="61"/>
      <c r="H269" s="61"/>
      <c r="I269" s="61"/>
      <c r="J269" s="61"/>
      <c r="K269" s="61"/>
      <c r="L269" s="61"/>
      <c r="M269" s="61"/>
      <c r="N269" s="62"/>
      <c r="O269" s="62"/>
      <c r="P269" s="62"/>
      <c r="Q269" s="62"/>
      <c r="R269" s="63" t="str">
        <f>IFERROR(IF(OR($N269="",$O269="",$F269=""),"",ROUND(('⚙️ Setelan'!$B$3*'⚙️ Setelan'!$B$4/100)/(ABS($N269-$O269)*VLOOKUP($F269,'⚙️ Setelan'!$A$14:$F$20,4,FALSE)),2)),"")</f>
        <v/>
      </c>
      <c r="S269" s="64"/>
      <c r="T269" s="65" t="str">
        <f>IFERROR(IF(OR($N269="",$O269="",$S269=""),"",ABS($N269-$O269)*$S269*VLOOKUP($F269,'⚙️ Setelan'!$A$14:$F$20,4,FALSE)),"")</f>
        <v/>
      </c>
      <c r="U269" s="63" t="str">
        <f t="shared" si="30"/>
        <v/>
      </c>
      <c r="V269" s="65" t="str">
        <f>IFERROR(IF(OR($Q269="",$N269="",$S269=""),"",($Q269-$N269)*IF($G269="Buy",1,-1)*$S269*VLOOKUP($F269,'⚙️ Setelan'!$A$14:$F$20,4,FALSE)),"")</f>
        <v/>
      </c>
      <c r="W269" s="65" t="str">
        <f>IFERROR(IF(OR($S269="",$F269=""),"",$S269*VLOOKUP($F269,'⚙️ Setelan'!$A$14:$F$20,5,FALSE)),"")</f>
        <v/>
      </c>
      <c r="X269" s="65" t="str">
        <f t="shared" si="31"/>
        <v/>
      </c>
      <c r="Y269" s="63" t="str">
        <f t="shared" si="32"/>
        <v/>
      </c>
      <c r="Z269" s="58" t="str">
        <f t="shared" si="33"/>
        <v/>
      </c>
      <c r="AA269" s="66" t="str">
        <f t="shared" si="34"/>
        <v/>
      </c>
      <c r="AB269" s="62"/>
      <c r="AC269" s="62"/>
      <c r="AD269" s="63" t="str">
        <f>IFERROR(IF(OR($AB269="",$T269="",$T269=0),"",ROUND(ABS($N269-$AB269)*$S269*VLOOKUP($F269,'⚙️ Setelan'!$A$14:$F$20,4,FALSE)/$T269,2)),"")</f>
        <v/>
      </c>
      <c r="AE269" s="63" t="str">
        <f>IFERROR(IF(OR($AC269="",$T269="",$T269=0),"",ROUND(ABS($AC269-$N269)*$S269*VLOOKUP($F269,'⚙️ Setelan'!$A$14:$F$20,4,FALSE)/$T269,2)),"")</f>
        <v/>
      </c>
      <c r="AF269" s="61"/>
      <c r="AG269" s="61"/>
      <c r="AH269" s="61"/>
      <c r="AI269" s="61"/>
      <c r="AJ269" s="61"/>
      <c r="AK269" s="67"/>
      <c r="AL269" s="58" t="str">
        <f>IF(OR($C269="",$B269=""),"",IF(AND($Z268="Loss",$B269=$B268,MOD($C269-$D268,1)*1440&lt;'⚙️ Setelan'!$B$9),"⚠️ Revenge",""))</f>
        <v/>
      </c>
      <c r="AM269" s="68"/>
      <c r="AN269" s="58" t="str">
        <f>IF($AM269="","",IFERROR(_xlfn.IMAGE(IF(REGEXMATCH($AM269,"\.(png|jpg|jpeg|gif)$"),$AM269,"https://s3.tradingview.com/snapshots/"&amp;LOWER(MID(REGEXEXTRACT($AM269,"/x/([A-Za-z0-9]+)"),1,1))&amp;"/"&amp;REGEXEXTRACT($AM269,"/x/([A-Za-z0-9]+)")&amp;".png"),1),"⚠️ link tidak dikenali"))</f>
        <v/>
      </c>
      <c r="AO269" s="68"/>
      <c r="AP269" s="58" t="str">
        <f>IF($AO269="","",IFERROR(_xlfn.IMAGE(IF(REGEXMATCH($AO269,"\.(png|jpg|jpeg|gif)$"),$AO269,"https://s3.tradingview.com/snapshots/"&amp;LOWER(MID(REGEXEXTRACT($AO269,"/x/([A-Za-z0-9]+)"),1,1))&amp;"/"&amp;REGEXEXTRACT($AO269,"/x/([A-Za-z0-9]+)")&amp;".png"),1),"⚠️ link tidak dikenali"))</f>
        <v/>
      </c>
      <c r="AQ269" s="66">
        <f>IF($Z269="",0,IF(AND(OR('📊 Dashboard'!$B$4="(Semua)",$F269='📊 Dashboard'!$B$4),OR('📊 Dashboard'!$B$5="(Semua)",$H269='📊 Dashboard'!$B$5),OR('📊 Dashboard'!$B$6="(Semua)",$E269='📊 Dashboard'!$B$6),OR('📊 Dashboard'!$B$7="(Semua)",$AF269='📊 Dashboard'!$B$7),OR('📊 Dashboard'!$B$8="(Semua)",$AG269='📊 Dashboard'!$B$8),OR('📊 Dashboard'!$B$9="(Semua)",$K269='📊 Dashboard'!$B$9)),1,0))</f>
        <v>0</v>
      </c>
      <c r="AR269" s="69"/>
    </row>
    <row r="270" ht="58" customHeight="1" spans="1:44">
      <c r="A270" s="58" t="str">
        <f t="shared" si="28"/>
        <v/>
      </c>
      <c r="B270" s="59"/>
      <c r="C270" s="60"/>
      <c r="D270" s="60"/>
      <c r="E270" s="58" t="str">
        <f t="shared" si="29"/>
        <v/>
      </c>
      <c r="F270" s="61"/>
      <c r="G270" s="61"/>
      <c r="H270" s="61"/>
      <c r="I270" s="61"/>
      <c r="J270" s="61"/>
      <c r="K270" s="61"/>
      <c r="L270" s="61"/>
      <c r="M270" s="61"/>
      <c r="N270" s="62"/>
      <c r="O270" s="62"/>
      <c r="P270" s="62"/>
      <c r="Q270" s="62"/>
      <c r="R270" s="63" t="str">
        <f>IFERROR(IF(OR($N270="",$O270="",$F270=""),"",ROUND(('⚙️ Setelan'!$B$3*'⚙️ Setelan'!$B$4/100)/(ABS($N270-$O270)*VLOOKUP($F270,'⚙️ Setelan'!$A$14:$F$20,4,FALSE)),2)),"")</f>
        <v/>
      </c>
      <c r="S270" s="64"/>
      <c r="T270" s="65" t="str">
        <f>IFERROR(IF(OR($N270="",$O270="",$S270=""),"",ABS($N270-$O270)*$S270*VLOOKUP($F270,'⚙️ Setelan'!$A$14:$F$20,4,FALSE)),"")</f>
        <v/>
      </c>
      <c r="U270" s="63" t="str">
        <f t="shared" si="30"/>
        <v/>
      </c>
      <c r="V270" s="65" t="str">
        <f>IFERROR(IF(OR($Q270="",$N270="",$S270=""),"",($Q270-$N270)*IF($G270="Buy",1,-1)*$S270*VLOOKUP($F270,'⚙️ Setelan'!$A$14:$F$20,4,FALSE)),"")</f>
        <v/>
      </c>
      <c r="W270" s="65" t="str">
        <f>IFERROR(IF(OR($S270="",$F270=""),"",$S270*VLOOKUP($F270,'⚙️ Setelan'!$A$14:$F$20,5,FALSE)),"")</f>
        <v/>
      </c>
      <c r="X270" s="65" t="str">
        <f t="shared" si="31"/>
        <v/>
      </c>
      <c r="Y270" s="63" t="str">
        <f t="shared" si="32"/>
        <v/>
      </c>
      <c r="Z270" s="58" t="str">
        <f t="shared" si="33"/>
        <v/>
      </c>
      <c r="AA270" s="66" t="str">
        <f t="shared" si="34"/>
        <v/>
      </c>
      <c r="AB270" s="62"/>
      <c r="AC270" s="62"/>
      <c r="AD270" s="63" t="str">
        <f>IFERROR(IF(OR($AB270="",$T270="",$T270=0),"",ROUND(ABS($N270-$AB270)*$S270*VLOOKUP($F270,'⚙️ Setelan'!$A$14:$F$20,4,FALSE)/$T270,2)),"")</f>
        <v/>
      </c>
      <c r="AE270" s="63" t="str">
        <f>IFERROR(IF(OR($AC270="",$T270="",$T270=0),"",ROUND(ABS($AC270-$N270)*$S270*VLOOKUP($F270,'⚙️ Setelan'!$A$14:$F$20,4,FALSE)/$T270,2)),"")</f>
        <v/>
      </c>
      <c r="AF270" s="61"/>
      <c r="AG270" s="61"/>
      <c r="AH270" s="61"/>
      <c r="AI270" s="61"/>
      <c r="AJ270" s="61"/>
      <c r="AK270" s="67"/>
      <c r="AL270" s="58" t="str">
        <f>IF(OR($C270="",$B270=""),"",IF(AND($Z269="Loss",$B270=$B269,MOD($C270-$D269,1)*1440&lt;'⚙️ Setelan'!$B$9),"⚠️ Revenge",""))</f>
        <v/>
      </c>
      <c r="AM270" s="68"/>
      <c r="AN270" s="58" t="str">
        <f>IF($AM270="","",IFERROR(_xlfn.IMAGE(IF(REGEXMATCH($AM270,"\.(png|jpg|jpeg|gif)$"),$AM270,"https://s3.tradingview.com/snapshots/"&amp;LOWER(MID(REGEXEXTRACT($AM270,"/x/([A-Za-z0-9]+)"),1,1))&amp;"/"&amp;REGEXEXTRACT($AM270,"/x/([A-Za-z0-9]+)")&amp;".png"),1),"⚠️ link tidak dikenali"))</f>
        <v/>
      </c>
      <c r="AO270" s="68"/>
      <c r="AP270" s="58" t="str">
        <f>IF($AO270="","",IFERROR(_xlfn.IMAGE(IF(REGEXMATCH($AO270,"\.(png|jpg|jpeg|gif)$"),$AO270,"https://s3.tradingview.com/snapshots/"&amp;LOWER(MID(REGEXEXTRACT($AO270,"/x/([A-Za-z0-9]+)"),1,1))&amp;"/"&amp;REGEXEXTRACT($AO270,"/x/([A-Za-z0-9]+)")&amp;".png"),1),"⚠️ link tidak dikenali"))</f>
        <v/>
      </c>
      <c r="AQ270" s="66">
        <f>IF($Z270="",0,IF(AND(OR('📊 Dashboard'!$B$4="(Semua)",$F270='📊 Dashboard'!$B$4),OR('📊 Dashboard'!$B$5="(Semua)",$H270='📊 Dashboard'!$B$5),OR('📊 Dashboard'!$B$6="(Semua)",$E270='📊 Dashboard'!$B$6),OR('📊 Dashboard'!$B$7="(Semua)",$AF270='📊 Dashboard'!$B$7),OR('📊 Dashboard'!$B$8="(Semua)",$AG270='📊 Dashboard'!$B$8),OR('📊 Dashboard'!$B$9="(Semua)",$K270='📊 Dashboard'!$B$9)),1,0))</f>
        <v>0</v>
      </c>
      <c r="AR270" s="69"/>
    </row>
    <row r="271" ht="58" customHeight="1" spans="1:44">
      <c r="A271" s="58" t="str">
        <f t="shared" si="28"/>
        <v/>
      </c>
      <c r="B271" s="59"/>
      <c r="C271" s="60"/>
      <c r="D271" s="60"/>
      <c r="E271" s="58" t="str">
        <f t="shared" si="29"/>
        <v/>
      </c>
      <c r="F271" s="61"/>
      <c r="G271" s="61"/>
      <c r="H271" s="61"/>
      <c r="I271" s="61"/>
      <c r="J271" s="61"/>
      <c r="K271" s="61"/>
      <c r="L271" s="61"/>
      <c r="M271" s="61"/>
      <c r="N271" s="62"/>
      <c r="O271" s="62"/>
      <c r="P271" s="62"/>
      <c r="Q271" s="62"/>
      <c r="R271" s="63" t="str">
        <f>IFERROR(IF(OR($N271="",$O271="",$F271=""),"",ROUND(('⚙️ Setelan'!$B$3*'⚙️ Setelan'!$B$4/100)/(ABS($N271-$O271)*VLOOKUP($F271,'⚙️ Setelan'!$A$14:$F$20,4,FALSE)),2)),"")</f>
        <v/>
      </c>
      <c r="S271" s="64"/>
      <c r="T271" s="65" t="str">
        <f>IFERROR(IF(OR($N271="",$O271="",$S271=""),"",ABS($N271-$O271)*$S271*VLOOKUP($F271,'⚙️ Setelan'!$A$14:$F$20,4,FALSE)),"")</f>
        <v/>
      </c>
      <c r="U271" s="63" t="str">
        <f t="shared" si="30"/>
        <v/>
      </c>
      <c r="V271" s="65" t="str">
        <f>IFERROR(IF(OR($Q271="",$N271="",$S271=""),"",($Q271-$N271)*IF($G271="Buy",1,-1)*$S271*VLOOKUP($F271,'⚙️ Setelan'!$A$14:$F$20,4,FALSE)),"")</f>
        <v/>
      </c>
      <c r="W271" s="65" t="str">
        <f>IFERROR(IF(OR($S271="",$F271=""),"",$S271*VLOOKUP($F271,'⚙️ Setelan'!$A$14:$F$20,5,FALSE)),"")</f>
        <v/>
      </c>
      <c r="X271" s="65" t="str">
        <f t="shared" si="31"/>
        <v/>
      </c>
      <c r="Y271" s="63" t="str">
        <f t="shared" si="32"/>
        <v/>
      </c>
      <c r="Z271" s="58" t="str">
        <f t="shared" si="33"/>
        <v/>
      </c>
      <c r="AA271" s="66" t="str">
        <f t="shared" si="34"/>
        <v/>
      </c>
      <c r="AB271" s="62"/>
      <c r="AC271" s="62"/>
      <c r="AD271" s="63" t="str">
        <f>IFERROR(IF(OR($AB271="",$T271="",$T271=0),"",ROUND(ABS($N271-$AB271)*$S271*VLOOKUP($F271,'⚙️ Setelan'!$A$14:$F$20,4,FALSE)/$T271,2)),"")</f>
        <v/>
      </c>
      <c r="AE271" s="63" t="str">
        <f>IFERROR(IF(OR($AC271="",$T271="",$T271=0),"",ROUND(ABS($AC271-$N271)*$S271*VLOOKUP($F271,'⚙️ Setelan'!$A$14:$F$20,4,FALSE)/$T271,2)),"")</f>
        <v/>
      </c>
      <c r="AF271" s="61"/>
      <c r="AG271" s="61"/>
      <c r="AH271" s="61"/>
      <c r="AI271" s="61"/>
      <c r="AJ271" s="61"/>
      <c r="AK271" s="67"/>
      <c r="AL271" s="58" t="str">
        <f>IF(OR($C271="",$B271=""),"",IF(AND($Z270="Loss",$B271=$B270,MOD($C271-$D270,1)*1440&lt;'⚙️ Setelan'!$B$9),"⚠️ Revenge",""))</f>
        <v/>
      </c>
      <c r="AM271" s="68"/>
      <c r="AN271" s="58" t="str">
        <f>IF($AM271="","",IFERROR(_xlfn.IMAGE(IF(REGEXMATCH($AM271,"\.(png|jpg|jpeg|gif)$"),$AM271,"https://s3.tradingview.com/snapshots/"&amp;LOWER(MID(REGEXEXTRACT($AM271,"/x/([A-Za-z0-9]+)"),1,1))&amp;"/"&amp;REGEXEXTRACT($AM271,"/x/([A-Za-z0-9]+)")&amp;".png"),1),"⚠️ link tidak dikenali"))</f>
        <v/>
      </c>
      <c r="AO271" s="68"/>
      <c r="AP271" s="58" t="str">
        <f>IF($AO271="","",IFERROR(_xlfn.IMAGE(IF(REGEXMATCH($AO271,"\.(png|jpg|jpeg|gif)$"),$AO271,"https://s3.tradingview.com/snapshots/"&amp;LOWER(MID(REGEXEXTRACT($AO271,"/x/([A-Za-z0-9]+)"),1,1))&amp;"/"&amp;REGEXEXTRACT($AO271,"/x/([A-Za-z0-9]+)")&amp;".png"),1),"⚠️ link tidak dikenali"))</f>
        <v/>
      </c>
      <c r="AQ271" s="66">
        <f>IF($Z271="",0,IF(AND(OR('📊 Dashboard'!$B$4="(Semua)",$F271='📊 Dashboard'!$B$4),OR('📊 Dashboard'!$B$5="(Semua)",$H271='📊 Dashboard'!$B$5),OR('📊 Dashboard'!$B$6="(Semua)",$E271='📊 Dashboard'!$B$6),OR('📊 Dashboard'!$B$7="(Semua)",$AF271='📊 Dashboard'!$B$7),OR('📊 Dashboard'!$B$8="(Semua)",$AG271='📊 Dashboard'!$B$8),OR('📊 Dashboard'!$B$9="(Semua)",$K271='📊 Dashboard'!$B$9)),1,0))</f>
        <v>0</v>
      </c>
      <c r="AR271" s="69"/>
    </row>
    <row r="272" ht="58" customHeight="1" spans="1:44">
      <c r="A272" s="58" t="str">
        <f t="shared" si="28"/>
        <v/>
      </c>
      <c r="B272" s="59"/>
      <c r="C272" s="60"/>
      <c r="D272" s="60"/>
      <c r="E272" s="58" t="str">
        <f t="shared" si="29"/>
        <v/>
      </c>
      <c r="F272" s="61"/>
      <c r="G272" s="61"/>
      <c r="H272" s="61"/>
      <c r="I272" s="61"/>
      <c r="J272" s="61"/>
      <c r="K272" s="61"/>
      <c r="L272" s="61"/>
      <c r="M272" s="61"/>
      <c r="N272" s="62"/>
      <c r="O272" s="62"/>
      <c r="P272" s="62"/>
      <c r="Q272" s="62"/>
      <c r="R272" s="63" t="str">
        <f>IFERROR(IF(OR($N272="",$O272="",$F272=""),"",ROUND(('⚙️ Setelan'!$B$3*'⚙️ Setelan'!$B$4/100)/(ABS($N272-$O272)*VLOOKUP($F272,'⚙️ Setelan'!$A$14:$F$20,4,FALSE)),2)),"")</f>
        <v/>
      </c>
      <c r="S272" s="64"/>
      <c r="T272" s="65" t="str">
        <f>IFERROR(IF(OR($N272="",$O272="",$S272=""),"",ABS($N272-$O272)*$S272*VLOOKUP($F272,'⚙️ Setelan'!$A$14:$F$20,4,FALSE)),"")</f>
        <v/>
      </c>
      <c r="U272" s="63" t="str">
        <f t="shared" si="30"/>
        <v/>
      </c>
      <c r="V272" s="65" t="str">
        <f>IFERROR(IF(OR($Q272="",$N272="",$S272=""),"",($Q272-$N272)*IF($G272="Buy",1,-1)*$S272*VLOOKUP($F272,'⚙️ Setelan'!$A$14:$F$20,4,FALSE)),"")</f>
        <v/>
      </c>
      <c r="W272" s="65" t="str">
        <f>IFERROR(IF(OR($S272="",$F272=""),"",$S272*VLOOKUP($F272,'⚙️ Setelan'!$A$14:$F$20,5,FALSE)),"")</f>
        <v/>
      </c>
      <c r="X272" s="65" t="str">
        <f t="shared" si="31"/>
        <v/>
      </c>
      <c r="Y272" s="63" t="str">
        <f t="shared" si="32"/>
        <v/>
      </c>
      <c r="Z272" s="58" t="str">
        <f t="shared" si="33"/>
        <v/>
      </c>
      <c r="AA272" s="66" t="str">
        <f t="shared" si="34"/>
        <v/>
      </c>
      <c r="AB272" s="62"/>
      <c r="AC272" s="62"/>
      <c r="AD272" s="63" t="str">
        <f>IFERROR(IF(OR($AB272="",$T272="",$T272=0),"",ROUND(ABS($N272-$AB272)*$S272*VLOOKUP($F272,'⚙️ Setelan'!$A$14:$F$20,4,FALSE)/$T272,2)),"")</f>
        <v/>
      </c>
      <c r="AE272" s="63" t="str">
        <f>IFERROR(IF(OR($AC272="",$T272="",$T272=0),"",ROUND(ABS($AC272-$N272)*$S272*VLOOKUP($F272,'⚙️ Setelan'!$A$14:$F$20,4,FALSE)/$T272,2)),"")</f>
        <v/>
      </c>
      <c r="AF272" s="61"/>
      <c r="AG272" s="61"/>
      <c r="AH272" s="61"/>
      <c r="AI272" s="61"/>
      <c r="AJ272" s="61"/>
      <c r="AK272" s="67"/>
      <c r="AL272" s="58" t="str">
        <f>IF(OR($C272="",$B272=""),"",IF(AND($Z271="Loss",$B272=$B271,MOD($C272-$D271,1)*1440&lt;'⚙️ Setelan'!$B$9),"⚠️ Revenge",""))</f>
        <v/>
      </c>
      <c r="AM272" s="68"/>
      <c r="AN272" s="58" t="str">
        <f>IF($AM272="","",IFERROR(_xlfn.IMAGE(IF(REGEXMATCH($AM272,"\.(png|jpg|jpeg|gif)$"),$AM272,"https://s3.tradingview.com/snapshots/"&amp;LOWER(MID(REGEXEXTRACT($AM272,"/x/([A-Za-z0-9]+)"),1,1))&amp;"/"&amp;REGEXEXTRACT($AM272,"/x/([A-Za-z0-9]+)")&amp;".png"),1),"⚠️ link tidak dikenali"))</f>
        <v/>
      </c>
      <c r="AO272" s="68"/>
      <c r="AP272" s="58" t="str">
        <f>IF($AO272="","",IFERROR(_xlfn.IMAGE(IF(REGEXMATCH($AO272,"\.(png|jpg|jpeg|gif)$"),$AO272,"https://s3.tradingview.com/snapshots/"&amp;LOWER(MID(REGEXEXTRACT($AO272,"/x/([A-Za-z0-9]+)"),1,1))&amp;"/"&amp;REGEXEXTRACT($AO272,"/x/([A-Za-z0-9]+)")&amp;".png"),1),"⚠️ link tidak dikenali"))</f>
        <v/>
      </c>
      <c r="AQ272" s="66">
        <f>IF($Z272="",0,IF(AND(OR('📊 Dashboard'!$B$4="(Semua)",$F272='📊 Dashboard'!$B$4),OR('📊 Dashboard'!$B$5="(Semua)",$H272='📊 Dashboard'!$B$5),OR('📊 Dashboard'!$B$6="(Semua)",$E272='📊 Dashboard'!$B$6),OR('📊 Dashboard'!$B$7="(Semua)",$AF272='📊 Dashboard'!$B$7),OR('📊 Dashboard'!$B$8="(Semua)",$AG272='📊 Dashboard'!$B$8),OR('📊 Dashboard'!$B$9="(Semua)",$K272='📊 Dashboard'!$B$9)),1,0))</f>
        <v>0</v>
      </c>
      <c r="AR272" s="69"/>
    </row>
    <row r="273" ht="58" customHeight="1" spans="1:44">
      <c r="A273" s="58" t="str">
        <f t="shared" si="28"/>
        <v/>
      </c>
      <c r="B273" s="59"/>
      <c r="C273" s="60"/>
      <c r="D273" s="60"/>
      <c r="E273" s="58" t="str">
        <f t="shared" si="29"/>
        <v/>
      </c>
      <c r="F273" s="61"/>
      <c r="G273" s="61"/>
      <c r="H273" s="61"/>
      <c r="I273" s="61"/>
      <c r="J273" s="61"/>
      <c r="K273" s="61"/>
      <c r="L273" s="61"/>
      <c r="M273" s="61"/>
      <c r="N273" s="62"/>
      <c r="O273" s="62"/>
      <c r="P273" s="62"/>
      <c r="Q273" s="62"/>
      <c r="R273" s="63" t="str">
        <f>IFERROR(IF(OR($N273="",$O273="",$F273=""),"",ROUND(('⚙️ Setelan'!$B$3*'⚙️ Setelan'!$B$4/100)/(ABS($N273-$O273)*VLOOKUP($F273,'⚙️ Setelan'!$A$14:$F$20,4,FALSE)),2)),"")</f>
        <v/>
      </c>
      <c r="S273" s="64"/>
      <c r="T273" s="65" t="str">
        <f>IFERROR(IF(OR($N273="",$O273="",$S273=""),"",ABS($N273-$O273)*$S273*VLOOKUP($F273,'⚙️ Setelan'!$A$14:$F$20,4,FALSE)),"")</f>
        <v/>
      </c>
      <c r="U273" s="63" t="str">
        <f t="shared" si="30"/>
        <v/>
      </c>
      <c r="V273" s="65" t="str">
        <f>IFERROR(IF(OR($Q273="",$N273="",$S273=""),"",($Q273-$N273)*IF($G273="Buy",1,-1)*$S273*VLOOKUP($F273,'⚙️ Setelan'!$A$14:$F$20,4,FALSE)),"")</f>
        <v/>
      </c>
      <c r="W273" s="65" t="str">
        <f>IFERROR(IF(OR($S273="",$F273=""),"",$S273*VLOOKUP($F273,'⚙️ Setelan'!$A$14:$F$20,5,FALSE)),"")</f>
        <v/>
      </c>
      <c r="X273" s="65" t="str">
        <f t="shared" si="31"/>
        <v/>
      </c>
      <c r="Y273" s="63" t="str">
        <f t="shared" si="32"/>
        <v/>
      </c>
      <c r="Z273" s="58" t="str">
        <f t="shared" si="33"/>
        <v/>
      </c>
      <c r="AA273" s="66" t="str">
        <f t="shared" si="34"/>
        <v/>
      </c>
      <c r="AB273" s="62"/>
      <c r="AC273" s="62"/>
      <c r="AD273" s="63" t="str">
        <f>IFERROR(IF(OR($AB273="",$T273="",$T273=0),"",ROUND(ABS($N273-$AB273)*$S273*VLOOKUP($F273,'⚙️ Setelan'!$A$14:$F$20,4,FALSE)/$T273,2)),"")</f>
        <v/>
      </c>
      <c r="AE273" s="63" t="str">
        <f>IFERROR(IF(OR($AC273="",$T273="",$T273=0),"",ROUND(ABS($AC273-$N273)*$S273*VLOOKUP($F273,'⚙️ Setelan'!$A$14:$F$20,4,FALSE)/$T273,2)),"")</f>
        <v/>
      </c>
      <c r="AF273" s="61"/>
      <c r="AG273" s="61"/>
      <c r="AH273" s="61"/>
      <c r="AI273" s="61"/>
      <c r="AJ273" s="61"/>
      <c r="AK273" s="67"/>
      <c r="AL273" s="58" t="str">
        <f>IF(OR($C273="",$B273=""),"",IF(AND($Z272="Loss",$B273=$B272,MOD($C273-$D272,1)*1440&lt;'⚙️ Setelan'!$B$9),"⚠️ Revenge",""))</f>
        <v/>
      </c>
      <c r="AM273" s="68"/>
      <c r="AN273" s="58" t="str">
        <f>IF($AM273="","",IFERROR(_xlfn.IMAGE(IF(REGEXMATCH($AM273,"\.(png|jpg|jpeg|gif)$"),$AM273,"https://s3.tradingview.com/snapshots/"&amp;LOWER(MID(REGEXEXTRACT($AM273,"/x/([A-Za-z0-9]+)"),1,1))&amp;"/"&amp;REGEXEXTRACT($AM273,"/x/([A-Za-z0-9]+)")&amp;".png"),1),"⚠️ link tidak dikenali"))</f>
        <v/>
      </c>
      <c r="AO273" s="68"/>
      <c r="AP273" s="58" t="str">
        <f>IF($AO273="","",IFERROR(_xlfn.IMAGE(IF(REGEXMATCH($AO273,"\.(png|jpg|jpeg|gif)$"),$AO273,"https://s3.tradingview.com/snapshots/"&amp;LOWER(MID(REGEXEXTRACT($AO273,"/x/([A-Za-z0-9]+)"),1,1))&amp;"/"&amp;REGEXEXTRACT($AO273,"/x/([A-Za-z0-9]+)")&amp;".png"),1),"⚠️ link tidak dikenali"))</f>
        <v/>
      </c>
      <c r="AQ273" s="66">
        <f>IF($Z273="",0,IF(AND(OR('📊 Dashboard'!$B$4="(Semua)",$F273='📊 Dashboard'!$B$4),OR('📊 Dashboard'!$B$5="(Semua)",$H273='📊 Dashboard'!$B$5),OR('📊 Dashboard'!$B$6="(Semua)",$E273='📊 Dashboard'!$B$6),OR('📊 Dashboard'!$B$7="(Semua)",$AF273='📊 Dashboard'!$B$7),OR('📊 Dashboard'!$B$8="(Semua)",$AG273='📊 Dashboard'!$B$8),OR('📊 Dashboard'!$B$9="(Semua)",$K273='📊 Dashboard'!$B$9)),1,0))</f>
        <v>0</v>
      </c>
      <c r="AR273" s="69"/>
    </row>
    <row r="274" ht="58" customHeight="1" spans="1:44">
      <c r="A274" s="58" t="str">
        <f t="shared" si="28"/>
        <v/>
      </c>
      <c r="B274" s="59"/>
      <c r="C274" s="60"/>
      <c r="D274" s="60"/>
      <c r="E274" s="58" t="str">
        <f t="shared" si="29"/>
        <v/>
      </c>
      <c r="F274" s="61"/>
      <c r="G274" s="61"/>
      <c r="H274" s="61"/>
      <c r="I274" s="61"/>
      <c r="J274" s="61"/>
      <c r="K274" s="61"/>
      <c r="L274" s="61"/>
      <c r="M274" s="61"/>
      <c r="N274" s="62"/>
      <c r="O274" s="62"/>
      <c r="P274" s="62"/>
      <c r="Q274" s="62"/>
      <c r="R274" s="63" t="str">
        <f>IFERROR(IF(OR($N274="",$O274="",$F274=""),"",ROUND(('⚙️ Setelan'!$B$3*'⚙️ Setelan'!$B$4/100)/(ABS($N274-$O274)*VLOOKUP($F274,'⚙️ Setelan'!$A$14:$F$20,4,FALSE)),2)),"")</f>
        <v/>
      </c>
      <c r="S274" s="64"/>
      <c r="T274" s="65" t="str">
        <f>IFERROR(IF(OR($N274="",$O274="",$S274=""),"",ABS($N274-$O274)*$S274*VLOOKUP($F274,'⚙️ Setelan'!$A$14:$F$20,4,FALSE)),"")</f>
        <v/>
      </c>
      <c r="U274" s="63" t="str">
        <f t="shared" si="30"/>
        <v/>
      </c>
      <c r="V274" s="65" t="str">
        <f>IFERROR(IF(OR($Q274="",$N274="",$S274=""),"",($Q274-$N274)*IF($G274="Buy",1,-1)*$S274*VLOOKUP($F274,'⚙️ Setelan'!$A$14:$F$20,4,FALSE)),"")</f>
        <v/>
      </c>
      <c r="W274" s="65" t="str">
        <f>IFERROR(IF(OR($S274="",$F274=""),"",$S274*VLOOKUP($F274,'⚙️ Setelan'!$A$14:$F$20,5,FALSE)),"")</f>
        <v/>
      </c>
      <c r="X274" s="65" t="str">
        <f t="shared" si="31"/>
        <v/>
      </c>
      <c r="Y274" s="63" t="str">
        <f t="shared" si="32"/>
        <v/>
      </c>
      <c r="Z274" s="58" t="str">
        <f t="shared" si="33"/>
        <v/>
      </c>
      <c r="AA274" s="66" t="str">
        <f t="shared" si="34"/>
        <v/>
      </c>
      <c r="AB274" s="62"/>
      <c r="AC274" s="62"/>
      <c r="AD274" s="63" t="str">
        <f>IFERROR(IF(OR($AB274="",$T274="",$T274=0),"",ROUND(ABS($N274-$AB274)*$S274*VLOOKUP($F274,'⚙️ Setelan'!$A$14:$F$20,4,FALSE)/$T274,2)),"")</f>
        <v/>
      </c>
      <c r="AE274" s="63" t="str">
        <f>IFERROR(IF(OR($AC274="",$T274="",$T274=0),"",ROUND(ABS($AC274-$N274)*$S274*VLOOKUP($F274,'⚙️ Setelan'!$A$14:$F$20,4,FALSE)/$T274,2)),"")</f>
        <v/>
      </c>
      <c r="AF274" s="61"/>
      <c r="AG274" s="61"/>
      <c r="AH274" s="61"/>
      <c r="AI274" s="61"/>
      <c r="AJ274" s="61"/>
      <c r="AK274" s="67"/>
      <c r="AL274" s="58" t="str">
        <f>IF(OR($C274="",$B274=""),"",IF(AND($Z273="Loss",$B274=$B273,MOD($C274-$D273,1)*1440&lt;'⚙️ Setelan'!$B$9),"⚠️ Revenge",""))</f>
        <v/>
      </c>
      <c r="AM274" s="68"/>
      <c r="AN274" s="58" t="str">
        <f>IF($AM274="","",IFERROR(_xlfn.IMAGE(IF(REGEXMATCH($AM274,"\.(png|jpg|jpeg|gif)$"),$AM274,"https://s3.tradingview.com/snapshots/"&amp;LOWER(MID(REGEXEXTRACT($AM274,"/x/([A-Za-z0-9]+)"),1,1))&amp;"/"&amp;REGEXEXTRACT($AM274,"/x/([A-Za-z0-9]+)")&amp;".png"),1),"⚠️ link tidak dikenali"))</f>
        <v/>
      </c>
      <c r="AO274" s="68"/>
      <c r="AP274" s="58" t="str">
        <f>IF($AO274="","",IFERROR(_xlfn.IMAGE(IF(REGEXMATCH($AO274,"\.(png|jpg|jpeg|gif)$"),$AO274,"https://s3.tradingview.com/snapshots/"&amp;LOWER(MID(REGEXEXTRACT($AO274,"/x/([A-Za-z0-9]+)"),1,1))&amp;"/"&amp;REGEXEXTRACT($AO274,"/x/([A-Za-z0-9]+)")&amp;".png"),1),"⚠️ link tidak dikenali"))</f>
        <v/>
      </c>
      <c r="AQ274" s="66">
        <f>IF($Z274="",0,IF(AND(OR('📊 Dashboard'!$B$4="(Semua)",$F274='📊 Dashboard'!$B$4),OR('📊 Dashboard'!$B$5="(Semua)",$H274='📊 Dashboard'!$B$5),OR('📊 Dashboard'!$B$6="(Semua)",$E274='📊 Dashboard'!$B$6),OR('📊 Dashboard'!$B$7="(Semua)",$AF274='📊 Dashboard'!$B$7),OR('📊 Dashboard'!$B$8="(Semua)",$AG274='📊 Dashboard'!$B$8),OR('📊 Dashboard'!$B$9="(Semua)",$K274='📊 Dashboard'!$B$9)),1,0))</f>
        <v>0</v>
      </c>
      <c r="AR274" s="69"/>
    </row>
    <row r="275" ht="58" customHeight="1" spans="1:44">
      <c r="A275" s="58" t="str">
        <f t="shared" si="28"/>
        <v/>
      </c>
      <c r="B275" s="59"/>
      <c r="C275" s="60"/>
      <c r="D275" s="60"/>
      <c r="E275" s="58" t="str">
        <f t="shared" si="29"/>
        <v/>
      </c>
      <c r="F275" s="61"/>
      <c r="G275" s="61"/>
      <c r="H275" s="61"/>
      <c r="I275" s="61"/>
      <c r="J275" s="61"/>
      <c r="K275" s="61"/>
      <c r="L275" s="61"/>
      <c r="M275" s="61"/>
      <c r="N275" s="62"/>
      <c r="O275" s="62"/>
      <c r="P275" s="62"/>
      <c r="Q275" s="62"/>
      <c r="R275" s="63" t="str">
        <f>IFERROR(IF(OR($N275="",$O275="",$F275=""),"",ROUND(('⚙️ Setelan'!$B$3*'⚙️ Setelan'!$B$4/100)/(ABS($N275-$O275)*VLOOKUP($F275,'⚙️ Setelan'!$A$14:$F$20,4,FALSE)),2)),"")</f>
        <v/>
      </c>
      <c r="S275" s="64"/>
      <c r="T275" s="65" t="str">
        <f>IFERROR(IF(OR($N275="",$O275="",$S275=""),"",ABS($N275-$O275)*$S275*VLOOKUP($F275,'⚙️ Setelan'!$A$14:$F$20,4,FALSE)),"")</f>
        <v/>
      </c>
      <c r="U275" s="63" t="str">
        <f t="shared" si="30"/>
        <v/>
      </c>
      <c r="V275" s="65" t="str">
        <f>IFERROR(IF(OR($Q275="",$N275="",$S275=""),"",($Q275-$N275)*IF($G275="Buy",1,-1)*$S275*VLOOKUP($F275,'⚙️ Setelan'!$A$14:$F$20,4,FALSE)),"")</f>
        <v/>
      </c>
      <c r="W275" s="65" t="str">
        <f>IFERROR(IF(OR($S275="",$F275=""),"",$S275*VLOOKUP($F275,'⚙️ Setelan'!$A$14:$F$20,5,FALSE)),"")</f>
        <v/>
      </c>
      <c r="X275" s="65" t="str">
        <f t="shared" si="31"/>
        <v/>
      </c>
      <c r="Y275" s="63" t="str">
        <f t="shared" si="32"/>
        <v/>
      </c>
      <c r="Z275" s="58" t="str">
        <f t="shared" si="33"/>
        <v/>
      </c>
      <c r="AA275" s="66" t="str">
        <f t="shared" si="34"/>
        <v/>
      </c>
      <c r="AB275" s="62"/>
      <c r="AC275" s="62"/>
      <c r="AD275" s="63" t="str">
        <f>IFERROR(IF(OR($AB275="",$T275="",$T275=0),"",ROUND(ABS($N275-$AB275)*$S275*VLOOKUP($F275,'⚙️ Setelan'!$A$14:$F$20,4,FALSE)/$T275,2)),"")</f>
        <v/>
      </c>
      <c r="AE275" s="63" t="str">
        <f>IFERROR(IF(OR($AC275="",$T275="",$T275=0),"",ROUND(ABS($AC275-$N275)*$S275*VLOOKUP($F275,'⚙️ Setelan'!$A$14:$F$20,4,FALSE)/$T275,2)),"")</f>
        <v/>
      </c>
      <c r="AF275" s="61"/>
      <c r="AG275" s="61"/>
      <c r="AH275" s="61"/>
      <c r="AI275" s="61"/>
      <c r="AJ275" s="61"/>
      <c r="AK275" s="67"/>
      <c r="AL275" s="58" t="str">
        <f>IF(OR($C275="",$B275=""),"",IF(AND($Z274="Loss",$B275=$B274,MOD($C275-$D274,1)*1440&lt;'⚙️ Setelan'!$B$9),"⚠️ Revenge",""))</f>
        <v/>
      </c>
      <c r="AM275" s="68"/>
      <c r="AN275" s="58" t="str">
        <f>IF($AM275="","",IFERROR(_xlfn.IMAGE(IF(REGEXMATCH($AM275,"\.(png|jpg|jpeg|gif)$"),$AM275,"https://s3.tradingview.com/snapshots/"&amp;LOWER(MID(REGEXEXTRACT($AM275,"/x/([A-Za-z0-9]+)"),1,1))&amp;"/"&amp;REGEXEXTRACT($AM275,"/x/([A-Za-z0-9]+)")&amp;".png"),1),"⚠️ link tidak dikenali"))</f>
        <v/>
      </c>
      <c r="AO275" s="68"/>
      <c r="AP275" s="58" t="str">
        <f>IF($AO275="","",IFERROR(_xlfn.IMAGE(IF(REGEXMATCH($AO275,"\.(png|jpg|jpeg|gif)$"),$AO275,"https://s3.tradingview.com/snapshots/"&amp;LOWER(MID(REGEXEXTRACT($AO275,"/x/([A-Za-z0-9]+)"),1,1))&amp;"/"&amp;REGEXEXTRACT($AO275,"/x/([A-Za-z0-9]+)")&amp;".png"),1),"⚠️ link tidak dikenali"))</f>
        <v/>
      </c>
      <c r="AQ275" s="66">
        <f>IF($Z275="",0,IF(AND(OR('📊 Dashboard'!$B$4="(Semua)",$F275='📊 Dashboard'!$B$4),OR('📊 Dashboard'!$B$5="(Semua)",$H275='📊 Dashboard'!$B$5),OR('📊 Dashboard'!$B$6="(Semua)",$E275='📊 Dashboard'!$B$6),OR('📊 Dashboard'!$B$7="(Semua)",$AF275='📊 Dashboard'!$B$7),OR('📊 Dashboard'!$B$8="(Semua)",$AG275='📊 Dashboard'!$B$8),OR('📊 Dashboard'!$B$9="(Semua)",$K275='📊 Dashboard'!$B$9)),1,0))</f>
        <v>0</v>
      </c>
      <c r="AR275" s="69"/>
    </row>
    <row r="276" ht="58" customHeight="1" spans="1:44">
      <c r="A276" s="58" t="str">
        <f t="shared" si="28"/>
        <v/>
      </c>
      <c r="B276" s="59"/>
      <c r="C276" s="60"/>
      <c r="D276" s="60"/>
      <c r="E276" s="58" t="str">
        <f t="shared" si="29"/>
        <v/>
      </c>
      <c r="F276" s="61"/>
      <c r="G276" s="61"/>
      <c r="H276" s="61"/>
      <c r="I276" s="61"/>
      <c r="J276" s="61"/>
      <c r="K276" s="61"/>
      <c r="L276" s="61"/>
      <c r="M276" s="61"/>
      <c r="N276" s="62"/>
      <c r="O276" s="62"/>
      <c r="P276" s="62"/>
      <c r="Q276" s="62"/>
      <c r="R276" s="63" t="str">
        <f>IFERROR(IF(OR($N276="",$O276="",$F276=""),"",ROUND(('⚙️ Setelan'!$B$3*'⚙️ Setelan'!$B$4/100)/(ABS($N276-$O276)*VLOOKUP($F276,'⚙️ Setelan'!$A$14:$F$20,4,FALSE)),2)),"")</f>
        <v/>
      </c>
      <c r="S276" s="64"/>
      <c r="T276" s="65" t="str">
        <f>IFERROR(IF(OR($N276="",$O276="",$S276=""),"",ABS($N276-$O276)*$S276*VLOOKUP($F276,'⚙️ Setelan'!$A$14:$F$20,4,FALSE)),"")</f>
        <v/>
      </c>
      <c r="U276" s="63" t="str">
        <f t="shared" si="30"/>
        <v/>
      </c>
      <c r="V276" s="65" t="str">
        <f>IFERROR(IF(OR($Q276="",$N276="",$S276=""),"",($Q276-$N276)*IF($G276="Buy",1,-1)*$S276*VLOOKUP($F276,'⚙️ Setelan'!$A$14:$F$20,4,FALSE)),"")</f>
        <v/>
      </c>
      <c r="W276" s="65" t="str">
        <f>IFERROR(IF(OR($S276="",$F276=""),"",$S276*VLOOKUP($F276,'⚙️ Setelan'!$A$14:$F$20,5,FALSE)),"")</f>
        <v/>
      </c>
      <c r="X276" s="65" t="str">
        <f t="shared" si="31"/>
        <v/>
      </c>
      <c r="Y276" s="63" t="str">
        <f t="shared" si="32"/>
        <v/>
      </c>
      <c r="Z276" s="58" t="str">
        <f t="shared" si="33"/>
        <v/>
      </c>
      <c r="AA276" s="66" t="str">
        <f t="shared" si="34"/>
        <v/>
      </c>
      <c r="AB276" s="62"/>
      <c r="AC276" s="62"/>
      <c r="AD276" s="63" t="str">
        <f>IFERROR(IF(OR($AB276="",$T276="",$T276=0),"",ROUND(ABS($N276-$AB276)*$S276*VLOOKUP($F276,'⚙️ Setelan'!$A$14:$F$20,4,FALSE)/$T276,2)),"")</f>
        <v/>
      </c>
      <c r="AE276" s="63" t="str">
        <f>IFERROR(IF(OR($AC276="",$T276="",$T276=0),"",ROUND(ABS($AC276-$N276)*$S276*VLOOKUP($F276,'⚙️ Setelan'!$A$14:$F$20,4,FALSE)/$T276,2)),"")</f>
        <v/>
      </c>
      <c r="AF276" s="61"/>
      <c r="AG276" s="61"/>
      <c r="AH276" s="61"/>
      <c r="AI276" s="61"/>
      <c r="AJ276" s="61"/>
      <c r="AK276" s="67"/>
      <c r="AL276" s="58" t="str">
        <f>IF(OR($C276="",$B276=""),"",IF(AND($Z275="Loss",$B276=$B275,MOD($C276-$D275,1)*1440&lt;'⚙️ Setelan'!$B$9),"⚠️ Revenge",""))</f>
        <v/>
      </c>
      <c r="AM276" s="68"/>
      <c r="AN276" s="58" t="str">
        <f>IF($AM276="","",IFERROR(_xlfn.IMAGE(IF(REGEXMATCH($AM276,"\.(png|jpg|jpeg|gif)$"),$AM276,"https://s3.tradingview.com/snapshots/"&amp;LOWER(MID(REGEXEXTRACT($AM276,"/x/([A-Za-z0-9]+)"),1,1))&amp;"/"&amp;REGEXEXTRACT($AM276,"/x/([A-Za-z0-9]+)")&amp;".png"),1),"⚠️ link tidak dikenali"))</f>
        <v/>
      </c>
      <c r="AO276" s="68"/>
      <c r="AP276" s="58" t="str">
        <f>IF($AO276="","",IFERROR(_xlfn.IMAGE(IF(REGEXMATCH($AO276,"\.(png|jpg|jpeg|gif)$"),$AO276,"https://s3.tradingview.com/snapshots/"&amp;LOWER(MID(REGEXEXTRACT($AO276,"/x/([A-Za-z0-9]+)"),1,1))&amp;"/"&amp;REGEXEXTRACT($AO276,"/x/([A-Za-z0-9]+)")&amp;".png"),1),"⚠️ link tidak dikenali"))</f>
        <v/>
      </c>
      <c r="AQ276" s="66">
        <f>IF($Z276="",0,IF(AND(OR('📊 Dashboard'!$B$4="(Semua)",$F276='📊 Dashboard'!$B$4),OR('📊 Dashboard'!$B$5="(Semua)",$H276='📊 Dashboard'!$B$5),OR('📊 Dashboard'!$B$6="(Semua)",$E276='📊 Dashboard'!$B$6),OR('📊 Dashboard'!$B$7="(Semua)",$AF276='📊 Dashboard'!$B$7),OR('📊 Dashboard'!$B$8="(Semua)",$AG276='📊 Dashboard'!$B$8),OR('📊 Dashboard'!$B$9="(Semua)",$K276='📊 Dashboard'!$B$9)),1,0))</f>
        <v>0</v>
      </c>
      <c r="AR276" s="69"/>
    </row>
    <row r="277" ht="58" customHeight="1" spans="1:44">
      <c r="A277" s="58" t="str">
        <f t="shared" si="28"/>
        <v/>
      </c>
      <c r="B277" s="59"/>
      <c r="C277" s="60"/>
      <c r="D277" s="60"/>
      <c r="E277" s="58" t="str">
        <f t="shared" si="29"/>
        <v/>
      </c>
      <c r="F277" s="61"/>
      <c r="G277" s="61"/>
      <c r="H277" s="61"/>
      <c r="I277" s="61"/>
      <c r="J277" s="61"/>
      <c r="K277" s="61"/>
      <c r="L277" s="61"/>
      <c r="M277" s="61"/>
      <c r="N277" s="62"/>
      <c r="O277" s="62"/>
      <c r="P277" s="62"/>
      <c r="Q277" s="62"/>
      <c r="R277" s="63" t="str">
        <f>IFERROR(IF(OR($N277="",$O277="",$F277=""),"",ROUND(('⚙️ Setelan'!$B$3*'⚙️ Setelan'!$B$4/100)/(ABS($N277-$O277)*VLOOKUP($F277,'⚙️ Setelan'!$A$14:$F$20,4,FALSE)),2)),"")</f>
        <v/>
      </c>
      <c r="S277" s="64"/>
      <c r="T277" s="65" t="str">
        <f>IFERROR(IF(OR($N277="",$O277="",$S277=""),"",ABS($N277-$O277)*$S277*VLOOKUP($F277,'⚙️ Setelan'!$A$14:$F$20,4,FALSE)),"")</f>
        <v/>
      </c>
      <c r="U277" s="63" t="str">
        <f t="shared" si="30"/>
        <v/>
      </c>
      <c r="V277" s="65" t="str">
        <f>IFERROR(IF(OR($Q277="",$N277="",$S277=""),"",($Q277-$N277)*IF($G277="Buy",1,-1)*$S277*VLOOKUP($F277,'⚙️ Setelan'!$A$14:$F$20,4,FALSE)),"")</f>
        <v/>
      </c>
      <c r="W277" s="65" t="str">
        <f>IFERROR(IF(OR($S277="",$F277=""),"",$S277*VLOOKUP($F277,'⚙️ Setelan'!$A$14:$F$20,5,FALSE)),"")</f>
        <v/>
      </c>
      <c r="X277" s="65" t="str">
        <f t="shared" si="31"/>
        <v/>
      </c>
      <c r="Y277" s="63" t="str">
        <f t="shared" si="32"/>
        <v/>
      </c>
      <c r="Z277" s="58" t="str">
        <f t="shared" si="33"/>
        <v/>
      </c>
      <c r="AA277" s="66" t="str">
        <f t="shared" si="34"/>
        <v/>
      </c>
      <c r="AB277" s="62"/>
      <c r="AC277" s="62"/>
      <c r="AD277" s="63" t="str">
        <f>IFERROR(IF(OR($AB277="",$T277="",$T277=0),"",ROUND(ABS($N277-$AB277)*$S277*VLOOKUP($F277,'⚙️ Setelan'!$A$14:$F$20,4,FALSE)/$T277,2)),"")</f>
        <v/>
      </c>
      <c r="AE277" s="63" t="str">
        <f>IFERROR(IF(OR($AC277="",$T277="",$T277=0),"",ROUND(ABS($AC277-$N277)*$S277*VLOOKUP($F277,'⚙️ Setelan'!$A$14:$F$20,4,FALSE)/$T277,2)),"")</f>
        <v/>
      </c>
      <c r="AF277" s="61"/>
      <c r="AG277" s="61"/>
      <c r="AH277" s="61"/>
      <c r="AI277" s="61"/>
      <c r="AJ277" s="61"/>
      <c r="AK277" s="67"/>
      <c r="AL277" s="58" t="str">
        <f>IF(OR($C277="",$B277=""),"",IF(AND($Z276="Loss",$B277=$B276,MOD($C277-$D276,1)*1440&lt;'⚙️ Setelan'!$B$9),"⚠️ Revenge",""))</f>
        <v/>
      </c>
      <c r="AM277" s="68"/>
      <c r="AN277" s="58" t="str">
        <f>IF($AM277="","",IFERROR(_xlfn.IMAGE(IF(REGEXMATCH($AM277,"\.(png|jpg|jpeg|gif)$"),$AM277,"https://s3.tradingview.com/snapshots/"&amp;LOWER(MID(REGEXEXTRACT($AM277,"/x/([A-Za-z0-9]+)"),1,1))&amp;"/"&amp;REGEXEXTRACT($AM277,"/x/([A-Za-z0-9]+)")&amp;".png"),1),"⚠️ link tidak dikenali"))</f>
        <v/>
      </c>
      <c r="AO277" s="68"/>
      <c r="AP277" s="58" t="str">
        <f>IF($AO277="","",IFERROR(_xlfn.IMAGE(IF(REGEXMATCH($AO277,"\.(png|jpg|jpeg|gif)$"),$AO277,"https://s3.tradingview.com/snapshots/"&amp;LOWER(MID(REGEXEXTRACT($AO277,"/x/([A-Za-z0-9]+)"),1,1))&amp;"/"&amp;REGEXEXTRACT($AO277,"/x/([A-Za-z0-9]+)")&amp;".png"),1),"⚠️ link tidak dikenali"))</f>
        <v/>
      </c>
      <c r="AQ277" s="66">
        <f>IF($Z277="",0,IF(AND(OR('📊 Dashboard'!$B$4="(Semua)",$F277='📊 Dashboard'!$B$4),OR('📊 Dashboard'!$B$5="(Semua)",$H277='📊 Dashboard'!$B$5),OR('📊 Dashboard'!$B$6="(Semua)",$E277='📊 Dashboard'!$B$6),OR('📊 Dashboard'!$B$7="(Semua)",$AF277='📊 Dashboard'!$B$7),OR('📊 Dashboard'!$B$8="(Semua)",$AG277='📊 Dashboard'!$B$8),OR('📊 Dashboard'!$B$9="(Semua)",$K277='📊 Dashboard'!$B$9)),1,0))</f>
        <v>0</v>
      </c>
      <c r="AR277" s="69"/>
    </row>
    <row r="278" ht="58" customHeight="1" spans="1:44">
      <c r="A278" s="58" t="str">
        <f t="shared" si="28"/>
        <v/>
      </c>
      <c r="B278" s="59"/>
      <c r="C278" s="60"/>
      <c r="D278" s="60"/>
      <c r="E278" s="58" t="str">
        <f t="shared" si="29"/>
        <v/>
      </c>
      <c r="F278" s="61"/>
      <c r="G278" s="61"/>
      <c r="H278" s="61"/>
      <c r="I278" s="61"/>
      <c r="J278" s="61"/>
      <c r="K278" s="61"/>
      <c r="L278" s="61"/>
      <c r="M278" s="61"/>
      <c r="N278" s="62"/>
      <c r="O278" s="62"/>
      <c r="P278" s="62"/>
      <c r="Q278" s="62"/>
      <c r="R278" s="63" t="str">
        <f>IFERROR(IF(OR($N278="",$O278="",$F278=""),"",ROUND(('⚙️ Setelan'!$B$3*'⚙️ Setelan'!$B$4/100)/(ABS($N278-$O278)*VLOOKUP($F278,'⚙️ Setelan'!$A$14:$F$20,4,FALSE)),2)),"")</f>
        <v/>
      </c>
      <c r="S278" s="64"/>
      <c r="T278" s="65" t="str">
        <f>IFERROR(IF(OR($N278="",$O278="",$S278=""),"",ABS($N278-$O278)*$S278*VLOOKUP($F278,'⚙️ Setelan'!$A$14:$F$20,4,FALSE)),"")</f>
        <v/>
      </c>
      <c r="U278" s="63" t="str">
        <f t="shared" si="30"/>
        <v/>
      </c>
      <c r="V278" s="65" t="str">
        <f>IFERROR(IF(OR($Q278="",$N278="",$S278=""),"",($Q278-$N278)*IF($G278="Buy",1,-1)*$S278*VLOOKUP($F278,'⚙️ Setelan'!$A$14:$F$20,4,FALSE)),"")</f>
        <v/>
      </c>
      <c r="W278" s="65" t="str">
        <f>IFERROR(IF(OR($S278="",$F278=""),"",$S278*VLOOKUP($F278,'⚙️ Setelan'!$A$14:$F$20,5,FALSE)),"")</f>
        <v/>
      </c>
      <c r="X278" s="65" t="str">
        <f t="shared" si="31"/>
        <v/>
      </c>
      <c r="Y278" s="63" t="str">
        <f t="shared" si="32"/>
        <v/>
      </c>
      <c r="Z278" s="58" t="str">
        <f t="shared" si="33"/>
        <v/>
      </c>
      <c r="AA278" s="66" t="str">
        <f t="shared" si="34"/>
        <v/>
      </c>
      <c r="AB278" s="62"/>
      <c r="AC278" s="62"/>
      <c r="AD278" s="63" t="str">
        <f>IFERROR(IF(OR($AB278="",$T278="",$T278=0),"",ROUND(ABS($N278-$AB278)*$S278*VLOOKUP($F278,'⚙️ Setelan'!$A$14:$F$20,4,FALSE)/$T278,2)),"")</f>
        <v/>
      </c>
      <c r="AE278" s="63" t="str">
        <f>IFERROR(IF(OR($AC278="",$T278="",$T278=0),"",ROUND(ABS($AC278-$N278)*$S278*VLOOKUP($F278,'⚙️ Setelan'!$A$14:$F$20,4,FALSE)/$T278,2)),"")</f>
        <v/>
      </c>
      <c r="AF278" s="61"/>
      <c r="AG278" s="61"/>
      <c r="AH278" s="61"/>
      <c r="AI278" s="61"/>
      <c r="AJ278" s="61"/>
      <c r="AK278" s="67"/>
      <c r="AL278" s="58" t="str">
        <f>IF(OR($C278="",$B278=""),"",IF(AND($Z277="Loss",$B278=$B277,MOD($C278-$D277,1)*1440&lt;'⚙️ Setelan'!$B$9),"⚠️ Revenge",""))</f>
        <v/>
      </c>
      <c r="AM278" s="68"/>
      <c r="AN278" s="58" t="str">
        <f>IF($AM278="","",IFERROR(_xlfn.IMAGE(IF(REGEXMATCH($AM278,"\.(png|jpg|jpeg|gif)$"),$AM278,"https://s3.tradingview.com/snapshots/"&amp;LOWER(MID(REGEXEXTRACT($AM278,"/x/([A-Za-z0-9]+)"),1,1))&amp;"/"&amp;REGEXEXTRACT($AM278,"/x/([A-Za-z0-9]+)")&amp;".png"),1),"⚠️ link tidak dikenali"))</f>
        <v/>
      </c>
      <c r="AO278" s="68"/>
      <c r="AP278" s="58" t="str">
        <f>IF($AO278="","",IFERROR(_xlfn.IMAGE(IF(REGEXMATCH($AO278,"\.(png|jpg|jpeg|gif)$"),$AO278,"https://s3.tradingview.com/snapshots/"&amp;LOWER(MID(REGEXEXTRACT($AO278,"/x/([A-Za-z0-9]+)"),1,1))&amp;"/"&amp;REGEXEXTRACT($AO278,"/x/([A-Za-z0-9]+)")&amp;".png"),1),"⚠️ link tidak dikenali"))</f>
        <v/>
      </c>
      <c r="AQ278" s="66">
        <f>IF($Z278="",0,IF(AND(OR('📊 Dashboard'!$B$4="(Semua)",$F278='📊 Dashboard'!$B$4),OR('📊 Dashboard'!$B$5="(Semua)",$H278='📊 Dashboard'!$B$5),OR('📊 Dashboard'!$B$6="(Semua)",$E278='📊 Dashboard'!$B$6),OR('📊 Dashboard'!$B$7="(Semua)",$AF278='📊 Dashboard'!$B$7),OR('📊 Dashboard'!$B$8="(Semua)",$AG278='📊 Dashboard'!$B$8),OR('📊 Dashboard'!$B$9="(Semua)",$K278='📊 Dashboard'!$B$9)),1,0))</f>
        <v>0</v>
      </c>
      <c r="AR278" s="69"/>
    </row>
    <row r="279" ht="58" customHeight="1" spans="1:44">
      <c r="A279" s="58" t="str">
        <f t="shared" si="28"/>
        <v/>
      </c>
      <c r="B279" s="59"/>
      <c r="C279" s="60"/>
      <c r="D279" s="60"/>
      <c r="E279" s="58" t="str">
        <f t="shared" si="29"/>
        <v/>
      </c>
      <c r="F279" s="61"/>
      <c r="G279" s="61"/>
      <c r="H279" s="61"/>
      <c r="I279" s="61"/>
      <c r="J279" s="61"/>
      <c r="K279" s="61"/>
      <c r="L279" s="61"/>
      <c r="M279" s="61"/>
      <c r="N279" s="62"/>
      <c r="O279" s="62"/>
      <c r="P279" s="62"/>
      <c r="Q279" s="62"/>
      <c r="R279" s="63" t="str">
        <f>IFERROR(IF(OR($N279="",$O279="",$F279=""),"",ROUND(('⚙️ Setelan'!$B$3*'⚙️ Setelan'!$B$4/100)/(ABS($N279-$O279)*VLOOKUP($F279,'⚙️ Setelan'!$A$14:$F$20,4,FALSE)),2)),"")</f>
        <v/>
      </c>
      <c r="S279" s="64"/>
      <c r="T279" s="65" t="str">
        <f>IFERROR(IF(OR($N279="",$O279="",$S279=""),"",ABS($N279-$O279)*$S279*VLOOKUP($F279,'⚙️ Setelan'!$A$14:$F$20,4,FALSE)),"")</f>
        <v/>
      </c>
      <c r="U279" s="63" t="str">
        <f t="shared" si="30"/>
        <v/>
      </c>
      <c r="V279" s="65" t="str">
        <f>IFERROR(IF(OR($Q279="",$N279="",$S279=""),"",($Q279-$N279)*IF($G279="Buy",1,-1)*$S279*VLOOKUP($F279,'⚙️ Setelan'!$A$14:$F$20,4,FALSE)),"")</f>
        <v/>
      </c>
      <c r="W279" s="65" t="str">
        <f>IFERROR(IF(OR($S279="",$F279=""),"",$S279*VLOOKUP($F279,'⚙️ Setelan'!$A$14:$F$20,5,FALSE)),"")</f>
        <v/>
      </c>
      <c r="X279" s="65" t="str">
        <f t="shared" si="31"/>
        <v/>
      </c>
      <c r="Y279" s="63" t="str">
        <f t="shared" si="32"/>
        <v/>
      </c>
      <c r="Z279" s="58" t="str">
        <f t="shared" si="33"/>
        <v/>
      </c>
      <c r="AA279" s="66" t="str">
        <f t="shared" si="34"/>
        <v/>
      </c>
      <c r="AB279" s="62"/>
      <c r="AC279" s="62"/>
      <c r="AD279" s="63" t="str">
        <f>IFERROR(IF(OR($AB279="",$T279="",$T279=0),"",ROUND(ABS($N279-$AB279)*$S279*VLOOKUP($F279,'⚙️ Setelan'!$A$14:$F$20,4,FALSE)/$T279,2)),"")</f>
        <v/>
      </c>
      <c r="AE279" s="63" t="str">
        <f>IFERROR(IF(OR($AC279="",$T279="",$T279=0),"",ROUND(ABS($AC279-$N279)*$S279*VLOOKUP($F279,'⚙️ Setelan'!$A$14:$F$20,4,FALSE)/$T279,2)),"")</f>
        <v/>
      </c>
      <c r="AF279" s="61"/>
      <c r="AG279" s="61"/>
      <c r="AH279" s="61"/>
      <c r="AI279" s="61"/>
      <c r="AJ279" s="61"/>
      <c r="AK279" s="67"/>
      <c r="AL279" s="58" t="str">
        <f>IF(OR($C279="",$B279=""),"",IF(AND($Z278="Loss",$B279=$B278,MOD($C279-$D278,1)*1440&lt;'⚙️ Setelan'!$B$9),"⚠️ Revenge",""))</f>
        <v/>
      </c>
      <c r="AM279" s="68"/>
      <c r="AN279" s="58" t="str">
        <f>IF($AM279="","",IFERROR(_xlfn.IMAGE(IF(REGEXMATCH($AM279,"\.(png|jpg|jpeg|gif)$"),$AM279,"https://s3.tradingview.com/snapshots/"&amp;LOWER(MID(REGEXEXTRACT($AM279,"/x/([A-Za-z0-9]+)"),1,1))&amp;"/"&amp;REGEXEXTRACT($AM279,"/x/([A-Za-z0-9]+)")&amp;".png"),1),"⚠️ link tidak dikenali"))</f>
        <v/>
      </c>
      <c r="AO279" s="68"/>
      <c r="AP279" s="58" t="str">
        <f>IF($AO279="","",IFERROR(_xlfn.IMAGE(IF(REGEXMATCH($AO279,"\.(png|jpg|jpeg|gif)$"),$AO279,"https://s3.tradingview.com/snapshots/"&amp;LOWER(MID(REGEXEXTRACT($AO279,"/x/([A-Za-z0-9]+)"),1,1))&amp;"/"&amp;REGEXEXTRACT($AO279,"/x/([A-Za-z0-9]+)")&amp;".png"),1),"⚠️ link tidak dikenali"))</f>
        <v/>
      </c>
      <c r="AQ279" s="66">
        <f>IF($Z279="",0,IF(AND(OR('📊 Dashboard'!$B$4="(Semua)",$F279='📊 Dashboard'!$B$4),OR('📊 Dashboard'!$B$5="(Semua)",$H279='📊 Dashboard'!$B$5),OR('📊 Dashboard'!$B$6="(Semua)",$E279='📊 Dashboard'!$B$6),OR('📊 Dashboard'!$B$7="(Semua)",$AF279='📊 Dashboard'!$B$7),OR('📊 Dashboard'!$B$8="(Semua)",$AG279='📊 Dashboard'!$B$8),OR('📊 Dashboard'!$B$9="(Semua)",$K279='📊 Dashboard'!$B$9)),1,0))</f>
        <v>0</v>
      </c>
      <c r="AR279" s="69"/>
    </row>
    <row r="280" ht="58" customHeight="1" spans="1:44">
      <c r="A280" s="58" t="str">
        <f t="shared" si="28"/>
        <v/>
      </c>
      <c r="B280" s="59"/>
      <c r="C280" s="60"/>
      <c r="D280" s="60"/>
      <c r="E280" s="58" t="str">
        <f t="shared" si="29"/>
        <v/>
      </c>
      <c r="F280" s="61"/>
      <c r="G280" s="61"/>
      <c r="H280" s="61"/>
      <c r="I280" s="61"/>
      <c r="J280" s="61"/>
      <c r="K280" s="61"/>
      <c r="L280" s="61"/>
      <c r="M280" s="61"/>
      <c r="N280" s="62"/>
      <c r="O280" s="62"/>
      <c r="P280" s="62"/>
      <c r="Q280" s="62"/>
      <c r="R280" s="63" t="str">
        <f>IFERROR(IF(OR($N280="",$O280="",$F280=""),"",ROUND(('⚙️ Setelan'!$B$3*'⚙️ Setelan'!$B$4/100)/(ABS($N280-$O280)*VLOOKUP($F280,'⚙️ Setelan'!$A$14:$F$20,4,FALSE)),2)),"")</f>
        <v/>
      </c>
      <c r="S280" s="64"/>
      <c r="T280" s="65" t="str">
        <f>IFERROR(IF(OR($N280="",$O280="",$S280=""),"",ABS($N280-$O280)*$S280*VLOOKUP($F280,'⚙️ Setelan'!$A$14:$F$20,4,FALSE)),"")</f>
        <v/>
      </c>
      <c r="U280" s="63" t="str">
        <f t="shared" si="30"/>
        <v/>
      </c>
      <c r="V280" s="65" t="str">
        <f>IFERROR(IF(OR($Q280="",$N280="",$S280=""),"",($Q280-$N280)*IF($G280="Buy",1,-1)*$S280*VLOOKUP($F280,'⚙️ Setelan'!$A$14:$F$20,4,FALSE)),"")</f>
        <v/>
      </c>
      <c r="W280" s="65" t="str">
        <f>IFERROR(IF(OR($S280="",$F280=""),"",$S280*VLOOKUP($F280,'⚙️ Setelan'!$A$14:$F$20,5,FALSE)),"")</f>
        <v/>
      </c>
      <c r="X280" s="65" t="str">
        <f t="shared" si="31"/>
        <v/>
      </c>
      <c r="Y280" s="63" t="str">
        <f t="shared" si="32"/>
        <v/>
      </c>
      <c r="Z280" s="58" t="str">
        <f t="shared" si="33"/>
        <v/>
      </c>
      <c r="AA280" s="66" t="str">
        <f t="shared" si="34"/>
        <v/>
      </c>
      <c r="AB280" s="62"/>
      <c r="AC280" s="62"/>
      <c r="AD280" s="63" t="str">
        <f>IFERROR(IF(OR($AB280="",$T280="",$T280=0),"",ROUND(ABS($N280-$AB280)*$S280*VLOOKUP($F280,'⚙️ Setelan'!$A$14:$F$20,4,FALSE)/$T280,2)),"")</f>
        <v/>
      </c>
      <c r="AE280" s="63" t="str">
        <f>IFERROR(IF(OR($AC280="",$T280="",$T280=0),"",ROUND(ABS($AC280-$N280)*$S280*VLOOKUP($F280,'⚙️ Setelan'!$A$14:$F$20,4,FALSE)/$T280,2)),"")</f>
        <v/>
      </c>
      <c r="AF280" s="61"/>
      <c r="AG280" s="61"/>
      <c r="AH280" s="61"/>
      <c r="AI280" s="61"/>
      <c r="AJ280" s="61"/>
      <c r="AK280" s="67"/>
      <c r="AL280" s="58" t="str">
        <f>IF(OR($C280="",$B280=""),"",IF(AND($Z279="Loss",$B280=$B279,MOD($C280-$D279,1)*1440&lt;'⚙️ Setelan'!$B$9),"⚠️ Revenge",""))</f>
        <v/>
      </c>
      <c r="AM280" s="68"/>
      <c r="AN280" s="58" t="str">
        <f>IF($AM280="","",IFERROR(_xlfn.IMAGE(IF(REGEXMATCH($AM280,"\.(png|jpg|jpeg|gif)$"),$AM280,"https://s3.tradingview.com/snapshots/"&amp;LOWER(MID(REGEXEXTRACT($AM280,"/x/([A-Za-z0-9]+)"),1,1))&amp;"/"&amp;REGEXEXTRACT($AM280,"/x/([A-Za-z0-9]+)")&amp;".png"),1),"⚠️ link tidak dikenali"))</f>
        <v/>
      </c>
      <c r="AO280" s="68"/>
      <c r="AP280" s="58" t="str">
        <f>IF($AO280="","",IFERROR(_xlfn.IMAGE(IF(REGEXMATCH($AO280,"\.(png|jpg|jpeg|gif)$"),$AO280,"https://s3.tradingview.com/snapshots/"&amp;LOWER(MID(REGEXEXTRACT($AO280,"/x/([A-Za-z0-9]+)"),1,1))&amp;"/"&amp;REGEXEXTRACT($AO280,"/x/([A-Za-z0-9]+)")&amp;".png"),1),"⚠️ link tidak dikenali"))</f>
        <v/>
      </c>
      <c r="AQ280" s="66">
        <f>IF($Z280="",0,IF(AND(OR('📊 Dashboard'!$B$4="(Semua)",$F280='📊 Dashboard'!$B$4),OR('📊 Dashboard'!$B$5="(Semua)",$H280='📊 Dashboard'!$B$5),OR('📊 Dashboard'!$B$6="(Semua)",$E280='📊 Dashboard'!$B$6),OR('📊 Dashboard'!$B$7="(Semua)",$AF280='📊 Dashboard'!$B$7),OR('📊 Dashboard'!$B$8="(Semua)",$AG280='📊 Dashboard'!$B$8),OR('📊 Dashboard'!$B$9="(Semua)",$K280='📊 Dashboard'!$B$9)),1,0))</f>
        <v>0</v>
      </c>
      <c r="AR280" s="69"/>
    </row>
    <row r="281" ht="58" customHeight="1" spans="1:44">
      <c r="A281" s="58" t="str">
        <f t="shared" si="28"/>
        <v/>
      </c>
      <c r="B281" s="59"/>
      <c r="C281" s="60"/>
      <c r="D281" s="60"/>
      <c r="E281" s="58" t="str">
        <f t="shared" si="29"/>
        <v/>
      </c>
      <c r="F281" s="61"/>
      <c r="G281" s="61"/>
      <c r="H281" s="61"/>
      <c r="I281" s="61"/>
      <c r="J281" s="61"/>
      <c r="K281" s="61"/>
      <c r="L281" s="61"/>
      <c r="M281" s="61"/>
      <c r="N281" s="62"/>
      <c r="O281" s="62"/>
      <c r="P281" s="62"/>
      <c r="Q281" s="62"/>
      <c r="R281" s="63" t="str">
        <f>IFERROR(IF(OR($N281="",$O281="",$F281=""),"",ROUND(('⚙️ Setelan'!$B$3*'⚙️ Setelan'!$B$4/100)/(ABS($N281-$O281)*VLOOKUP($F281,'⚙️ Setelan'!$A$14:$F$20,4,FALSE)),2)),"")</f>
        <v/>
      </c>
      <c r="S281" s="64"/>
      <c r="T281" s="65" t="str">
        <f>IFERROR(IF(OR($N281="",$O281="",$S281=""),"",ABS($N281-$O281)*$S281*VLOOKUP($F281,'⚙️ Setelan'!$A$14:$F$20,4,FALSE)),"")</f>
        <v/>
      </c>
      <c r="U281" s="63" t="str">
        <f t="shared" si="30"/>
        <v/>
      </c>
      <c r="V281" s="65" t="str">
        <f>IFERROR(IF(OR($Q281="",$N281="",$S281=""),"",($Q281-$N281)*IF($G281="Buy",1,-1)*$S281*VLOOKUP($F281,'⚙️ Setelan'!$A$14:$F$20,4,FALSE)),"")</f>
        <v/>
      </c>
      <c r="W281" s="65" t="str">
        <f>IFERROR(IF(OR($S281="",$F281=""),"",$S281*VLOOKUP($F281,'⚙️ Setelan'!$A$14:$F$20,5,FALSE)),"")</f>
        <v/>
      </c>
      <c r="X281" s="65" t="str">
        <f t="shared" si="31"/>
        <v/>
      </c>
      <c r="Y281" s="63" t="str">
        <f t="shared" si="32"/>
        <v/>
      </c>
      <c r="Z281" s="58" t="str">
        <f t="shared" si="33"/>
        <v/>
      </c>
      <c r="AA281" s="66" t="str">
        <f t="shared" si="34"/>
        <v/>
      </c>
      <c r="AB281" s="62"/>
      <c r="AC281" s="62"/>
      <c r="AD281" s="63" t="str">
        <f>IFERROR(IF(OR($AB281="",$T281="",$T281=0),"",ROUND(ABS($N281-$AB281)*$S281*VLOOKUP($F281,'⚙️ Setelan'!$A$14:$F$20,4,FALSE)/$T281,2)),"")</f>
        <v/>
      </c>
      <c r="AE281" s="63" t="str">
        <f>IFERROR(IF(OR($AC281="",$T281="",$T281=0),"",ROUND(ABS($AC281-$N281)*$S281*VLOOKUP($F281,'⚙️ Setelan'!$A$14:$F$20,4,FALSE)/$T281,2)),"")</f>
        <v/>
      </c>
      <c r="AF281" s="61"/>
      <c r="AG281" s="61"/>
      <c r="AH281" s="61"/>
      <c r="AI281" s="61"/>
      <c r="AJ281" s="61"/>
      <c r="AK281" s="67"/>
      <c r="AL281" s="58" t="str">
        <f>IF(OR($C281="",$B281=""),"",IF(AND($Z280="Loss",$B281=$B280,MOD($C281-$D280,1)*1440&lt;'⚙️ Setelan'!$B$9),"⚠️ Revenge",""))</f>
        <v/>
      </c>
      <c r="AM281" s="68"/>
      <c r="AN281" s="58" t="str">
        <f>IF($AM281="","",IFERROR(_xlfn.IMAGE(IF(REGEXMATCH($AM281,"\.(png|jpg|jpeg|gif)$"),$AM281,"https://s3.tradingview.com/snapshots/"&amp;LOWER(MID(REGEXEXTRACT($AM281,"/x/([A-Za-z0-9]+)"),1,1))&amp;"/"&amp;REGEXEXTRACT($AM281,"/x/([A-Za-z0-9]+)")&amp;".png"),1),"⚠️ link tidak dikenali"))</f>
        <v/>
      </c>
      <c r="AO281" s="68"/>
      <c r="AP281" s="58" t="str">
        <f>IF($AO281="","",IFERROR(_xlfn.IMAGE(IF(REGEXMATCH($AO281,"\.(png|jpg|jpeg|gif)$"),$AO281,"https://s3.tradingview.com/snapshots/"&amp;LOWER(MID(REGEXEXTRACT($AO281,"/x/([A-Za-z0-9]+)"),1,1))&amp;"/"&amp;REGEXEXTRACT($AO281,"/x/([A-Za-z0-9]+)")&amp;".png"),1),"⚠️ link tidak dikenali"))</f>
        <v/>
      </c>
      <c r="AQ281" s="66">
        <f>IF($Z281="",0,IF(AND(OR('📊 Dashboard'!$B$4="(Semua)",$F281='📊 Dashboard'!$B$4),OR('📊 Dashboard'!$B$5="(Semua)",$H281='📊 Dashboard'!$B$5),OR('📊 Dashboard'!$B$6="(Semua)",$E281='📊 Dashboard'!$B$6),OR('📊 Dashboard'!$B$7="(Semua)",$AF281='📊 Dashboard'!$B$7),OR('📊 Dashboard'!$B$8="(Semua)",$AG281='📊 Dashboard'!$B$8),OR('📊 Dashboard'!$B$9="(Semua)",$K281='📊 Dashboard'!$B$9)),1,0))</f>
        <v>0</v>
      </c>
      <c r="AR281" s="69"/>
    </row>
    <row r="282" ht="58" customHeight="1" spans="1:44">
      <c r="A282" s="58" t="str">
        <f t="shared" si="28"/>
        <v/>
      </c>
      <c r="B282" s="59"/>
      <c r="C282" s="60"/>
      <c r="D282" s="60"/>
      <c r="E282" s="58" t="str">
        <f t="shared" si="29"/>
        <v/>
      </c>
      <c r="F282" s="61"/>
      <c r="G282" s="61"/>
      <c r="H282" s="61"/>
      <c r="I282" s="61"/>
      <c r="J282" s="61"/>
      <c r="K282" s="61"/>
      <c r="L282" s="61"/>
      <c r="M282" s="61"/>
      <c r="N282" s="62"/>
      <c r="O282" s="62"/>
      <c r="P282" s="62"/>
      <c r="Q282" s="62"/>
      <c r="R282" s="63" t="str">
        <f>IFERROR(IF(OR($N282="",$O282="",$F282=""),"",ROUND(('⚙️ Setelan'!$B$3*'⚙️ Setelan'!$B$4/100)/(ABS($N282-$O282)*VLOOKUP($F282,'⚙️ Setelan'!$A$14:$F$20,4,FALSE)),2)),"")</f>
        <v/>
      </c>
      <c r="S282" s="64"/>
      <c r="T282" s="65" t="str">
        <f>IFERROR(IF(OR($N282="",$O282="",$S282=""),"",ABS($N282-$O282)*$S282*VLOOKUP($F282,'⚙️ Setelan'!$A$14:$F$20,4,FALSE)),"")</f>
        <v/>
      </c>
      <c r="U282" s="63" t="str">
        <f t="shared" si="30"/>
        <v/>
      </c>
      <c r="V282" s="65" t="str">
        <f>IFERROR(IF(OR($Q282="",$N282="",$S282=""),"",($Q282-$N282)*IF($G282="Buy",1,-1)*$S282*VLOOKUP($F282,'⚙️ Setelan'!$A$14:$F$20,4,FALSE)),"")</f>
        <v/>
      </c>
      <c r="W282" s="65" t="str">
        <f>IFERROR(IF(OR($S282="",$F282=""),"",$S282*VLOOKUP($F282,'⚙️ Setelan'!$A$14:$F$20,5,FALSE)),"")</f>
        <v/>
      </c>
      <c r="X282" s="65" t="str">
        <f t="shared" si="31"/>
        <v/>
      </c>
      <c r="Y282" s="63" t="str">
        <f t="shared" si="32"/>
        <v/>
      </c>
      <c r="Z282" s="58" t="str">
        <f t="shared" si="33"/>
        <v/>
      </c>
      <c r="AA282" s="66" t="str">
        <f t="shared" si="34"/>
        <v/>
      </c>
      <c r="AB282" s="62"/>
      <c r="AC282" s="62"/>
      <c r="AD282" s="63" t="str">
        <f>IFERROR(IF(OR($AB282="",$T282="",$T282=0),"",ROUND(ABS($N282-$AB282)*$S282*VLOOKUP($F282,'⚙️ Setelan'!$A$14:$F$20,4,FALSE)/$T282,2)),"")</f>
        <v/>
      </c>
      <c r="AE282" s="63" t="str">
        <f>IFERROR(IF(OR($AC282="",$T282="",$T282=0),"",ROUND(ABS($AC282-$N282)*$S282*VLOOKUP($F282,'⚙️ Setelan'!$A$14:$F$20,4,FALSE)/$T282,2)),"")</f>
        <v/>
      </c>
      <c r="AF282" s="61"/>
      <c r="AG282" s="61"/>
      <c r="AH282" s="61"/>
      <c r="AI282" s="61"/>
      <c r="AJ282" s="61"/>
      <c r="AK282" s="67"/>
      <c r="AL282" s="58" t="str">
        <f>IF(OR($C282="",$B282=""),"",IF(AND($Z281="Loss",$B282=$B281,MOD($C282-$D281,1)*1440&lt;'⚙️ Setelan'!$B$9),"⚠️ Revenge",""))</f>
        <v/>
      </c>
      <c r="AM282" s="68"/>
      <c r="AN282" s="58" t="str">
        <f>IF($AM282="","",IFERROR(_xlfn.IMAGE(IF(REGEXMATCH($AM282,"\.(png|jpg|jpeg|gif)$"),$AM282,"https://s3.tradingview.com/snapshots/"&amp;LOWER(MID(REGEXEXTRACT($AM282,"/x/([A-Za-z0-9]+)"),1,1))&amp;"/"&amp;REGEXEXTRACT($AM282,"/x/([A-Za-z0-9]+)")&amp;".png"),1),"⚠️ link tidak dikenali"))</f>
        <v/>
      </c>
      <c r="AO282" s="68"/>
      <c r="AP282" s="58" t="str">
        <f>IF($AO282="","",IFERROR(_xlfn.IMAGE(IF(REGEXMATCH($AO282,"\.(png|jpg|jpeg|gif)$"),$AO282,"https://s3.tradingview.com/snapshots/"&amp;LOWER(MID(REGEXEXTRACT($AO282,"/x/([A-Za-z0-9]+)"),1,1))&amp;"/"&amp;REGEXEXTRACT($AO282,"/x/([A-Za-z0-9]+)")&amp;".png"),1),"⚠️ link tidak dikenali"))</f>
        <v/>
      </c>
      <c r="AQ282" s="66">
        <f>IF($Z282="",0,IF(AND(OR('📊 Dashboard'!$B$4="(Semua)",$F282='📊 Dashboard'!$B$4),OR('📊 Dashboard'!$B$5="(Semua)",$H282='📊 Dashboard'!$B$5),OR('📊 Dashboard'!$B$6="(Semua)",$E282='📊 Dashboard'!$B$6),OR('📊 Dashboard'!$B$7="(Semua)",$AF282='📊 Dashboard'!$B$7),OR('📊 Dashboard'!$B$8="(Semua)",$AG282='📊 Dashboard'!$B$8),OR('📊 Dashboard'!$B$9="(Semua)",$K282='📊 Dashboard'!$B$9)),1,0))</f>
        <v>0</v>
      </c>
      <c r="AR282" s="69"/>
    </row>
    <row r="283" ht="58" customHeight="1" spans="1:44">
      <c r="A283" s="58" t="str">
        <f t="shared" si="28"/>
        <v/>
      </c>
      <c r="B283" s="59"/>
      <c r="C283" s="60"/>
      <c r="D283" s="60"/>
      <c r="E283" s="58" t="str">
        <f t="shared" si="29"/>
        <v/>
      </c>
      <c r="F283" s="61"/>
      <c r="G283" s="61"/>
      <c r="H283" s="61"/>
      <c r="I283" s="61"/>
      <c r="J283" s="61"/>
      <c r="K283" s="61"/>
      <c r="L283" s="61"/>
      <c r="M283" s="61"/>
      <c r="N283" s="62"/>
      <c r="O283" s="62"/>
      <c r="P283" s="62"/>
      <c r="Q283" s="62"/>
      <c r="R283" s="63" t="str">
        <f>IFERROR(IF(OR($N283="",$O283="",$F283=""),"",ROUND(('⚙️ Setelan'!$B$3*'⚙️ Setelan'!$B$4/100)/(ABS($N283-$O283)*VLOOKUP($F283,'⚙️ Setelan'!$A$14:$F$20,4,FALSE)),2)),"")</f>
        <v/>
      </c>
      <c r="S283" s="64"/>
      <c r="T283" s="65" t="str">
        <f>IFERROR(IF(OR($N283="",$O283="",$S283=""),"",ABS($N283-$O283)*$S283*VLOOKUP($F283,'⚙️ Setelan'!$A$14:$F$20,4,FALSE)),"")</f>
        <v/>
      </c>
      <c r="U283" s="63" t="str">
        <f t="shared" si="30"/>
        <v/>
      </c>
      <c r="V283" s="65" t="str">
        <f>IFERROR(IF(OR($Q283="",$N283="",$S283=""),"",($Q283-$N283)*IF($G283="Buy",1,-1)*$S283*VLOOKUP($F283,'⚙️ Setelan'!$A$14:$F$20,4,FALSE)),"")</f>
        <v/>
      </c>
      <c r="W283" s="65" t="str">
        <f>IFERROR(IF(OR($S283="",$F283=""),"",$S283*VLOOKUP($F283,'⚙️ Setelan'!$A$14:$F$20,5,FALSE)),"")</f>
        <v/>
      </c>
      <c r="X283" s="65" t="str">
        <f t="shared" si="31"/>
        <v/>
      </c>
      <c r="Y283" s="63" t="str">
        <f t="shared" si="32"/>
        <v/>
      </c>
      <c r="Z283" s="58" t="str">
        <f t="shared" si="33"/>
        <v/>
      </c>
      <c r="AA283" s="66" t="str">
        <f t="shared" si="34"/>
        <v/>
      </c>
      <c r="AB283" s="62"/>
      <c r="AC283" s="62"/>
      <c r="AD283" s="63" t="str">
        <f>IFERROR(IF(OR($AB283="",$T283="",$T283=0),"",ROUND(ABS($N283-$AB283)*$S283*VLOOKUP($F283,'⚙️ Setelan'!$A$14:$F$20,4,FALSE)/$T283,2)),"")</f>
        <v/>
      </c>
      <c r="AE283" s="63" t="str">
        <f>IFERROR(IF(OR($AC283="",$T283="",$T283=0),"",ROUND(ABS($AC283-$N283)*$S283*VLOOKUP($F283,'⚙️ Setelan'!$A$14:$F$20,4,FALSE)/$T283,2)),"")</f>
        <v/>
      </c>
      <c r="AF283" s="61"/>
      <c r="AG283" s="61"/>
      <c r="AH283" s="61"/>
      <c r="AI283" s="61"/>
      <c r="AJ283" s="61"/>
      <c r="AK283" s="67"/>
      <c r="AL283" s="58" t="str">
        <f>IF(OR($C283="",$B283=""),"",IF(AND($Z282="Loss",$B283=$B282,MOD($C283-$D282,1)*1440&lt;'⚙️ Setelan'!$B$9),"⚠️ Revenge",""))</f>
        <v/>
      </c>
      <c r="AM283" s="68"/>
      <c r="AN283" s="58" t="str">
        <f>IF($AM283="","",IFERROR(_xlfn.IMAGE(IF(REGEXMATCH($AM283,"\.(png|jpg|jpeg|gif)$"),$AM283,"https://s3.tradingview.com/snapshots/"&amp;LOWER(MID(REGEXEXTRACT($AM283,"/x/([A-Za-z0-9]+)"),1,1))&amp;"/"&amp;REGEXEXTRACT($AM283,"/x/([A-Za-z0-9]+)")&amp;".png"),1),"⚠️ link tidak dikenali"))</f>
        <v/>
      </c>
      <c r="AO283" s="68"/>
      <c r="AP283" s="58" t="str">
        <f>IF($AO283="","",IFERROR(_xlfn.IMAGE(IF(REGEXMATCH($AO283,"\.(png|jpg|jpeg|gif)$"),$AO283,"https://s3.tradingview.com/snapshots/"&amp;LOWER(MID(REGEXEXTRACT($AO283,"/x/([A-Za-z0-9]+)"),1,1))&amp;"/"&amp;REGEXEXTRACT($AO283,"/x/([A-Za-z0-9]+)")&amp;".png"),1),"⚠️ link tidak dikenali"))</f>
        <v/>
      </c>
      <c r="AQ283" s="66">
        <f>IF($Z283="",0,IF(AND(OR('📊 Dashboard'!$B$4="(Semua)",$F283='📊 Dashboard'!$B$4),OR('📊 Dashboard'!$B$5="(Semua)",$H283='📊 Dashboard'!$B$5),OR('📊 Dashboard'!$B$6="(Semua)",$E283='📊 Dashboard'!$B$6),OR('📊 Dashboard'!$B$7="(Semua)",$AF283='📊 Dashboard'!$B$7),OR('📊 Dashboard'!$B$8="(Semua)",$AG283='📊 Dashboard'!$B$8),OR('📊 Dashboard'!$B$9="(Semua)",$K283='📊 Dashboard'!$B$9)),1,0))</f>
        <v>0</v>
      </c>
      <c r="AR283" s="69"/>
    </row>
    <row r="284" ht="58" customHeight="1" spans="1:44">
      <c r="A284" s="58" t="str">
        <f t="shared" si="28"/>
        <v/>
      </c>
      <c r="B284" s="59"/>
      <c r="C284" s="60"/>
      <c r="D284" s="60"/>
      <c r="E284" s="58" t="str">
        <f t="shared" si="29"/>
        <v/>
      </c>
      <c r="F284" s="61"/>
      <c r="G284" s="61"/>
      <c r="H284" s="61"/>
      <c r="I284" s="61"/>
      <c r="J284" s="61"/>
      <c r="K284" s="61"/>
      <c r="L284" s="61"/>
      <c r="M284" s="61"/>
      <c r="N284" s="62"/>
      <c r="O284" s="62"/>
      <c r="P284" s="62"/>
      <c r="Q284" s="62"/>
      <c r="R284" s="63" t="str">
        <f>IFERROR(IF(OR($N284="",$O284="",$F284=""),"",ROUND(('⚙️ Setelan'!$B$3*'⚙️ Setelan'!$B$4/100)/(ABS($N284-$O284)*VLOOKUP($F284,'⚙️ Setelan'!$A$14:$F$20,4,FALSE)),2)),"")</f>
        <v/>
      </c>
      <c r="S284" s="64"/>
      <c r="T284" s="65" t="str">
        <f>IFERROR(IF(OR($N284="",$O284="",$S284=""),"",ABS($N284-$O284)*$S284*VLOOKUP($F284,'⚙️ Setelan'!$A$14:$F$20,4,FALSE)),"")</f>
        <v/>
      </c>
      <c r="U284" s="63" t="str">
        <f t="shared" si="30"/>
        <v/>
      </c>
      <c r="V284" s="65" t="str">
        <f>IFERROR(IF(OR($Q284="",$N284="",$S284=""),"",($Q284-$N284)*IF($G284="Buy",1,-1)*$S284*VLOOKUP($F284,'⚙️ Setelan'!$A$14:$F$20,4,FALSE)),"")</f>
        <v/>
      </c>
      <c r="W284" s="65" t="str">
        <f>IFERROR(IF(OR($S284="",$F284=""),"",$S284*VLOOKUP($F284,'⚙️ Setelan'!$A$14:$F$20,5,FALSE)),"")</f>
        <v/>
      </c>
      <c r="X284" s="65" t="str">
        <f t="shared" si="31"/>
        <v/>
      </c>
      <c r="Y284" s="63" t="str">
        <f t="shared" si="32"/>
        <v/>
      </c>
      <c r="Z284" s="58" t="str">
        <f t="shared" si="33"/>
        <v/>
      </c>
      <c r="AA284" s="66" t="str">
        <f t="shared" si="34"/>
        <v/>
      </c>
      <c r="AB284" s="62"/>
      <c r="AC284" s="62"/>
      <c r="AD284" s="63" t="str">
        <f>IFERROR(IF(OR($AB284="",$T284="",$T284=0),"",ROUND(ABS($N284-$AB284)*$S284*VLOOKUP($F284,'⚙️ Setelan'!$A$14:$F$20,4,FALSE)/$T284,2)),"")</f>
        <v/>
      </c>
      <c r="AE284" s="63" t="str">
        <f>IFERROR(IF(OR($AC284="",$T284="",$T284=0),"",ROUND(ABS($AC284-$N284)*$S284*VLOOKUP($F284,'⚙️ Setelan'!$A$14:$F$20,4,FALSE)/$T284,2)),"")</f>
        <v/>
      </c>
      <c r="AF284" s="61"/>
      <c r="AG284" s="61"/>
      <c r="AH284" s="61"/>
      <c r="AI284" s="61"/>
      <c r="AJ284" s="61"/>
      <c r="AK284" s="67"/>
      <c r="AL284" s="58" t="str">
        <f>IF(OR($C284="",$B284=""),"",IF(AND($Z283="Loss",$B284=$B283,MOD($C284-$D283,1)*1440&lt;'⚙️ Setelan'!$B$9),"⚠️ Revenge",""))</f>
        <v/>
      </c>
      <c r="AM284" s="68"/>
      <c r="AN284" s="58" t="str">
        <f>IF($AM284="","",IFERROR(_xlfn.IMAGE(IF(REGEXMATCH($AM284,"\.(png|jpg|jpeg|gif)$"),$AM284,"https://s3.tradingview.com/snapshots/"&amp;LOWER(MID(REGEXEXTRACT($AM284,"/x/([A-Za-z0-9]+)"),1,1))&amp;"/"&amp;REGEXEXTRACT($AM284,"/x/([A-Za-z0-9]+)")&amp;".png"),1),"⚠️ link tidak dikenali"))</f>
        <v/>
      </c>
      <c r="AO284" s="68"/>
      <c r="AP284" s="58" t="str">
        <f>IF($AO284="","",IFERROR(_xlfn.IMAGE(IF(REGEXMATCH($AO284,"\.(png|jpg|jpeg|gif)$"),$AO284,"https://s3.tradingview.com/snapshots/"&amp;LOWER(MID(REGEXEXTRACT($AO284,"/x/([A-Za-z0-9]+)"),1,1))&amp;"/"&amp;REGEXEXTRACT($AO284,"/x/([A-Za-z0-9]+)")&amp;".png"),1),"⚠️ link tidak dikenali"))</f>
        <v/>
      </c>
      <c r="AQ284" s="66">
        <f>IF($Z284="",0,IF(AND(OR('📊 Dashboard'!$B$4="(Semua)",$F284='📊 Dashboard'!$B$4),OR('📊 Dashboard'!$B$5="(Semua)",$H284='📊 Dashboard'!$B$5),OR('📊 Dashboard'!$B$6="(Semua)",$E284='📊 Dashboard'!$B$6),OR('📊 Dashboard'!$B$7="(Semua)",$AF284='📊 Dashboard'!$B$7),OR('📊 Dashboard'!$B$8="(Semua)",$AG284='📊 Dashboard'!$B$8),OR('📊 Dashboard'!$B$9="(Semua)",$K284='📊 Dashboard'!$B$9)),1,0))</f>
        <v>0</v>
      </c>
      <c r="AR284" s="69"/>
    </row>
    <row r="285" ht="58" customHeight="1" spans="1:44">
      <c r="A285" s="58" t="str">
        <f t="shared" si="28"/>
        <v/>
      </c>
      <c r="B285" s="59"/>
      <c r="C285" s="60"/>
      <c r="D285" s="60"/>
      <c r="E285" s="58" t="str">
        <f t="shared" si="29"/>
        <v/>
      </c>
      <c r="F285" s="61"/>
      <c r="G285" s="61"/>
      <c r="H285" s="61"/>
      <c r="I285" s="61"/>
      <c r="J285" s="61"/>
      <c r="K285" s="61"/>
      <c r="L285" s="61"/>
      <c r="M285" s="61"/>
      <c r="N285" s="62"/>
      <c r="O285" s="62"/>
      <c r="P285" s="62"/>
      <c r="Q285" s="62"/>
      <c r="R285" s="63" t="str">
        <f>IFERROR(IF(OR($N285="",$O285="",$F285=""),"",ROUND(('⚙️ Setelan'!$B$3*'⚙️ Setelan'!$B$4/100)/(ABS($N285-$O285)*VLOOKUP($F285,'⚙️ Setelan'!$A$14:$F$20,4,FALSE)),2)),"")</f>
        <v/>
      </c>
      <c r="S285" s="64"/>
      <c r="T285" s="65" t="str">
        <f>IFERROR(IF(OR($N285="",$O285="",$S285=""),"",ABS($N285-$O285)*$S285*VLOOKUP($F285,'⚙️ Setelan'!$A$14:$F$20,4,FALSE)),"")</f>
        <v/>
      </c>
      <c r="U285" s="63" t="str">
        <f t="shared" si="30"/>
        <v/>
      </c>
      <c r="V285" s="65" t="str">
        <f>IFERROR(IF(OR($Q285="",$N285="",$S285=""),"",($Q285-$N285)*IF($G285="Buy",1,-1)*$S285*VLOOKUP($F285,'⚙️ Setelan'!$A$14:$F$20,4,FALSE)),"")</f>
        <v/>
      </c>
      <c r="W285" s="65" t="str">
        <f>IFERROR(IF(OR($S285="",$F285=""),"",$S285*VLOOKUP($F285,'⚙️ Setelan'!$A$14:$F$20,5,FALSE)),"")</f>
        <v/>
      </c>
      <c r="X285" s="65" t="str">
        <f t="shared" si="31"/>
        <v/>
      </c>
      <c r="Y285" s="63" t="str">
        <f t="shared" si="32"/>
        <v/>
      </c>
      <c r="Z285" s="58" t="str">
        <f t="shared" si="33"/>
        <v/>
      </c>
      <c r="AA285" s="66" t="str">
        <f t="shared" si="34"/>
        <v/>
      </c>
      <c r="AB285" s="62"/>
      <c r="AC285" s="62"/>
      <c r="AD285" s="63" t="str">
        <f>IFERROR(IF(OR($AB285="",$T285="",$T285=0),"",ROUND(ABS($N285-$AB285)*$S285*VLOOKUP($F285,'⚙️ Setelan'!$A$14:$F$20,4,FALSE)/$T285,2)),"")</f>
        <v/>
      </c>
      <c r="AE285" s="63" t="str">
        <f>IFERROR(IF(OR($AC285="",$T285="",$T285=0),"",ROUND(ABS($AC285-$N285)*$S285*VLOOKUP($F285,'⚙️ Setelan'!$A$14:$F$20,4,FALSE)/$T285,2)),"")</f>
        <v/>
      </c>
      <c r="AF285" s="61"/>
      <c r="AG285" s="61"/>
      <c r="AH285" s="61"/>
      <c r="AI285" s="61"/>
      <c r="AJ285" s="61"/>
      <c r="AK285" s="67"/>
      <c r="AL285" s="58" t="str">
        <f>IF(OR($C285="",$B285=""),"",IF(AND($Z284="Loss",$B285=$B284,MOD($C285-$D284,1)*1440&lt;'⚙️ Setelan'!$B$9),"⚠️ Revenge",""))</f>
        <v/>
      </c>
      <c r="AM285" s="68"/>
      <c r="AN285" s="58" t="str">
        <f>IF($AM285="","",IFERROR(_xlfn.IMAGE(IF(REGEXMATCH($AM285,"\.(png|jpg|jpeg|gif)$"),$AM285,"https://s3.tradingview.com/snapshots/"&amp;LOWER(MID(REGEXEXTRACT($AM285,"/x/([A-Za-z0-9]+)"),1,1))&amp;"/"&amp;REGEXEXTRACT($AM285,"/x/([A-Za-z0-9]+)")&amp;".png"),1),"⚠️ link tidak dikenali"))</f>
        <v/>
      </c>
      <c r="AO285" s="68"/>
      <c r="AP285" s="58" t="str">
        <f>IF($AO285="","",IFERROR(_xlfn.IMAGE(IF(REGEXMATCH($AO285,"\.(png|jpg|jpeg|gif)$"),$AO285,"https://s3.tradingview.com/snapshots/"&amp;LOWER(MID(REGEXEXTRACT($AO285,"/x/([A-Za-z0-9]+)"),1,1))&amp;"/"&amp;REGEXEXTRACT($AO285,"/x/([A-Za-z0-9]+)")&amp;".png"),1),"⚠️ link tidak dikenali"))</f>
        <v/>
      </c>
      <c r="AQ285" s="66">
        <f>IF($Z285="",0,IF(AND(OR('📊 Dashboard'!$B$4="(Semua)",$F285='📊 Dashboard'!$B$4),OR('📊 Dashboard'!$B$5="(Semua)",$H285='📊 Dashboard'!$B$5),OR('📊 Dashboard'!$B$6="(Semua)",$E285='📊 Dashboard'!$B$6),OR('📊 Dashboard'!$B$7="(Semua)",$AF285='📊 Dashboard'!$B$7),OR('📊 Dashboard'!$B$8="(Semua)",$AG285='📊 Dashboard'!$B$8),OR('📊 Dashboard'!$B$9="(Semua)",$K285='📊 Dashboard'!$B$9)),1,0))</f>
        <v>0</v>
      </c>
      <c r="AR285" s="69"/>
    </row>
    <row r="286" ht="58" customHeight="1" spans="1:44">
      <c r="A286" s="58" t="str">
        <f t="shared" si="28"/>
        <v/>
      </c>
      <c r="B286" s="59"/>
      <c r="C286" s="60"/>
      <c r="D286" s="60"/>
      <c r="E286" s="58" t="str">
        <f t="shared" si="29"/>
        <v/>
      </c>
      <c r="F286" s="61"/>
      <c r="G286" s="61"/>
      <c r="H286" s="61"/>
      <c r="I286" s="61"/>
      <c r="J286" s="61"/>
      <c r="K286" s="61"/>
      <c r="L286" s="61"/>
      <c r="M286" s="61"/>
      <c r="N286" s="62"/>
      <c r="O286" s="62"/>
      <c r="P286" s="62"/>
      <c r="Q286" s="62"/>
      <c r="R286" s="63" t="str">
        <f>IFERROR(IF(OR($N286="",$O286="",$F286=""),"",ROUND(('⚙️ Setelan'!$B$3*'⚙️ Setelan'!$B$4/100)/(ABS($N286-$O286)*VLOOKUP($F286,'⚙️ Setelan'!$A$14:$F$20,4,FALSE)),2)),"")</f>
        <v/>
      </c>
      <c r="S286" s="64"/>
      <c r="T286" s="65" t="str">
        <f>IFERROR(IF(OR($N286="",$O286="",$S286=""),"",ABS($N286-$O286)*$S286*VLOOKUP($F286,'⚙️ Setelan'!$A$14:$F$20,4,FALSE)),"")</f>
        <v/>
      </c>
      <c r="U286" s="63" t="str">
        <f t="shared" si="30"/>
        <v/>
      </c>
      <c r="V286" s="65" t="str">
        <f>IFERROR(IF(OR($Q286="",$N286="",$S286=""),"",($Q286-$N286)*IF($G286="Buy",1,-1)*$S286*VLOOKUP($F286,'⚙️ Setelan'!$A$14:$F$20,4,FALSE)),"")</f>
        <v/>
      </c>
      <c r="W286" s="65" t="str">
        <f>IFERROR(IF(OR($S286="",$F286=""),"",$S286*VLOOKUP($F286,'⚙️ Setelan'!$A$14:$F$20,5,FALSE)),"")</f>
        <v/>
      </c>
      <c r="X286" s="65" t="str">
        <f t="shared" si="31"/>
        <v/>
      </c>
      <c r="Y286" s="63" t="str">
        <f t="shared" si="32"/>
        <v/>
      </c>
      <c r="Z286" s="58" t="str">
        <f t="shared" si="33"/>
        <v/>
      </c>
      <c r="AA286" s="66" t="str">
        <f t="shared" si="34"/>
        <v/>
      </c>
      <c r="AB286" s="62"/>
      <c r="AC286" s="62"/>
      <c r="AD286" s="63" t="str">
        <f>IFERROR(IF(OR($AB286="",$T286="",$T286=0),"",ROUND(ABS($N286-$AB286)*$S286*VLOOKUP($F286,'⚙️ Setelan'!$A$14:$F$20,4,FALSE)/$T286,2)),"")</f>
        <v/>
      </c>
      <c r="AE286" s="63" t="str">
        <f>IFERROR(IF(OR($AC286="",$T286="",$T286=0),"",ROUND(ABS($AC286-$N286)*$S286*VLOOKUP($F286,'⚙️ Setelan'!$A$14:$F$20,4,FALSE)/$T286,2)),"")</f>
        <v/>
      </c>
      <c r="AF286" s="61"/>
      <c r="AG286" s="61"/>
      <c r="AH286" s="61"/>
      <c r="AI286" s="61"/>
      <c r="AJ286" s="61"/>
      <c r="AK286" s="67"/>
      <c r="AL286" s="58" t="str">
        <f>IF(OR($C286="",$B286=""),"",IF(AND($Z285="Loss",$B286=$B285,MOD($C286-$D285,1)*1440&lt;'⚙️ Setelan'!$B$9),"⚠️ Revenge",""))</f>
        <v/>
      </c>
      <c r="AM286" s="68"/>
      <c r="AN286" s="58" t="str">
        <f>IF($AM286="","",IFERROR(_xlfn.IMAGE(IF(REGEXMATCH($AM286,"\.(png|jpg|jpeg|gif)$"),$AM286,"https://s3.tradingview.com/snapshots/"&amp;LOWER(MID(REGEXEXTRACT($AM286,"/x/([A-Za-z0-9]+)"),1,1))&amp;"/"&amp;REGEXEXTRACT($AM286,"/x/([A-Za-z0-9]+)")&amp;".png"),1),"⚠️ link tidak dikenali"))</f>
        <v/>
      </c>
      <c r="AO286" s="68"/>
      <c r="AP286" s="58" t="str">
        <f>IF($AO286="","",IFERROR(_xlfn.IMAGE(IF(REGEXMATCH($AO286,"\.(png|jpg|jpeg|gif)$"),$AO286,"https://s3.tradingview.com/snapshots/"&amp;LOWER(MID(REGEXEXTRACT($AO286,"/x/([A-Za-z0-9]+)"),1,1))&amp;"/"&amp;REGEXEXTRACT($AO286,"/x/([A-Za-z0-9]+)")&amp;".png"),1),"⚠️ link tidak dikenali"))</f>
        <v/>
      </c>
      <c r="AQ286" s="66">
        <f>IF($Z286="",0,IF(AND(OR('📊 Dashboard'!$B$4="(Semua)",$F286='📊 Dashboard'!$B$4),OR('📊 Dashboard'!$B$5="(Semua)",$H286='📊 Dashboard'!$B$5),OR('📊 Dashboard'!$B$6="(Semua)",$E286='📊 Dashboard'!$B$6),OR('📊 Dashboard'!$B$7="(Semua)",$AF286='📊 Dashboard'!$B$7),OR('📊 Dashboard'!$B$8="(Semua)",$AG286='📊 Dashboard'!$B$8),OR('📊 Dashboard'!$B$9="(Semua)",$K286='📊 Dashboard'!$B$9)),1,0))</f>
        <v>0</v>
      </c>
      <c r="AR286" s="69"/>
    </row>
    <row r="287" ht="58" customHeight="1" spans="1:44">
      <c r="A287" s="58" t="str">
        <f t="shared" si="28"/>
        <v/>
      </c>
      <c r="B287" s="59"/>
      <c r="C287" s="60"/>
      <c r="D287" s="60"/>
      <c r="E287" s="58" t="str">
        <f t="shared" si="29"/>
        <v/>
      </c>
      <c r="F287" s="61"/>
      <c r="G287" s="61"/>
      <c r="H287" s="61"/>
      <c r="I287" s="61"/>
      <c r="J287" s="61"/>
      <c r="K287" s="61"/>
      <c r="L287" s="61"/>
      <c r="M287" s="61"/>
      <c r="N287" s="62"/>
      <c r="O287" s="62"/>
      <c r="P287" s="62"/>
      <c r="Q287" s="62"/>
      <c r="R287" s="63" t="str">
        <f>IFERROR(IF(OR($N287="",$O287="",$F287=""),"",ROUND(('⚙️ Setelan'!$B$3*'⚙️ Setelan'!$B$4/100)/(ABS($N287-$O287)*VLOOKUP($F287,'⚙️ Setelan'!$A$14:$F$20,4,FALSE)),2)),"")</f>
        <v/>
      </c>
      <c r="S287" s="64"/>
      <c r="T287" s="65" t="str">
        <f>IFERROR(IF(OR($N287="",$O287="",$S287=""),"",ABS($N287-$O287)*$S287*VLOOKUP($F287,'⚙️ Setelan'!$A$14:$F$20,4,FALSE)),"")</f>
        <v/>
      </c>
      <c r="U287" s="63" t="str">
        <f t="shared" si="30"/>
        <v/>
      </c>
      <c r="V287" s="65" t="str">
        <f>IFERROR(IF(OR($Q287="",$N287="",$S287=""),"",($Q287-$N287)*IF($G287="Buy",1,-1)*$S287*VLOOKUP($F287,'⚙️ Setelan'!$A$14:$F$20,4,FALSE)),"")</f>
        <v/>
      </c>
      <c r="W287" s="65" t="str">
        <f>IFERROR(IF(OR($S287="",$F287=""),"",$S287*VLOOKUP($F287,'⚙️ Setelan'!$A$14:$F$20,5,FALSE)),"")</f>
        <v/>
      </c>
      <c r="X287" s="65" t="str">
        <f t="shared" si="31"/>
        <v/>
      </c>
      <c r="Y287" s="63" t="str">
        <f t="shared" si="32"/>
        <v/>
      </c>
      <c r="Z287" s="58" t="str">
        <f t="shared" si="33"/>
        <v/>
      </c>
      <c r="AA287" s="66" t="str">
        <f t="shared" si="34"/>
        <v/>
      </c>
      <c r="AB287" s="62"/>
      <c r="AC287" s="62"/>
      <c r="AD287" s="63" t="str">
        <f>IFERROR(IF(OR($AB287="",$T287="",$T287=0),"",ROUND(ABS($N287-$AB287)*$S287*VLOOKUP($F287,'⚙️ Setelan'!$A$14:$F$20,4,FALSE)/$T287,2)),"")</f>
        <v/>
      </c>
      <c r="AE287" s="63" t="str">
        <f>IFERROR(IF(OR($AC287="",$T287="",$T287=0),"",ROUND(ABS($AC287-$N287)*$S287*VLOOKUP($F287,'⚙️ Setelan'!$A$14:$F$20,4,FALSE)/$T287,2)),"")</f>
        <v/>
      </c>
      <c r="AF287" s="61"/>
      <c r="AG287" s="61"/>
      <c r="AH287" s="61"/>
      <c r="AI287" s="61"/>
      <c r="AJ287" s="61"/>
      <c r="AK287" s="67"/>
      <c r="AL287" s="58" t="str">
        <f>IF(OR($C287="",$B287=""),"",IF(AND($Z286="Loss",$B287=$B286,MOD($C287-$D286,1)*1440&lt;'⚙️ Setelan'!$B$9),"⚠️ Revenge",""))</f>
        <v/>
      </c>
      <c r="AM287" s="68"/>
      <c r="AN287" s="58" t="str">
        <f>IF($AM287="","",IFERROR(_xlfn.IMAGE(IF(REGEXMATCH($AM287,"\.(png|jpg|jpeg|gif)$"),$AM287,"https://s3.tradingview.com/snapshots/"&amp;LOWER(MID(REGEXEXTRACT($AM287,"/x/([A-Za-z0-9]+)"),1,1))&amp;"/"&amp;REGEXEXTRACT($AM287,"/x/([A-Za-z0-9]+)")&amp;".png"),1),"⚠️ link tidak dikenali"))</f>
        <v/>
      </c>
      <c r="AO287" s="68"/>
      <c r="AP287" s="58" t="str">
        <f>IF($AO287="","",IFERROR(_xlfn.IMAGE(IF(REGEXMATCH($AO287,"\.(png|jpg|jpeg|gif)$"),$AO287,"https://s3.tradingview.com/snapshots/"&amp;LOWER(MID(REGEXEXTRACT($AO287,"/x/([A-Za-z0-9]+)"),1,1))&amp;"/"&amp;REGEXEXTRACT($AO287,"/x/([A-Za-z0-9]+)")&amp;".png"),1),"⚠️ link tidak dikenali"))</f>
        <v/>
      </c>
      <c r="AQ287" s="66">
        <f>IF($Z287="",0,IF(AND(OR('📊 Dashboard'!$B$4="(Semua)",$F287='📊 Dashboard'!$B$4),OR('📊 Dashboard'!$B$5="(Semua)",$H287='📊 Dashboard'!$B$5),OR('📊 Dashboard'!$B$6="(Semua)",$E287='📊 Dashboard'!$B$6),OR('📊 Dashboard'!$B$7="(Semua)",$AF287='📊 Dashboard'!$B$7),OR('📊 Dashboard'!$B$8="(Semua)",$AG287='📊 Dashboard'!$B$8),OR('📊 Dashboard'!$B$9="(Semua)",$K287='📊 Dashboard'!$B$9)),1,0))</f>
        <v>0</v>
      </c>
      <c r="AR287" s="69"/>
    </row>
    <row r="288" ht="58" customHeight="1" spans="1:44">
      <c r="A288" s="58" t="str">
        <f t="shared" si="28"/>
        <v/>
      </c>
      <c r="B288" s="59"/>
      <c r="C288" s="60"/>
      <c r="D288" s="60"/>
      <c r="E288" s="58" t="str">
        <f t="shared" si="29"/>
        <v/>
      </c>
      <c r="F288" s="61"/>
      <c r="G288" s="61"/>
      <c r="H288" s="61"/>
      <c r="I288" s="61"/>
      <c r="J288" s="61"/>
      <c r="K288" s="61"/>
      <c r="L288" s="61"/>
      <c r="M288" s="61"/>
      <c r="N288" s="62"/>
      <c r="O288" s="62"/>
      <c r="P288" s="62"/>
      <c r="Q288" s="62"/>
      <c r="R288" s="63" t="str">
        <f>IFERROR(IF(OR($N288="",$O288="",$F288=""),"",ROUND(('⚙️ Setelan'!$B$3*'⚙️ Setelan'!$B$4/100)/(ABS($N288-$O288)*VLOOKUP($F288,'⚙️ Setelan'!$A$14:$F$20,4,FALSE)),2)),"")</f>
        <v/>
      </c>
      <c r="S288" s="64"/>
      <c r="T288" s="65" t="str">
        <f>IFERROR(IF(OR($N288="",$O288="",$S288=""),"",ABS($N288-$O288)*$S288*VLOOKUP($F288,'⚙️ Setelan'!$A$14:$F$20,4,FALSE)),"")</f>
        <v/>
      </c>
      <c r="U288" s="63" t="str">
        <f t="shared" si="30"/>
        <v/>
      </c>
      <c r="V288" s="65" t="str">
        <f>IFERROR(IF(OR($Q288="",$N288="",$S288=""),"",($Q288-$N288)*IF($G288="Buy",1,-1)*$S288*VLOOKUP($F288,'⚙️ Setelan'!$A$14:$F$20,4,FALSE)),"")</f>
        <v/>
      </c>
      <c r="W288" s="65" t="str">
        <f>IFERROR(IF(OR($S288="",$F288=""),"",$S288*VLOOKUP($F288,'⚙️ Setelan'!$A$14:$F$20,5,FALSE)),"")</f>
        <v/>
      </c>
      <c r="X288" s="65" t="str">
        <f t="shared" si="31"/>
        <v/>
      </c>
      <c r="Y288" s="63" t="str">
        <f t="shared" si="32"/>
        <v/>
      </c>
      <c r="Z288" s="58" t="str">
        <f t="shared" si="33"/>
        <v/>
      </c>
      <c r="AA288" s="66" t="str">
        <f t="shared" si="34"/>
        <v/>
      </c>
      <c r="AB288" s="62"/>
      <c r="AC288" s="62"/>
      <c r="AD288" s="63" t="str">
        <f>IFERROR(IF(OR($AB288="",$T288="",$T288=0),"",ROUND(ABS($N288-$AB288)*$S288*VLOOKUP($F288,'⚙️ Setelan'!$A$14:$F$20,4,FALSE)/$T288,2)),"")</f>
        <v/>
      </c>
      <c r="AE288" s="63" t="str">
        <f>IFERROR(IF(OR($AC288="",$T288="",$T288=0),"",ROUND(ABS($AC288-$N288)*$S288*VLOOKUP($F288,'⚙️ Setelan'!$A$14:$F$20,4,FALSE)/$T288,2)),"")</f>
        <v/>
      </c>
      <c r="AF288" s="61"/>
      <c r="AG288" s="61"/>
      <c r="AH288" s="61"/>
      <c r="AI288" s="61"/>
      <c r="AJ288" s="61"/>
      <c r="AK288" s="67"/>
      <c r="AL288" s="58" t="str">
        <f>IF(OR($C288="",$B288=""),"",IF(AND($Z287="Loss",$B288=$B287,MOD($C288-$D287,1)*1440&lt;'⚙️ Setelan'!$B$9),"⚠️ Revenge",""))</f>
        <v/>
      </c>
      <c r="AM288" s="68"/>
      <c r="AN288" s="58" t="str">
        <f>IF($AM288="","",IFERROR(_xlfn.IMAGE(IF(REGEXMATCH($AM288,"\.(png|jpg|jpeg|gif)$"),$AM288,"https://s3.tradingview.com/snapshots/"&amp;LOWER(MID(REGEXEXTRACT($AM288,"/x/([A-Za-z0-9]+)"),1,1))&amp;"/"&amp;REGEXEXTRACT($AM288,"/x/([A-Za-z0-9]+)")&amp;".png"),1),"⚠️ link tidak dikenali"))</f>
        <v/>
      </c>
      <c r="AO288" s="68"/>
      <c r="AP288" s="58" t="str">
        <f>IF($AO288="","",IFERROR(_xlfn.IMAGE(IF(REGEXMATCH($AO288,"\.(png|jpg|jpeg|gif)$"),$AO288,"https://s3.tradingview.com/snapshots/"&amp;LOWER(MID(REGEXEXTRACT($AO288,"/x/([A-Za-z0-9]+)"),1,1))&amp;"/"&amp;REGEXEXTRACT($AO288,"/x/([A-Za-z0-9]+)")&amp;".png"),1),"⚠️ link tidak dikenali"))</f>
        <v/>
      </c>
      <c r="AQ288" s="66">
        <f>IF($Z288="",0,IF(AND(OR('📊 Dashboard'!$B$4="(Semua)",$F288='📊 Dashboard'!$B$4),OR('📊 Dashboard'!$B$5="(Semua)",$H288='📊 Dashboard'!$B$5),OR('📊 Dashboard'!$B$6="(Semua)",$E288='📊 Dashboard'!$B$6),OR('📊 Dashboard'!$B$7="(Semua)",$AF288='📊 Dashboard'!$B$7),OR('📊 Dashboard'!$B$8="(Semua)",$AG288='📊 Dashboard'!$B$8),OR('📊 Dashboard'!$B$9="(Semua)",$K288='📊 Dashboard'!$B$9)),1,0))</f>
        <v>0</v>
      </c>
      <c r="AR288" s="69"/>
    </row>
    <row r="289" ht="58" customHeight="1" spans="1:44">
      <c r="A289" s="58" t="str">
        <f t="shared" si="28"/>
        <v/>
      </c>
      <c r="B289" s="59"/>
      <c r="C289" s="60"/>
      <c r="D289" s="60"/>
      <c r="E289" s="58" t="str">
        <f t="shared" si="29"/>
        <v/>
      </c>
      <c r="F289" s="61"/>
      <c r="G289" s="61"/>
      <c r="H289" s="61"/>
      <c r="I289" s="61"/>
      <c r="J289" s="61"/>
      <c r="K289" s="61"/>
      <c r="L289" s="61"/>
      <c r="M289" s="61"/>
      <c r="N289" s="62"/>
      <c r="O289" s="62"/>
      <c r="P289" s="62"/>
      <c r="Q289" s="62"/>
      <c r="R289" s="63" t="str">
        <f>IFERROR(IF(OR($N289="",$O289="",$F289=""),"",ROUND(('⚙️ Setelan'!$B$3*'⚙️ Setelan'!$B$4/100)/(ABS($N289-$O289)*VLOOKUP($F289,'⚙️ Setelan'!$A$14:$F$20,4,FALSE)),2)),"")</f>
        <v/>
      </c>
      <c r="S289" s="64"/>
      <c r="T289" s="65" t="str">
        <f>IFERROR(IF(OR($N289="",$O289="",$S289=""),"",ABS($N289-$O289)*$S289*VLOOKUP($F289,'⚙️ Setelan'!$A$14:$F$20,4,FALSE)),"")</f>
        <v/>
      </c>
      <c r="U289" s="63" t="str">
        <f t="shared" si="30"/>
        <v/>
      </c>
      <c r="V289" s="65" t="str">
        <f>IFERROR(IF(OR($Q289="",$N289="",$S289=""),"",($Q289-$N289)*IF($G289="Buy",1,-1)*$S289*VLOOKUP($F289,'⚙️ Setelan'!$A$14:$F$20,4,FALSE)),"")</f>
        <v/>
      </c>
      <c r="W289" s="65" t="str">
        <f>IFERROR(IF(OR($S289="",$F289=""),"",$S289*VLOOKUP($F289,'⚙️ Setelan'!$A$14:$F$20,5,FALSE)),"")</f>
        <v/>
      </c>
      <c r="X289" s="65" t="str">
        <f t="shared" si="31"/>
        <v/>
      </c>
      <c r="Y289" s="63" t="str">
        <f t="shared" si="32"/>
        <v/>
      </c>
      <c r="Z289" s="58" t="str">
        <f t="shared" si="33"/>
        <v/>
      </c>
      <c r="AA289" s="66" t="str">
        <f t="shared" si="34"/>
        <v/>
      </c>
      <c r="AB289" s="62"/>
      <c r="AC289" s="62"/>
      <c r="AD289" s="63" t="str">
        <f>IFERROR(IF(OR($AB289="",$T289="",$T289=0),"",ROUND(ABS($N289-$AB289)*$S289*VLOOKUP($F289,'⚙️ Setelan'!$A$14:$F$20,4,FALSE)/$T289,2)),"")</f>
        <v/>
      </c>
      <c r="AE289" s="63" t="str">
        <f>IFERROR(IF(OR($AC289="",$T289="",$T289=0),"",ROUND(ABS($AC289-$N289)*$S289*VLOOKUP($F289,'⚙️ Setelan'!$A$14:$F$20,4,FALSE)/$T289,2)),"")</f>
        <v/>
      </c>
      <c r="AF289" s="61"/>
      <c r="AG289" s="61"/>
      <c r="AH289" s="61"/>
      <c r="AI289" s="61"/>
      <c r="AJ289" s="61"/>
      <c r="AK289" s="67"/>
      <c r="AL289" s="58" t="str">
        <f>IF(OR($C289="",$B289=""),"",IF(AND($Z288="Loss",$B289=$B288,MOD($C289-$D288,1)*1440&lt;'⚙️ Setelan'!$B$9),"⚠️ Revenge",""))</f>
        <v/>
      </c>
      <c r="AM289" s="68"/>
      <c r="AN289" s="58" t="str">
        <f>IF($AM289="","",IFERROR(_xlfn.IMAGE(IF(REGEXMATCH($AM289,"\.(png|jpg|jpeg|gif)$"),$AM289,"https://s3.tradingview.com/snapshots/"&amp;LOWER(MID(REGEXEXTRACT($AM289,"/x/([A-Za-z0-9]+)"),1,1))&amp;"/"&amp;REGEXEXTRACT($AM289,"/x/([A-Za-z0-9]+)")&amp;".png"),1),"⚠️ link tidak dikenali"))</f>
        <v/>
      </c>
      <c r="AO289" s="68"/>
      <c r="AP289" s="58" t="str">
        <f>IF($AO289="","",IFERROR(_xlfn.IMAGE(IF(REGEXMATCH($AO289,"\.(png|jpg|jpeg|gif)$"),$AO289,"https://s3.tradingview.com/snapshots/"&amp;LOWER(MID(REGEXEXTRACT($AO289,"/x/([A-Za-z0-9]+)"),1,1))&amp;"/"&amp;REGEXEXTRACT($AO289,"/x/([A-Za-z0-9]+)")&amp;".png"),1),"⚠️ link tidak dikenali"))</f>
        <v/>
      </c>
      <c r="AQ289" s="66">
        <f>IF($Z289="",0,IF(AND(OR('📊 Dashboard'!$B$4="(Semua)",$F289='📊 Dashboard'!$B$4),OR('📊 Dashboard'!$B$5="(Semua)",$H289='📊 Dashboard'!$B$5),OR('📊 Dashboard'!$B$6="(Semua)",$E289='📊 Dashboard'!$B$6),OR('📊 Dashboard'!$B$7="(Semua)",$AF289='📊 Dashboard'!$B$7),OR('📊 Dashboard'!$B$8="(Semua)",$AG289='📊 Dashboard'!$B$8),OR('📊 Dashboard'!$B$9="(Semua)",$K289='📊 Dashboard'!$B$9)),1,0))</f>
        <v>0</v>
      </c>
      <c r="AR289" s="69"/>
    </row>
    <row r="290" ht="58" customHeight="1" spans="1:44">
      <c r="A290" s="58" t="str">
        <f t="shared" si="28"/>
        <v/>
      </c>
      <c r="B290" s="59"/>
      <c r="C290" s="60"/>
      <c r="D290" s="60"/>
      <c r="E290" s="58" t="str">
        <f t="shared" si="29"/>
        <v/>
      </c>
      <c r="F290" s="61"/>
      <c r="G290" s="61"/>
      <c r="H290" s="61"/>
      <c r="I290" s="61"/>
      <c r="J290" s="61"/>
      <c r="K290" s="61"/>
      <c r="L290" s="61"/>
      <c r="M290" s="61"/>
      <c r="N290" s="62"/>
      <c r="O290" s="62"/>
      <c r="P290" s="62"/>
      <c r="Q290" s="62"/>
      <c r="R290" s="63" t="str">
        <f>IFERROR(IF(OR($N290="",$O290="",$F290=""),"",ROUND(('⚙️ Setelan'!$B$3*'⚙️ Setelan'!$B$4/100)/(ABS($N290-$O290)*VLOOKUP($F290,'⚙️ Setelan'!$A$14:$F$20,4,FALSE)),2)),"")</f>
        <v/>
      </c>
      <c r="S290" s="64"/>
      <c r="T290" s="65" t="str">
        <f>IFERROR(IF(OR($N290="",$O290="",$S290=""),"",ABS($N290-$O290)*$S290*VLOOKUP($F290,'⚙️ Setelan'!$A$14:$F$20,4,FALSE)),"")</f>
        <v/>
      </c>
      <c r="U290" s="63" t="str">
        <f t="shared" si="30"/>
        <v/>
      </c>
      <c r="V290" s="65" t="str">
        <f>IFERROR(IF(OR($Q290="",$N290="",$S290=""),"",($Q290-$N290)*IF($G290="Buy",1,-1)*$S290*VLOOKUP($F290,'⚙️ Setelan'!$A$14:$F$20,4,FALSE)),"")</f>
        <v/>
      </c>
      <c r="W290" s="65" t="str">
        <f>IFERROR(IF(OR($S290="",$F290=""),"",$S290*VLOOKUP($F290,'⚙️ Setelan'!$A$14:$F$20,5,FALSE)),"")</f>
        <v/>
      </c>
      <c r="X290" s="65" t="str">
        <f t="shared" si="31"/>
        <v/>
      </c>
      <c r="Y290" s="63" t="str">
        <f t="shared" si="32"/>
        <v/>
      </c>
      <c r="Z290" s="58" t="str">
        <f t="shared" si="33"/>
        <v/>
      </c>
      <c r="AA290" s="66" t="str">
        <f t="shared" si="34"/>
        <v/>
      </c>
      <c r="AB290" s="62"/>
      <c r="AC290" s="62"/>
      <c r="AD290" s="63" t="str">
        <f>IFERROR(IF(OR($AB290="",$T290="",$T290=0),"",ROUND(ABS($N290-$AB290)*$S290*VLOOKUP($F290,'⚙️ Setelan'!$A$14:$F$20,4,FALSE)/$T290,2)),"")</f>
        <v/>
      </c>
      <c r="AE290" s="63" t="str">
        <f>IFERROR(IF(OR($AC290="",$T290="",$T290=0),"",ROUND(ABS($AC290-$N290)*$S290*VLOOKUP($F290,'⚙️ Setelan'!$A$14:$F$20,4,FALSE)/$T290,2)),"")</f>
        <v/>
      </c>
      <c r="AF290" s="61"/>
      <c r="AG290" s="61"/>
      <c r="AH290" s="61"/>
      <c r="AI290" s="61"/>
      <c r="AJ290" s="61"/>
      <c r="AK290" s="67"/>
      <c r="AL290" s="58" t="str">
        <f>IF(OR($C290="",$B290=""),"",IF(AND($Z289="Loss",$B290=$B289,MOD($C290-$D289,1)*1440&lt;'⚙️ Setelan'!$B$9),"⚠️ Revenge",""))</f>
        <v/>
      </c>
      <c r="AM290" s="68"/>
      <c r="AN290" s="58" t="str">
        <f>IF($AM290="","",IFERROR(_xlfn.IMAGE(IF(REGEXMATCH($AM290,"\.(png|jpg|jpeg|gif)$"),$AM290,"https://s3.tradingview.com/snapshots/"&amp;LOWER(MID(REGEXEXTRACT($AM290,"/x/([A-Za-z0-9]+)"),1,1))&amp;"/"&amp;REGEXEXTRACT($AM290,"/x/([A-Za-z0-9]+)")&amp;".png"),1),"⚠️ link tidak dikenali"))</f>
        <v/>
      </c>
      <c r="AO290" s="68"/>
      <c r="AP290" s="58" t="str">
        <f>IF($AO290="","",IFERROR(_xlfn.IMAGE(IF(REGEXMATCH($AO290,"\.(png|jpg|jpeg|gif)$"),$AO290,"https://s3.tradingview.com/snapshots/"&amp;LOWER(MID(REGEXEXTRACT($AO290,"/x/([A-Za-z0-9]+)"),1,1))&amp;"/"&amp;REGEXEXTRACT($AO290,"/x/([A-Za-z0-9]+)")&amp;".png"),1),"⚠️ link tidak dikenali"))</f>
        <v/>
      </c>
      <c r="AQ290" s="66">
        <f>IF($Z290="",0,IF(AND(OR('📊 Dashboard'!$B$4="(Semua)",$F290='📊 Dashboard'!$B$4),OR('📊 Dashboard'!$B$5="(Semua)",$H290='📊 Dashboard'!$B$5),OR('📊 Dashboard'!$B$6="(Semua)",$E290='📊 Dashboard'!$B$6),OR('📊 Dashboard'!$B$7="(Semua)",$AF290='📊 Dashboard'!$B$7),OR('📊 Dashboard'!$B$8="(Semua)",$AG290='📊 Dashboard'!$B$8),OR('📊 Dashboard'!$B$9="(Semua)",$K290='📊 Dashboard'!$B$9)),1,0))</f>
        <v>0</v>
      </c>
      <c r="AR290" s="69"/>
    </row>
    <row r="291" ht="58" customHeight="1" spans="1:44">
      <c r="A291" s="58" t="str">
        <f t="shared" si="28"/>
        <v/>
      </c>
      <c r="B291" s="59"/>
      <c r="C291" s="60"/>
      <c r="D291" s="60"/>
      <c r="E291" s="58" t="str">
        <f t="shared" si="29"/>
        <v/>
      </c>
      <c r="F291" s="61"/>
      <c r="G291" s="61"/>
      <c r="H291" s="61"/>
      <c r="I291" s="61"/>
      <c r="J291" s="61"/>
      <c r="K291" s="61"/>
      <c r="L291" s="61"/>
      <c r="M291" s="61"/>
      <c r="N291" s="62"/>
      <c r="O291" s="62"/>
      <c r="P291" s="62"/>
      <c r="Q291" s="62"/>
      <c r="R291" s="63" t="str">
        <f>IFERROR(IF(OR($N291="",$O291="",$F291=""),"",ROUND(('⚙️ Setelan'!$B$3*'⚙️ Setelan'!$B$4/100)/(ABS($N291-$O291)*VLOOKUP($F291,'⚙️ Setelan'!$A$14:$F$20,4,FALSE)),2)),"")</f>
        <v/>
      </c>
      <c r="S291" s="64"/>
      <c r="T291" s="65" t="str">
        <f>IFERROR(IF(OR($N291="",$O291="",$S291=""),"",ABS($N291-$O291)*$S291*VLOOKUP($F291,'⚙️ Setelan'!$A$14:$F$20,4,FALSE)),"")</f>
        <v/>
      </c>
      <c r="U291" s="63" t="str">
        <f t="shared" si="30"/>
        <v/>
      </c>
      <c r="V291" s="65" t="str">
        <f>IFERROR(IF(OR($Q291="",$N291="",$S291=""),"",($Q291-$N291)*IF($G291="Buy",1,-1)*$S291*VLOOKUP($F291,'⚙️ Setelan'!$A$14:$F$20,4,FALSE)),"")</f>
        <v/>
      </c>
      <c r="W291" s="65" t="str">
        <f>IFERROR(IF(OR($S291="",$F291=""),"",$S291*VLOOKUP($F291,'⚙️ Setelan'!$A$14:$F$20,5,FALSE)),"")</f>
        <v/>
      </c>
      <c r="X291" s="65" t="str">
        <f t="shared" si="31"/>
        <v/>
      </c>
      <c r="Y291" s="63" t="str">
        <f t="shared" si="32"/>
        <v/>
      </c>
      <c r="Z291" s="58" t="str">
        <f t="shared" si="33"/>
        <v/>
      </c>
      <c r="AA291" s="66" t="str">
        <f t="shared" si="34"/>
        <v/>
      </c>
      <c r="AB291" s="62"/>
      <c r="AC291" s="62"/>
      <c r="AD291" s="63" t="str">
        <f>IFERROR(IF(OR($AB291="",$T291="",$T291=0),"",ROUND(ABS($N291-$AB291)*$S291*VLOOKUP($F291,'⚙️ Setelan'!$A$14:$F$20,4,FALSE)/$T291,2)),"")</f>
        <v/>
      </c>
      <c r="AE291" s="63" t="str">
        <f>IFERROR(IF(OR($AC291="",$T291="",$T291=0),"",ROUND(ABS($AC291-$N291)*$S291*VLOOKUP($F291,'⚙️ Setelan'!$A$14:$F$20,4,FALSE)/$T291,2)),"")</f>
        <v/>
      </c>
      <c r="AF291" s="61"/>
      <c r="AG291" s="61"/>
      <c r="AH291" s="61"/>
      <c r="AI291" s="61"/>
      <c r="AJ291" s="61"/>
      <c r="AK291" s="67"/>
      <c r="AL291" s="58" t="str">
        <f>IF(OR($C291="",$B291=""),"",IF(AND($Z290="Loss",$B291=$B290,MOD($C291-$D290,1)*1440&lt;'⚙️ Setelan'!$B$9),"⚠️ Revenge",""))</f>
        <v/>
      </c>
      <c r="AM291" s="68"/>
      <c r="AN291" s="58" t="str">
        <f>IF($AM291="","",IFERROR(_xlfn.IMAGE(IF(REGEXMATCH($AM291,"\.(png|jpg|jpeg|gif)$"),$AM291,"https://s3.tradingview.com/snapshots/"&amp;LOWER(MID(REGEXEXTRACT($AM291,"/x/([A-Za-z0-9]+)"),1,1))&amp;"/"&amp;REGEXEXTRACT($AM291,"/x/([A-Za-z0-9]+)")&amp;".png"),1),"⚠️ link tidak dikenali"))</f>
        <v/>
      </c>
      <c r="AO291" s="68"/>
      <c r="AP291" s="58" t="str">
        <f>IF($AO291="","",IFERROR(_xlfn.IMAGE(IF(REGEXMATCH($AO291,"\.(png|jpg|jpeg|gif)$"),$AO291,"https://s3.tradingview.com/snapshots/"&amp;LOWER(MID(REGEXEXTRACT($AO291,"/x/([A-Za-z0-9]+)"),1,1))&amp;"/"&amp;REGEXEXTRACT($AO291,"/x/([A-Za-z0-9]+)")&amp;".png"),1),"⚠️ link tidak dikenali"))</f>
        <v/>
      </c>
      <c r="AQ291" s="66">
        <f>IF($Z291="",0,IF(AND(OR('📊 Dashboard'!$B$4="(Semua)",$F291='📊 Dashboard'!$B$4),OR('📊 Dashboard'!$B$5="(Semua)",$H291='📊 Dashboard'!$B$5),OR('📊 Dashboard'!$B$6="(Semua)",$E291='📊 Dashboard'!$B$6),OR('📊 Dashboard'!$B$7="(Semua)",$AF291='📊 Dashboard'!$B$7),OR('📊 Dashboard'!$B$8="(Semua)",$AG291='📊 Dashboard'!$B$8),OR('📊 Dashboard'!$B$9="(Semua)",$K291='📊 Dashboard'!$B$9)),1,0))</f>
        <v>0</v>
      </c>
      <c r="AR291" s="69"/>
    </row>
    <row r="292" ht="58" customHeight="1" spans="1:44">
      <c r="A292" s="58" t="str">
        <f t="shared" si="28"/>
        <v/>
      </c>
      <c r="B292" s="59"/>
      <c r="C292" s="60"/>
      <c r="D292" s="60"/>
      <c r="E292" s="58" t="str">
        <f t="shared" si="29"/>
        <v/>
      </c>
      <c r="F292" s="61"/>
      <c r="G292" s="61"/>
      <c r="H292" s="61"/>
      <c r="I292" s="61"/>
      <c r="J292" s="61"/>
      <c r="K292" s="61"/>
      <c r="L292" s="61"/>
      <c r="M292" s="61"/>
      <c r="N292" s="62"/>
      <c r="O292" s="62"/>
      <c r="P292" s="62"/>
      <c r="Q292" s="62"/>
      <c r="R292" s="63" t="str">
        <f>IFERROR(IF(OR($N292="",$O292="",$F292=""),"",ROUND(('⚙️ Setelan'!$B$3*'⚙️ Setelan'!$B$4/100)/(ABS($N292-$O292)*VLOOKUP($F292,'⚙️ Setelan'!$A$14:$F$20,4,FALSE)),2)),"")</f>
        <v/>
      </c>
      <c r="S292" s="64"/>
      <c r="T292" s="65" t="str">
        <f>IFERROR(IF(OR($N292="",$O292="",$S292=""),"",ABS($N292-$O292)*$S292*VLOOKUP($F292,'⚙️ Setelan'!$A$14:$F$20,4,FALSE)),"")</f>
        <v/>
      </c>
      <c r="U292" s="63" t="str">
        <f t="shared" si="30"/>
        <v/>
      </c>
      <c r="V292" s="65" t="str">
        <f>IFERROR(IF(OR($Q292="",$N292="",$S292=""),"",($Q292-$N292)*IF($G292="Buy",1,-1)*$S292*VLOOKUP($F292,'⚙️ Setelan'!$A$14:$F$20,4,FALSE)),"")</f>
        <v/>
      </c>
      <c r="W292" s="65" t="str">
        <f>IFERROR(IF(OR($S292="",$F292=""),"",$S292*VLOOKUP($F292,'⚙️ Setelan'!$A$14:$F$20,5,FALSE)),"")</f>
        <v/>
      </c>
      <c r="X292" s="65" t="str">
        <f t="shared" si="31"/>
        <v/>
      </c>
      <c r="Y292" s="63" t="str">
        <f t="shared" si="32"/>
        <v/>
      </c>
      <c r="Z292" s="58" t="str">
        <f t="shared" si="33"/>
        <v/>
      </c>
      <c r="AA292" s="66" t="str">
        <f t="shared" si="34"/>
        <v/>
      </c>
      <c r="AB292" s="62"/>
      <c r="AC292" s="62"/>
      <c r="AD292" s="63" t="str">
        <f>IFERROR(IF(OR($AB292="",$T292="",$T292=0),"",ROUND(ABS($N292-$AB292)*$S292*VLOOKUP($F292,'⚙️ Setelan'!$A$14:$F$20,4,FALSE)/$T292,2)),"")</f>
        <v/>
      </c>
      <c r="AE292" s="63" t="str">
        <f>IFERROR(IF(OR($AC292="",$T292="",$T292=0),"",ROUND(ABS($AC292-$N292)*$S292*VLOOKUP($F292,'⚙️ Setelan'!$A$14:$F$20,4,FALSE)/$T292,2)),"")</f>
        <v/>
      </c>
      <c r="AF292" s="61"/>
      <c r="AG292" s="61"/>
      <c r="AH292" s="61"/>
      <c r="AI292" s="61"/>
      <c r="AJ292" s="61"/>
      <c r="AK292" s="67"/>
      <c r="AL292" s="58" t="str">
        <f>IF(OR($C292="",$B292=""),"",IF(AND($Z291="Loss",$B292=$B291,MOD($C292-$D291,1)*1440&lt;'⚙️ Setelan'!$B$9),"⚠️ Revenge",""))</f>
        <v/>
      </c>
      <c r="AM292" s="68"/>
      <c r="AN292" s="58" t="str">
        <f>IF($AM292="","",IFERROR(_xlfn.IMAGE(IF(REGEXMATCH($AM292,"\.(png|jpg|jpeg|gif)$"),$AM292,"https://s3.tradingview.com/snapshots/"&amp;LOWER(MID(REGEXEXTRACT($AM292,"/x/([A-Za-z0-9]+)"),1,1))&amp;"/"&amp;REGEXEXTRACT($AM292,"/x/([A-Za-z0-9]+)")&amp;".png"),1),"⚠️ link tidak dikenali"))</f>
        <v/>
      </c>
      <c r="AO292" s="68"/>
      <c r="AP292" s="58" t="str">
        <f>IF($AO292="","",IFERROR(_xlfn.IMAGE(IF(REGEXMATCH($AO292,"\.(png|jpg|jpeg|gif)$"),$AO292,"https://s3.tradingview.com/snapshots/"&amp;LOWER(MID(REGEXEXTRACT($AO292,"/x/([A-Za-z0-9]+)"),1,1))&amp;"/"&amp;REGEXEXTRACT($AO292,"/x/([A-Za-z0-9]+)")&amp;".png"),1),"⚠️ link tidak dikenali"))</f>
        <v/>
      </c>
      <c r="AQ292" s="66">
        <f>IF($Z292="",0,IF(AND(OR('📊 Dashboard'!$B$4="(Semua)",$F292='📊 Dashboard'!$B$4),OR('📊 Dashboard'!$B$5="(Semua)",$H292='📊 Dashboard'!$B$5),OR('📊 Dashboard'!$B$6="(Semua)",$E292='📊 Dashboard'!$B$6),OR('📊 Dashboard'!$B$7="(Semua)",$AF292='📊 Dashboard'!$B$7),OR('📊 Dashboard'!$B$8="(Semua)",$AG292='📊 Dashboard'!$B$8),OR('📊 Dashboard'!$B$9="(Semua)",$K292='📊 Dashboard'!$B$9)),1,0))</f>
        <v>0</v>
      </c>
      <c r="AR292" s="69"/>
    </row>
    <row r="293" ht="58" customHeight="1" spans="1:44">
      <c r="A293" s="58" t="str">
        <f t="shared" si="28"/>
        <v/>
      </c>
      <c r="B293" s="59"/>
      <c r="C293" s="60"/>
      <c r="D293" s="60"/>
      <c r="E293" s="58" t="str">
        <f t="shared" si="29"/>
        <v/>
      </c>
      <c r="F293" s="61"/>
      <c r="G293" s="61"/>
      <c r="H293" s="61"/>
      <c r="I293" s="61"/>
      <c r="J293" s="61"/>
      <c r="K293" s="61"/>
      <c r="L293" s="61"/>
      <c r="M293" s="61"/>
      <c r="N293" s="62"/>
      <c r="O293" s="62"/>
      <c r="P293" s="62"/>
      <c r="Q293" s="62"/>
      <c r="R293" s="63" t="str">
        <f>IFERROR(IF(OR($N293="",$O293="",$F293=""),"",ROUND(('⚙️ Setelan'!$B$3*'⚙️ Setelan'!$B$4/100)/(ABS($N293-$O293)*VLOOKUP($F293,'⚙️ Setelan'!$A$14:$F$20,4,FALSE)),2)),"")</f>
        <v/>
      </c>
      <c r="S293" s="64"/>
      <c r="T293" s="65" t="str">
        <f>IFERROR(IF(OR($N293="",$O293="",$S293=""),"",ABS($N293-$O293)*$S293*VLOOKUP($F293,'⚙️ Setelan'!$A$14:$F$20,4,FALSE)),"")</f>
        <v/>
      </c>
      <c r="U293" s="63" t="str">
        <f t="shared" si="30"/>
        <v/>
      </c>
      <c r="V293" s="65" t="str">
        <f>IFERROR(IF(OR($Q293="",$N293="",$S293=""),"",($Q293-$N293)*IF($G293="Buy",1,-1)*$S293*VLOOKUP($F293,'⚙️ Setelan'!$A$14:$F$20,4,FALSE)),"")</f>
        <v/>
      </c>
      <c r="W293" s="65" t="str">
        <f>IFERROR(IF(OR($S293="",$F293=""),"",$S293*VLOOKUP($F293,'⚙️ Setelan'!$A$14:$F$20,5,FALSE)),"")</f>
        <v/>
      </c>
      <c r="X293" s="65" t="str">
        <f t="shared" si="31"/>
        <v/>
      </c>
      <c r="Y293" s="63" t="str">
        <f t="shared" si="32"/>
        <v/>
      </c>
      <c r="Z293" s="58" t="str">
        <f t="shared" si="33"/>
        <v/>
      </c>
      <c r="AA293" s="66" t="str">
        <f t="shared" si="34"/>
        <v/>
      </c>
      <c r="AB293" s="62"/>
      <c r="AC293" s="62"/>
      <c r="AD293" s="63" t="str">
        <f>IFERROR(IF(OR($AB293="",$T293="",$T293=0),"",ROUND(ABS($N293-$AB293)*$S293*VLOOKUP($F293,'⚙️ Setelan'!$A$14:$F$20,4,FALSE)/$T293,2)),"")</f>
        <v/>
      </c>
      <c r="AE293" s="63" t="str">
        <f>IFERROR(IF(OR($AC293="",$T293="",$T293=0),"",ROUND(ABS($AC293-$N293)*$S293*VLOOKUP($F293,'⚙️ Setelan'!$A$14:$F$20,4,FALSE)/$T293,2)),"")</f>
        <v/>
      </c>
      <c r="AF293" s="61"/>
      <c r="AG293" s="61"/>
      <c r="AH293" s="61"/>
      <c r="AI293" s="61"/>
      <c r="AJ293" s="61"/>
      <c r="AK293" s="67"/>
      <c r="AL293" s="58" t="str">
        <f>IF(OR($C293="",$B293=""),"",IF(AND($Z292="Loss",$B293=$B292,MOD($C293-$D292,1)*1440&lt;'⚙️ Setelan'!$B$9),"⚠️ Revenge",""))</f>
        <v/>
      </c>
      <c r="AM293" s="68"/>
      <c r="AN293" s="58" t="str">
        <f>IF($AM293="","",IFERROR(_xlfn.IMAGE(IF(REGEXMATCH($AM293,"\.(png|jpg|jpeg|gif)$"),$AM293,"https://s3.tradingview.com/snapshots/"&amp;LOWER(MID(REGEXEXTRACT($AM293,"/x/([A-Za-z0-9]+)"),1,1))&amp;"/"&amp;REGEXEXTRACT($AM293,"/x/([A-Za-z0-9]+)")&amp;".png"),1),"⚠️ link tidak dikenali"))</f>
        <v/>
      </c>
      <c r="AO293" s="68"/>
      <c r="AP293" s="58" t="str">
        <f>IF($AO293="","",IFERROR(_xlfn.IMAGE(IF(REGEXMATCH($AO293,"\.(png|jpg|jpeg|gif)$"),$AO293,"https://s3.tradingview.com/snapshots/"&amp;LOWER(MID(REGEXEXTRACT($AO293,"/x/([A-Za-z0-9]+)"),1,1))&amp;"/"&amp;REGEXEXTRACT($AO293,"/x/([A-Za-z0-9]+)")&amp;".png"),1),"⚠️ link tidak dikenali"))</f>
        <v/>
      </c>
      <c r="AQ293" s="66">
        <f>IF($Z293="",0,IF(AND(OR('📊 Dashboard'!$B$4="(Semua)",$F293='📊 Dashboard'!$B$4),OR('📊 Dashboard'!$B$5="(Semua)",$H293='📊 Dashboard'!$B$5),OR('📊 Dashboard'!$B$6="(Semua)",$E293='📊 Dashboard'!$B$6),OR('📊 Dashboard'!$B$7="(Semua)",$AF293='📊 Dashboard'!$B$7),OR('📊 Dashboard'!$B$8="(Semua)",$AG293='📊 Dashboard'!$B$8),OR('📊 Dashboard'!$B$9="(Semua)",$K293='📊 Dashboard'!$B$9)),1,0))</f>
        <v>0</v>
      </c>
      <c r="AR293" s="69"/>
    </row>
    <row r="294" ht="58" customHeight="1" spans="1:44">
      <c r="A294" s="58" t="str">
        <f t="shared" si="28"/>
        <v/>
      </c>
      <c r="B294" s="59"/>
      <c r="C294" s="60"/>
      <c r="D294" s="60"/>
      <c r="E294" s="58" t="str">
        <f t="shared" si="29"/>
        <v/>
      </c>
      <c r="F294" s="61"/>
      <c r="G294" s="61"/>
      <c r="H294" s="61"/>
      <c r="I294" s="61"/>
      <c r="J294" s="61"/>
      <c r="K294" s="61"/>
      <c r="L294" s="61"/>
      <c r="M294" s="61"/>
      <c r="N294" s="62"/>
      <c r="O294" s="62"/>
      <c r="P294" s="62"/>
      <c r="Q294" s="62"/>
      <c r="R294" s="63" t="str">
        <f>IFERROR(IF(OR($N294="",$O294="",$F294=""),"",ROUND(('⚙️ Setelan'!$B$3*'⚙️ Setelan'!$B$4/100)/(ABS($N294-$O294)*VLOOKUP($F294,'⚙️ Setelan'!$A$14:$F$20,4,FALSE)),2)),"")</f>
        <v/>
      </c>
      <c r="S294" s="64"/>
      <c r="T294" s="65" t="str">
        <f>IFERROR(IF(OR($N294="",$O294="",$S294=""),"",ABS($N294-$O294)*$S294*VLOOKUP($F294,'⚙️ Setelan'!$A$14:$F$20,4,FALSE)),"")</f>
        <v/>
      </c>
      <c r="U294" s="63" t="str">
        <f t="shared" si="30"/>
        <v/>
      </c>
      <c r="V294" s="65" t="str">
        <f>IFERROR(IF(OR($Q294="",$N294="",$S294=""),"",($Q294-$N294)*IF($G294="Buy",1,-1)*$S294*VLOOKUP($F294,'⚙️ Setelan'!$A$14:$F$20,4,FALSE)),"")</f>
        <v/>
      </c>
      <c r="W294" s="65" t="str">
        <f>IFERROR(IF(OR($S294="",$F294=""),"",$S294*VLOOKUP($F294,'⚙️ Setelan'!$A$14:$F$20,5,FALSE)),"")</f>
        <v/>
      </c>
      <c r="X294" s="65" t="str">
        <f t="shared" si="31"/>
        <v/>
      </c>
      <c r="Y294" s="63" t="str">
        <f t="shared" si="32"/>
        <v/>
      </c>
      <c r="Z294" s="58" t="str">
        <f t="shared" si="33"/>
        <v/>
      </c>
      <c r="AA294" s="66" t="str">
        <f t="shared" si="34"/>
        <v/>
      </c>
      <c r="AB294" s="62"/>
      <c r="AC294" s="62"/>
      <c r="AD294" s="63" t="str">
        <f>IFERROR(IF(OR($AB294="",$T294="",$T294=0),"",ROUND(ABS($N294-$AB294)*$S294*VLOOKUP($F294,'⚙️ Setelan'!$A$14:$F$20,4,FALSE)/$T294,2)),"")</f>
        <v/>
      </c>
      <c r="AE294" s="63" t="str">
        <f>IFERROR(IF(OR($AC294="",$T294="",$T294=0),"",ROUND(ABS($AC294-$N294)*$S294*VLOOKUP($F294,'⚙️ Setelan'!$A$14:$F$20,4,FALSE)/$T294,2)),"")</f>
        <v/>
      </c>
      <c r="AF294" s="61"/>
      <c r="AG294" s="61"/>
      <c r="AH294" s="61"/>
      <c r="AI294" s="61"/>
      <c r="AJ294" s="61"/>
      <c r="AK294" s="67"/>
      <c r="AL294" s="58" t="str">
        <f>IF(OR($C294="",$B294=""),"",IF(AND($Z293="Loss",$B294=$B293,MOD($C294-$D293,1)*1440&lt;'⚙️ Setelan'!$B$9),"⚠️ Revenge",""))</f>
        <v/>
      </c>
      <c r="AM294" s="68"/>
      <c r="AN294" s="58" t="str">
        <f>IF($AM294="","",IFERROR(_xlfn.IMAGE(IF(REGEXMATCH($AM294,"\.(png|jpg|jpeg|gif)$"),$AM294,"https://s3.tradingview.com/snapshots/"&amp;LOWER(MID(REGEXEXTRACT($AM294,"/x/([A-Za-z0-9]+)"),1,1))&amp;"/"&amp;REGEXEXTRACT($AM294,"/x/([A-Za-z0-9]+)")&amp;".png"),1),"⚠️ link tidak dikenali"))</f>
        <v/>
      </c>
      <c r="AO294" s="68"/>
      <c r="AP294" s="58" t="str">
        <f>IF($AO294="","",IFERROR(_xlfn.IMAGE(IF(REGEXMATCH($AO294,"\.(png|jpg|jpeg|gif)$"),$AO294,"https://s3.tradingview.com/snapshots/"&amp;LOWER(MID(REGEXEXTRACT($AO294,"/x/([A-Za-z0-9]+)"),1,1))&amp;"/"&amp;REGEXEXTRACT($AO294,"/x/([A-Za-z0-9]+)")&amp;".png"),1),"⚠️ link tidak dikenali"))</f>
        <v/>
      </c>
      <c r="AQ294" s="66">
        <f>IF($Z294="",0,IF(AND(OR('📊 Dashboard'!$B$4="(Semua)",$F294='📊 Dashboard'!$B$4),OR('📊 Dashboard'!$B$5="(Semua)",$H294='📊 Dashboard'!$B$5),OR('📊 Dashboard'!$B$6="(Semua)",$E294='📊 Dashboard'!$B$6),OR('📊 Dashboard'!$B$7="(Semua)",$AF294='📊 Dashboard'!$B$7),OR('📊 Dashboard'!$B$8="(Semua)",$AG294='📊 Dashboard'!$B$8),OR('📊 Dashboard'!$B$9="(Semua)",$K294='📊 Dashboard'!$B$9)),1,0))</f>
        <v>0</v>
      </c>
      <c r="AR294" s="69"/>
    </row>
    <row r="295" ht="58" customHeight="1" spans="1:44">
      <c r="A295" s="58" t="str">
        <f t="shared" si="28"/>
        <v/>
      </c>
      <c r="B295" s="59"/>
      <c r="C295" s="60"/>
      <c r="D295" s="60"/>
      <c r="E295" s="58" t="str">
        <f t="shared" si="29"/>
        <v/>
      </c>
      <c r="F295" s="61"/>
      <c r="G295" s="61"/>
      <c r="H295" s="61"/>
      <c r="I295" s="61"/>
      <c r="J295" s="61"/>
      <c r="K295" s="61"/>
      <c r="L295" s="61"/>
      <c r="M295" s="61"/>
      <c r="N295" s="62"/>
      <c r="O295" s="62"/>
      <c r="P295" s="62"/>
      <c r="Q295" s="62"/>
      <c r="R295" s="63" t="str">
        <f>IFERROR(IF(OR($N295="",$O295="",$F295=""),"",ROUND(('⚙️ Setelan'!$B$3*'⚙️ Setelan'!$B$4/100)/(ABS($N295-$O295)*VLOOKUP($F295,'⚙️ Setelan'!$A$14:$F$20,4,FALSE)),2)),"")</f>
        <v/>
      </c>
      <c r="S295" s="64"/>
      <c r="T295" s="65" t="str">
        <f>IFERROR(IF(OR($N295="",$O295="",$S295=""),"",ABS($N295-$O295)*$S295*VLOOKUP($F295,'⚙️ Setelan'!$A$14:$F$20,4,FALSE)),"")</f>
        <v/>
      </c>
      <c r="U295" s="63" t="str">
        <f t="shared" si="30"/>
        <v/>
      </c>
      <c r="V295" s="65" t="str">
        <f>IFERROR(IF(OR($Q295="",$N295="",$S295=""),"",($Q295-$N295)*IF($G295="Buy",1,-1)*$S295*VLOOKUP($F295,'⚙️ Setelan'!$A$14:$F$20,4,FALSE)),"")</f>
        <v/>
      </c>
      <c r="W295" s="65" t="str">
        <f>IFERROR(IF(OR($S295="",$F295=""),"",$S295*VLOOKUP($F295,'⚙️ Setelan'!$A$14:$F$20,5,FALSE)),"")</f>
        <v/>
      </c>
      <c r="X295" s="65" t="str">
        <f t="shared" si="31"/>
        <v/>
      </c>
      <c r="Y295" s="63" t="str">
        <f t="shared" si="32"/>
        <v/>
      </c>
      <c r="Z295" s="58" t="str">
        <f t="shared" si="33"/>
        <v/>
      </c>
      <c r="AA295" s="66" t="str">
        <f t="shared" si="34"/>
        <v/>
      </c>
      <c r="AB295" s="62"/>
      <c r="AC295" s="62"/>
      <c r="AD295" s="63" t="str">
        <f>IFERROR(IF(OR($AB295="",$T295="",$T295=0),"",ROUND(ABS($N295-$AB295)*$S295*VLOOKUP($F295,'⚙️ Setelan'!$A$14:$F$20,4,FALSE)/$T295,2)),"")</f>
        <v/>
      </c>
      <c r="AE295" s="63" t="str">
        <f>IFERROR(IF(OR($AC295="",$T295="",$T295=0),"",ROUND(ABS($AC295-$N295)*$S295*VLOOKUP($F295,'⚙️ Setelan'!$A$14:$F$20,4,FALSE)/$T295,2)),"")</f>
        <v/>
      </c>
      <c r="AF295" s="61"/>
      <c r="AG295" s="61"/>
      <c r="AH295" s="61"/>
      <c r="AI295" s="61"/>
      <c r="AJ295" s="61"/>
      <c r="AK295" s="67"/>
      <c r="AL295" s="58" t="str">
        <f>IF(OR($C295="",$B295=""),"",IF(AND($Z294="Loss",$B295=$B294,MOD($C295-$D294,1)*1440&lt;'⚙️ Setelan'!$B$9),"⚠️ Revenge",""))</f>
        <v/>
      </c>
      <c r="AM295" s="68"/>
      <c r="AN295" s="58" t="str">
        <f>IF($AM295="","",IFERROR(_xlfn.IMAGE(IF(REGEXMATCH($AM295,"\.(png|jpg|jpeg|gif)$"),$AM295,"https://s3.tradingview.com/snapshots/"&amp;LOWER(MID(REGEXEXTRACT($AM295,"/x/([A-Za-z0-9]+)"),1,1))&amp;"/"&amp;REGEXEXTRACT($AM295,"/x/([A-Za-z0-9]+)")&amp;".png"),1),"⚠️ link tidak dikenali"))</f>
        <v/>
      </c>
      <c r="AO295" s="68"/>
      <c r="AP295" s="58" t="str">
        <f>IF($AO295="","",IFERROR(_xlfn.IMAGE(IF(REGEXMATCH($AO295,"\.(png|jpg|jpeg|gif)$"),$AO295,"https://s3.tradingview.com/snapshots/"&amp;LOWER(MID(REGEXEXTRACT($AO295,"/x/([A-Za-z0-9]+)"),1,1))&amp;"/"&amp;REGEXEXTRACT($AO295,"/x/([A-Za-z0-9]+)")&amp;".png"),1),"⚠️ link tidak dikenali"))</f>
        <v/>
      </c>
      <c r="AQ295" s="66">
        <f>IF($Z295="",0,IF(AND(OR('📊 Dashboard'!$B$4="(Semua)",$F295='📊 Dashboard'!$B$4),OR('📊 Dashboard'!$B$5="(Semua)",$H295='📊 Dashboard'!$B$5),OR('📊 Dashboard'!$B$6="(Semua)",$E295='📊 Dashboard'!$B$6),OR('📊 Dashboard'!$B$7="(Semua)",$AF295='📊 Dashboard'!$B$7),OR('📊 Dashboard'!$B$8="(Semua)",$AG295='📊 Dashboard'!$B$8),OR('📊 Dashboard'!$B$9="(Semua)",$K295='📊 Dashboard'!$B$9)),1,0))</f>
        <v>0</v>
      </c>
      <c r="AR295" s="69"/>
    </row>
    <row r="296" ht="58" customHeight="1" spans="1:44">
      <c r="A296" s="58" t="str">
        <f t="shared" si="28"/>
        <v/>
      </c>
      <c r="B296" s="59"/>
      <c r="C296" s="60"/>
      <c r="D296" s="60"/>
      <c r="E296" s="58" t="str">
        <f t="shared" si="29"/>
        <v/>
      </c>
      <c r="F296" s="61"/>
      <c r="G296" s="61"/>
      <c r="H296" s="61"/>
      <c r="I296" s="61"/>
      <c r="J296" s="61"/>
      <c r="K296" s="61"/>
      <c r="L296" s="61"/>
      <c r="M296" s="61"/>
      <c r="N296" s="62"/>
      <c r="O296" s="62"/>
      <c r="P296" s="62"/>
      <c r="Q296" s="62"/>
      <c r="R296" s="63" t="str">
        <f>IFERROR(IF(OR($N296="",$O296="",$F296=""),"",ROUND(('⚙️ Setelan'!$B$3*'⚙️ Setelan'!$B$4/100)/(ABS($N296-$O296)*VLOOKUP($F296,'⚙️ Setelan'!$A$14:$F$20,4,FALSE)),2)),"")</f>
        <v/>
      </c>
      <c r="S296" s="64"/>
      <c r="T296" s="65" t="str">
        <f>IFERROR(IF(OR($N296="",$O296="",$S296=""),"",ABS($N296-$O296)*$S296*VLOOKUP($F296,'⚙️ Setelan'!$A$14:$F$20,4,FALSE)),"")</f>
        <v/>
      </c>
      <c r="U296" s="63" t="str">
        <f t="shared" si="30"/>
        <v/>
      </c>
      <c r="V296" s="65" t="str">
        <f>IFERROR(IF(OR($Q296="",$N296="",$S296=""),"",($Q296-$N296)*IF($G296="Buy",1,-1)*$S296*VLOOKUP($F296,'⚙️ Setelan'!$A$14:$F$20,4,FALSE)),"")</f>
        <v/>
      </c>
      <c r="W296" s="65" t="str">
        <f>IFERROR(IF(OR($S296="",$F296=""),"",$S296*VLOOKUP($F296,'⚙️ Setelan'!$A$14:$F$20,5,FALSE)),"")</f>
        <v/>
      </c>
      <c r="X296" s="65" t="str">
        <f t="shared" si="31"/>
        <v/>
      </c>
      <c r="Y296" s="63" t="str">
        <f t="shared" si="32"/>
        <v/>
      </c>
      <c r="Z296" s="58" t="str">
        <f t="shared" si="33"/>
        <v/>
      </c>
      <c r="AA296" s="66" t="str">
        <f t="shared" si="34"/>
        <v/>
      </c>
      <c r="AB296" s="62"/>
      <c r="AC296" s="62"/>
      <c r="AD296" s="63" t="str">
        <f>IFERROR(IF(OR($AB296="",$T296="",$T296=0),"",ROUND(ABS($N296-$AB296)*$S296*VLOOKUP($F296,'⚙️ Setelan'!$A$14:$F$20,4,FALSE)/$T296,2)),"")</f>
        <v/>
      </c>
      <c r="AE296" s="63" t="str">
        <f>IFERROR(IF(OR($AC296="",$T296="",$T296=0),"",ROUND(ABS($AC296-$N296)*$S296*VLOOKUP($F296,'⚙️ Setelan'!$A$14:$F$20,4,FALSE)/$T296,2)),"")</f>
        <v/>
      </c>
      <c r="AF296" s="61"/>
      <c r="AG296" s="61"/>
      <c r="AH296" s="61"/>
      <c r="AI296" s="61"/>
      <c r="AJ296" s="61"/>
      <c r="AK296" s="67"/>
      <c r="AL296" s="58" t="str">
        <f>IF(OR($C296="",$B296=""),"",IF(AND($Z295="Loss",$B296=$B295,MOD($C296-$D295,1)*1440&lt;'⚙️ Setelan'!$B$9),"⚠️ Revenge",""))</f>
        <v/>
      </c>
      <c r="AM296" s="68"/>
      <c r="AN296" s="58" t="str">
        <f>IF($AM296="","",IFERROR(_xlfn.IMAGE(IF(REGEXMATCH($AM296,"\.(png|jpg|jpeg|gif)$"),$AM296,"https://s3.tradingview.com/snapshots/"&amp;LOWER(MID(REGEXEXTRACT($AM296,"/x/([A-Za-z0-9]+)"),1,1))&amp;"/"&amp;REGEXEXTRACT($AM296,"/x/([A-Za-z0-9]+)")&amp;".png"),1),"⚠️ link tidak dikenali"))</f>
        <v/>
      </c>
      <c r="AO296" s="68"/>
      <c r="AP296" s="58" t="str">
        <f>IF($AO296="","",IFERROR(_xlfn.IMAGE(IF(REGEXMATCH($AO296,"\.(png|jpg|jpeg|gif)$"),$AO296,"https://s3.tradingview.com/snapshots/"&amp;LOWER(MID(REGEXEXTRACT($AO296,"/x/([A-Za-z0-9]+)"),1,1))&amp;"/"&amp;REGEXEXTRACT($AO296,"/x/([A-Za-z0-9]+)")&amp;".png"),1),"⚠️ link tidak dikenali"))</f>
        <v/>
      </c>
      <c r="AQ296" s="66">
        <f>IF($Z296="",0,IF(AND(OR('📊 Dashboard'!$B$4="(Semua)",$F296='📊 Dashboard'!$B$4),OR('📊 Dashboard'!$B$5="(Semua)",$H296='📊 Dashboard'!$B$5),OR('📊 Dashboard'!$B$6="(Semua)",$E296='📊 Dashboard'!$B$6),OR('📊 Dashboard'!$B$7="(Semua)",$AF296='📊 Dashboard'!$B$7),OR('📊 Dashboard'!$B$8="(Semua)",$AG296='📊 Dashboard'!$B$8),OR('📊 Dashboard'!$B$9="(Semua)",$K296='📊 Dashboard'!$B$9)),1,0))</f>
        <v>0</v>
      </c>
      <c r="AR296" s="69"/>
    </row>
    <row r="297" ht="58" customHeight="1" spans="1:44">
      <c r="A297" s="58" t="str">
        <f t="shared" si="28"/>
        <v/>
      </c>
      <c r="B297" s="59"/>
      <c r="C297" s="60"/>
      <c r="D297" s="60"/>
      <c r="E297" s="58" t="str">
        <f t="shared" si="29"/>
        <v/>
      </c>
      <c r="F297" s="61"/>
      <c r="G297" s="61"/>
      <c r="H297" s="61"/>
      <c r="I297" s="61"/>
      <c r="J297" s="61"/>
      <c r="K297" s="61"/>
      <c r="L297" s="61"/>
      <c r="M297" s="61"/>
      <c r="N297" s="62"/>
      <c r="O297" s="62"/>
      <c r="P297" s="62"/>
      <c r="Q297" s="62"/>
      <c r="R297" s="63" t="str">
        <f>IFERROR(IF(OR($N297="",$O297="",$F297=""),"",ROUND(('⚙️ Setelan'!$B$3*'⚙️ Setelan'!$B$4/100)/(ABS($N297-$O297)*VLOOKUP($F297,'⚙️ Setelan'!$A$14:$F$20,4,FALSE)),2)),"")</f>
        <v/>
      </c>
      <c r="S297" s="64"/>
      <c r="T297" s="65" t="str">
        <f>IFERROR(IF(OR($N297="",$O297="",$S297=""),"",ABS($N297-$O297)*$S297*VLOOKUP($F297,'⚙️ Setelan'!$A$14:$F$20,4,FALSE)),"")</f>
        <v/>
      </c>
      <c r="U297" s="63" t="str">
        <f t="shared" si="30"/>
        <v/>
      </c>
      <c r="V297" s="65" t="str">
        <f>IFERROR(IF(OR($Q297="",$N297="",$S297=""),"",($Q297-$N297)*IF($G297="Buy",1,-1)*$S297*VLOOKUP($F297,'⚙️ Setelan'!$A$14:$F$20,4,FALSE)),"")</f>
        <v/>
      </c>
      <c r="W297" s="65" t="str">
        <f>IFERROR(IF(OR($S297="",$F297=""),"",$S297*VLOOKUP($F297,'⚙️ Setelan'!$A$14:$F$20,5,FALSE)),"")</f>
        <v/>
      </c>
      <c r="X297" s="65" t="str">
        <f t="shared" si="31"/>
        <v/>
      </c>
      <c r="Y297" s="63" t="str">
        <f t="shared" si="32"/>
        <v/>
      </c>
      <c r="Z297" s="58" t="str">
        <f t="shared" si="33"/>
        <v/>
      </c>
      <c r="AA297" s="66" t="str">
        <f t="shared" si="34"/>
        <v/>
      </c>
      <c r="AB297" s="62"/>
      <c r="AC297" s="62"/>
      <c r="AD297" s="63" t="str">
        <f>IFERROR(IF(OR($AB297="",$T297="",$T297=0),"",ROUND(ABS($N297-$AB297)*$S297*VLOOKUP($F297,'⚙️ Setelan'!$A$14:$F$20,4,FALSE)/$T297,2)),"")</f>
        <v/>
      </c>
      <c r="AE297" s="63" t="str">
        <f>IFERROR(IF(OR($AC297="",$T297="",$T297=0),"",ROUND(ABS($AC297-$N297)*$S297*VLOOKUP($F297,'⚙️ Setelan'!$A$14:$F$20,4,FALSE)/$T297,2)),"")</f>
        <v/>
      </c>
      <c r="AF297" s="61"/>
      <c r="AG297" s="61"/>
      <c r="AH297" s="61"/>
      <c r="AI297" s="61"/>
      <c r="AJ297" s="61"/>
      <c r="AK297" s="67"/>
      <c r="AL297" s="58" t="str">
        <f>IF(OR($C297="",$B297=""),"",IF(AND($Z296="Loss",$B297=$B296,MOD($C297-$D296,1)*1440&lt;'⚙️ Setelan'!$B$9),"⚠️ Revenge",""))</f>
        <v/>
      </c>
      <c r="AM297" s="68"/>
      <c r="AN297" s="58" t="str">
        <f>IF($AM297="","",IFERROR(_xlfn.IMAGE(IF(REGEXMATCH($AM297,"\.(png|jpg|jpeg|gif)$"),$AM297,"https://s3.tradingview.com/snapshots/"&amp;LOWER(MID(REGEXEXTRACT($AM297,"/x/([A-Za-z0-9]+)"),1,1))&amp;"/"&amp;REGEXEXTRACT($AM297,"/x/([A-Za-z0-9]+)")&amp;".png"),1),"⚠️ link tidak dikenali"))</f>
        <v/>
      </c>
      <c r="AO297" s="68"/>
      <c r="AP297" s="58" t="str">
        <f>IF($AO297="","",IFERROR(_xlfn.IMAGE(IF(REGEXMATCH($AO297,"\.(png|jpg|jpeg|gif)$"),$AO297,"https://s3.tradingview.com/snapshots/"&amp;LOWER(MID(REGEXEXTRACT($AO297,"/x/([A-Za-z0-9]+)"),1,1))&amp;"/"&amp;REGEXEXTRACT($AO297,"/x/([A-Za-z0-9]+)")&amp;".png"),1),"⚠️ link tidak dikenali"))</f>
        <v/>
      </c>
      <c r="AQ297" s="66">
        <f>IF($Z297="",0,IF(AND(OR('📊 Dashboard'!$B$4="(Semua)",$F297='📊 Dashboard'!$B$4),OR('📊 Dashboard'!$B$5="(Semua)",$H297='📊 Dashboard'!$B$5),OR('📊 Dashboard'!$B$6="(Semua)",$E297='📊 Dashboard'!$B$6),OR('📊 Dashboard'!$B$7="(Semua)",$AF297='📊 Dashboard'!$B$7),OR('📊 Dashboard'!$B$8="(Semua)",$AG297='📊 Dashboard'!$B$8),OR('📊 Dashboard'!$B$9="(Semua)",$K297='📊 Dashboard'!$B$9)),1,0))</f>
        <v>0</v>
      </c>
      <c r="AR297" s="69"/>
    </row>
    <row r="298" ht="58" customHeight="1" spans="1:44">
      <c r="A298" s="58" t="str">
        <f t="shared" si="28"/>
        <v/>
      </c>
      <c r="B298" s="59"/>
      <c r="C298" s="60"/>
      <c r="D298" s="60"/>
      <c r="E298" s="58" t="str">
        <f t="shared" si="29"/>
        <v/>
      </c>
      <c r="F298" s="61"/>
      <c r="G298" s="61"/>
      <c r="H298" s="61"/>
      <c r="I298" s="61"/>
      <c r="J298" s="61"/>
      <c r="K298" s="61"/>
      <c r="L298" s="61"/>
      <c r="M298" s="61"/>
      <c r="N298" s="62"/>
      <c r="O298" s="62"/>
      <c r="P298" s="62"/>
      <c r="Q298" s="62"/>
      <c r="R298" s="63" t="str">
        <f>IFERROR(IF(OR($N298="",$O298="",$F298=""),"",ROUND(('⚙️ Setelan'!$B$3*'⚙️ Setelan'!$B$4/100)/(ABS($N298-$O298)*VLOOKUP($F298,'⚙️ Setelan'!$A$14:$F$20,4,FALSE)),2)),"")</f>
        <v/>
      </c>
      <c r="S298" s="64"/>
      <c r="T298" s="65" t="str">
        <f>IFERROR(IF(OR($N298="",$O298="",$S298=""),"",ABS($N298-$O298)*$S298*VLOOKUP($F298,'⚙️ Setelan'!$A$14:$F$20,4,FALSE)),"")</f>
        <v/>
      </c>
      <c r="U298" s="63" t="str">
        <f t="shared" si="30"/>
        <v/>
      </c>
      <c r="V298" s="65" t="str">
        <f>IFERROR(IF(OR($Q298="",$N298="",$S298=""),"",($Q298-$N298)*IF($G298="Buy",1,-1)*$S298*VLOOKUP($F298,'⚙️ Setelan'!$A$14:$F$20,4,FALSE)),"")</f>
        <v/>
      </c>
      <c r="W298" s="65" t="str">
        <f>IFERROR(IF(OR($S298="",$F298=""),"",$S298*VLOOKUP($F298,'⚙️ Setelan'!$A$14:$F$20,5,FALSE)),"")</f>
        <v/>
      </c>
      <c r="X298" s="65" t="str">
        <f t="shared" si="31"/>
        <v/>
      </c>
      <c r="Y298" s="63" t="str">
        <f t="shared" si="32"/>
        <v/>
      </c>
      <c r="Z298" s="58" t="str">
        <f t="shared" si="33"/>
        <v/>
      </c>
      <c r="AA298" s="66" t="str">
        <f t="shared" si="34"/>
        <v/>
      </c>
      <c r="AB298" s="62"/>
      <c r="AC298" s="62"/>
      <c r="AD298" s="63" t="str">
        <f>IFERROR(IF(OR($AB298="",$T298="",$T298=0),"",ROUND(ABS($N298-$AB298)*$S298*VLOOKUP($F298,'⚙️ Setelan'!$A$14:$F$20,4,FALSE)/$T298,2)),"")</f>
        <v/>
      </c>
      <c r="AE298" s="63" t="str">
        <f>IFERROR(IF(OR($AC298="",$T298="",$T298=0),"",ROUND(ABS($AC298-$N298)*$S298*VLOOKUP($F298,'⚙️ Setelan'!$A$14:$F$20,4,FALSE)/$T298,2)),"")</f>
        <v/>
      </c>
      <c r="AF298" s="61"/>
      <c r="AG298" s="61"/>
      <c r="AH298" s="61"/>
      <c r="AI298" s="61"/>
      <c r="AJ298" s="61"/>
      <c r="AK298" s="67"/>
      <c r="AL298" s="58" t="str">
        <f>IF(OR($C298="",$B298=""),"",IF(AND($Z297="Loss",$B298=$B297,MOD($C298-$D297,1)*1440&lt;'⚙️ Setelan'!$B$9),"⚠️ Revenge",""))</f>
        <v/>
      </c>
      <c r="AM298" s="68"/>
      <c r="AN298" s="58" t="str">
        <f>IF($AM298="","",IFERROR(_xlfn.IMAGE(IF(REGEXMATCH($AM298,"\.(png|jpg|jpeg|gif)$"),$AM298,"https://s3.tradingview.com/snapshots/"&amp;LOWER(MID(REGEXEXTRACT($AM298,"/x/([A-Za-z0-9]+)"),1,1))&amp;"/"&amp;REGEXEXTRACT($AM298,"/x/([A-Za-z0-9]+)")&amp;".png"),1),"⚠️ link tidak dikenali"))</f>
        <v/>
      </c>
      <c r="AO298" s="68"/>
      <c r="AP298" s="58" t="str">
        <f>IF($AO298="","",IFERROR(_xlfn.IMAGE(IF(REGEXMATCH($AO298,"\.(png|jpg|jpeg|gif)$"),$AO298,"https://s3.tradingview.com/snapshots/"&amp;LOWER(MID(REGEXEXTRACT($AO298,"/x/([A-Za-z0-9]+)"),1,1))&amp;"/"&amp;REGEXEXTRACT($AO298,"/x/([A-Za-z0-9]+)")&amp;".png"),1),"⚠️ link tidak dikenali"))</f>
        <v/>
      </c>
      <c r="AQ298" s="66">
        <f>IF($Z298="",0,IF(AND(OR('📊 Dashboard'!$B$4="(Semua)",$F298='📊 Dashboard'!$B$4),OR('📊 Dashboard'!$B$5="(Semua)",$H298='📊 Dashboard'!$B$5),OR('📊 Dashboard'!$B$6="(Semua)",$E298='📊 Dashboard'!$B$6),OR('📊 Dashboard'!$B$7="(Semua)",$AF298='📊 Dashboard'!$B$7),OR('📊 Dashboard'!$B$8="(Semua)",$AG298='📊 Dashboard'!$B$8),OR('📊 Dashboard'!$B$9="(Semua)",$K298='📊 Dashboard'!$B$9)),1,0))</f>
        <v>0</v>
      </c>
      <c r="AR298" s="69"/>
    </row>
    <row r="299" ht="58" customHeight="1" spans="1:44">
      <c r="A299" s="58" t="str">
        <f t="shared" si="28"/>
        <v/>
      </c>
      <c r="B299" s="59"/>
      <c r="C299" s="60"/>
      <c r="D299" s="60"/>
      <c r="E299" s="58" t="str">
        <f t="shared" si="29"/>
        <v/>
      </c>
      <c r="F299" s="61"/>
      <c r="G299" s="61"/>
      <c r="H299" s="61"/>
      <c r="I299" s="61"/>
      <c r="J299" s="61"/>
      <c r="K299" s="61"/>
      <c r="L299" s="61"/>
      <c r="M299" s="61"/>
      <c r="N299" s="62"/>
      <c r="O299" s="62"/>
      <c r="P299" s="62"/>
      <c r="Q299" s="62"/>
      <c r="R299" s="63" t="str">
        <f>IFERROR(IF(OR($N299="",$O299="",$F299=""),"",ROUND(('⚙️ Setelan'!$B$3*'⚙️ Setelan'!$B$4/100)/(ABS($N299-$O299)*VLOOKUP($F299,'⚙️ Setelan'!$A$14:$F$20,4,FALSE)),2)),"")</f>
        <v/>
      </c>
      <c r="S299" s="64"/>
      <c r="T299" s="65" t="str">
        <f>IFERROR(IF(OR($N299="",$O299="",$S299=""),"",ABS($N299-$O299)*$S299*VLOOKUP($F299,'⚙️ Setelan'!$A$14:$F$20,4,FALSE)),"")</f>
        <v/>
      </c>
      <c r="U299" s="63" t="str">
        <f t="shared" si="30"/>
        <v/>
      </c>
      <c r="V299" s="65" t="str">
        <f>IFERROR(IF(OR($Q299="",$N299="",$S299=""),"",($Q299-$N299)*IF($G299="Buy",1,-1)*$S299*VLOOKUP($F299,'⚙️ Setelan'!$A$14:$F$20,4,FALSE)),"")</f>
        <v/>
      </c>
      <c r="W299" s="65" t="str">
        <f>IFERROR(IF(OR($S299="",$F299=""),"",$S299*VLOOKUP($F299,'⚙️ Setelan'!$A$14:$F$20,5,FALSE)),"")</f>
        <v/>
      </c>
      <c r="X299" s="65" t="str">
        <f t="shared" si="31"/>
        <v/>
      </c>
      <c r="Y299" s="63" t="str">
        <f t="shared" si="32"/>
        <v/>
      </c>
      <c r="Z299" s="58" t="str">
        <f t="shared" si="33"/>
        <v/>
      </c>
      <c r="AA299" s="66" t="str">
        <f t="shared" si="34"/>
        <v/>
      </c>
      <c r="AB299" s="62"/>
      <c r="AC299" s="62"/>
      <c r="AD299" s="63" t="str">
        <f>IFERROR(IF(OR($AB299="",$T299="",$T299=0),"",ROUND(ABS($N299-$AB299)*$S299*VLOOKUP($F299,'⚙️ Setelan'!$A$14:$F$20,4,FALSE)/$T299,2)),"")</f>
        <v/>
      </c>
      <c r="AE299" s="63" t="str">
        <f>IFERROR(IF(OR($AC299="",$T299="",$T299=0),"",ROUND(ABS($AC299-$N299)*$S299*VLOOKUP($F299,'⚙️ Setelan'!$A$14:$F$20,4,FALSE)/$T299,2)),"")</f>
        <v/>
      </c>
      <c r="AF299" s="61"/>
      <c r="AG299" s="61"/>
      <c r="AH299" s="61"/>
      <c r="AI299" s="61"/>
      <c r="AJ299" s="61"/>
      <c r="AK299" s="67"/>
      <c r="AL299" s="58" t="str">
        <f>IF(OR($C299="",$B299=""),"",IF(AND($Z298="Loss",$B299=$B298,MOD($C299-$D298,1)*1440&lt;'⚙️ Setelan'!$B$9),"⚠️ Revenge",""))</f>
        <v/>
      </c>
      <c r="AM299" s="68"/>
      <c r="AN299" s="58" t="str">
        <f>IF($AM299="","",IFERROR(_xlfn.IMAGE(IF(REGEXMATCH($AM299,"\.(png|jpg|jpeg|gif)$"),$AM299,"https://s3.tradingview.com/snapshots/"&amp;LOWER(MID(REGEXEXTRACT($AM299,"/x/([A-Za-z0-9]+)"),1,1))&amp;"/"&amp;REGEXEXTRACT($AM299,"/x/([A-Za-z0-9]+)")&amp;".png"),1),"⚠️ link tidak dikenali"))</f>
        <v/>
      </c>
      <c r="AO299" s="68"/>
      <c r="AP299" s="58" t="str">
        <f>IF($AO299="","",IFERROR(_xlfn.IMAGE(IF(REGEXMATCH($AO299,"\.(png|jpg|jpeg|gif)$"),$AO299,"https://s3.tradingview.com/snapshots/"&amp;LOWER(MID(REGEXEXTRACT($AO299,"/x/([A-Za-z0-9]+)"),1,1))&amp;"/"&amp;REGEXEXTRACT($AO299,"/x/([A-Za-z0-9]+)")&amp;".png"),1),"⚠️ link tidak dikenali"))</f>
        <v/>
      </c>
      <c r="AQ299" s="66">
        <f>IF($Z299="",0,IF(AND(OR('📊 Dashboard'!$B$4="(Semua)",$F299='📊 Dashboard'!$B$4),OR('📊 Dashboard'!$B$5="(Semua)",$H299='📊 Dashboard'!$B$5),OR('📊 Dashboard'!$B$6="(Semua)",$E299='📊 Dashboard'!$B$6),OR('📊 Dashboard'!$B$7="(Semua)",$AF299='📊 Dashboard'!$B$7),OR('📊 Dashboard'!$B$8="(Semua)",$AG299='📊 Dashboard'!$B$8),OR('📊 Dashboard'!$B$9="(Semua)",$K299='📊 Dashboard'!$B$9)),1,0))</f>
        <v>0</v>
      </c>
      <c r="AR299" s="69"/>
    </row>
    <row r="300" ht="58" customHeight="1" spans="1:44">
      <c r="A300" s="58" t="str">
        <f t="shared" si="28"/>
        <v/>
      </c>
      <c r="B300" s="59"/>
      <c r="C300" s="60"/>
      <c r="D300" s="60"/>
      <c r="E300" s="58" t="str">
        <f t="shared" si="29"/>
        <v/>
      </c>
      <c r="F300" s="61"/>
      <c r="G300" s="61"/>
      <c r="H300" s="61"/>
      <c r="I300" s="61"/>
      <c r="J300" s="61"/>
      <c r="K300" s="61"/>
      <c r="L300" s="61"/>
      <c r="M300" s="61"/>
      <c r="N300" s="62"/>
      <c r="O300" s="62"/>
      <c r="P300" s="62"/>
      <c r="Q300" s="62"/>
      <c r="R300" s="63" t="str">
        <f>IFERROR(IF(OR($N300="",$O300="",$F300=""),"",ROUND(('⚙️ Setelan'!$B$3*'⚙️ Setelan'!$B$4/100)/(ABS($N300-$O300)*VLOOKUP($F300,'⚙️ Setelan'!$A$14:$F$20,4,FALSE)),2)),"")</f>
        <v/>
      </c>
      <c r="S300" s="64"/>
      <c r="T300" s="65" t="str">
        <f>IFERROR(IF(OR($N300="",$O300="",$S300=""),"",ABS($N300-$O300)*$S300*VLOOKUP($F300,'⚙️ Setelan'!$A$14:$F$20,4,FALSE)),"")</f>
        <v/>
      </c>
      <c r="U300" s="63" t="str">
        <f t="shared" si="30"/>
        <v/>
      </c>
      <c r="V300" s="65" t="str">
        <f>IFERROR(IF(OR($Q300="",$N300="",$S300=""),"",($Q300-$N300)*IF($G300="Buy",1,-1)*$S300*VLOOKUP($F300,'⚙️ Setelan'!$A$14:$F$20,4,FALSE)),"")</f>
        <v/>
      </c>
      <c r="W300" s="65" t="str">
        <f>IFERROR(IF(OR($S300="",$F300=""),"",$S300*VLOOKUP($F300,'⚙️ Setelan'!$A$14:$F$20,5,FALSE)),"")</f>
        <v/>
      </c>
      <c r="X300" s="65" t="str">
        <f t="shared" si="31"/>
        <v/>
      </c>
      <c r="Y300" s="63" t="str">
        <f t="shared" si="32"/>
        <v/>
      </c>
      <c r="Z300" s="58" t="str">
        <f t="shared" si="33"/>
        <v/>
      </c>
      <c r="AA300" s="66" t="str">
        <f t="shared" si="34"/>
        <v/>
      </c>
      <c r="AB300" s="62"/>
      <c r="AC300" s="62"/>
      <c r="AD300" s="63" t="str">
        <f>IFERROR(IF(OR($AB300="",$T300="",$T300=0),"",ROUND(ABS($N300-$AB300)*$S300*VLOOKUP($F300,'⚙️ Setelan'!$A$14:$F$20,4,FALSE)/$T300,2)),"")</f>
        <v/>
      </c>
      <c r="AE300" s="63" t="str">
        <f>IFERROR(IF(OR($AC300="",$T300="",$T300=0),"",ROUND(ABS($AC300-$N300)*$S300*VLOOKUP($F300,'⚙️ Setelan'!$A$14:$F$20,4,FALSE)/$T300,2)),"")</f>
        <v/>
      </c>
      <c r="AF300" s="61"/>
      <c r="AG300" s="61"/>
      <c r="AH300" s="61"/>
      <c r="AI300" s="61"/>
      <c r="AJ300" s="61"/>
      <c r="AK300" s="67"/>
      <c r="AL300" s="58" t="str">
        <f>IF(OR($C300="",$B300=""),"",IF(AND($Z299="Loss",$B300=$B299,MOD($C300-$D299,1)*1440&lt;'⚙️ Setelan'!$B$9),"⚠️ Revenge",""))</f>
        <v/>
      </c>
      <c r="AM300" s="68"/>
      <c r="AN300" s="58" t="str">
        <f>IF($AM300="","",IFERROR(_xlfn.IMAGE(IF(REGEXMATCH($AM300,"\.(png|jpg|jpeg|gif)$"),$AM300,"https://s3.tradingview.com/snapshots/"&amp;LOWER(MID(REGEXEXTRACT($AM300,"/x/([A-Za-z0-9]+)"),1,1))&amp;"/"&amp;REGEXEXTRACT($AM300,"/x/([A-Za-z0-9]+)")&amp;".png"),1),"⚠️ link tidak dikenali"))</f>
        <v/>
      </c>
      <c r="AO300" s="68"/>
      <c r="AP300" s="58" t="str">
        <f>IF($AO300="","",IFERROR(_xlfn.IMAGE(IF(REGEXMATCH($AO300,"\.(png|jpg|jpeg|gif)$"),$AO300,"https://s3.tradingview.com/snapshots/"&amp;LOWER(MID(REGEXEXTRACT($AO300,"/x/([A-Za-z0-9]+)"),1,1))&amp;"/"&amp;REGEXEXTRACT($AO300,"/x/([A-Za-z0-9]+)")&amp;".png"),1),"⚠️ link tidak dikenali"))</f>
        <v/>
      </c>
      <c r="AQ300" s="66">
        <f>IF($Z300="",0,IF(AND(OR('📊 Dashboard'!$B$4="(Semua)",$F300='📊 Dashboard'!$B$4),OR('📊 Dashboard'!$B$5="(Semua)",$H300='📊 Dashboard'!$B$5),OR('📊 Dashboard'!$B$6="(Semua)",$E300='📊 Dashboard'!$B$6),OR('📊 Dashboard'!$B$7="(Semua)",$AF300='📊 Dashboard'!$B$7),OR('📊 Dashboard'!$B$8="(Semua)",$AG300='📊 Dashboard'!$B$8),OR('📊 Dashboard'!$B$9="(Semua)",$K300='📊 Dashboard'!$B$9)),1,0))</f>
        <v>0</v>
      </c>
      <c r="AR300" s="69"/>
    </row>
    <row r="301" ht="58" customHeight="1" spans="1:44">
      <c r="A301" s="58" t="str">
        <f t="shared" si="28"/>
        <v/>
      </c>
      <c r="B301" s="59"/>
      <c r="C301" s="60"/>
      <c r="D301" s="60"/>
      <c r="E301" s="58" t="str">
        <f t="shared" si="29"/>
        <v/>
      </c>
      <c r="F301" s="61"/>
      <c r="G301" s="61"/>
      <c r="H301" s="61"/>
      <c r="I301" s="61"/>
      <c r="J301" s="61"/>
      <c r="K301" s="61"/>
      <c r="L301" s="61"/>
      <c r="M301" s="61"/>
      <c r="N301" s="62"/>
      <c r="O301" s="62"/>
      <c r="P301" s="62"/>
      <c r="Q301" s="62"/>
      <c r="R301" s="63" t="str">
        <f>IFERROR(IF(OR($N301="",$O301="",$F301=""),"",ROUND(('⚙️ Setelan'!$B$3*'⚙️ Setelan'!$B$4/100)/(ABS($N301-$O301)*VLOOKUP($F301,'⚙️ Setelan'!$A$14:$F$20,4,FALSE)),2)),"")</f>
        <v/>
      </c>
      <c r="S301" s="64"/>
      <c r="T301" s="65" t="str">
        <f>IFERROR(IF(OR($N301="",$O301="",$S301=""),"",ABS($N301-$O301)*$S301*VLOOKUP($F301,'⚙️ Setelan'!$A$14:$F$20,4,FALSE)),"")</f>
        <v/>
      </c>
      <c r="U301" s="63" t="str">
        <f t="shared" si="30"/>
        <v/>
      </c>
      <c r="V301" s="65" t="str">
        <f>IFERROR(IF(OR($Q301="",$N301="",$S301=""),"",($Q301-$N301)*IF($G301="Buy",1,-1)*$S301*VLOOKUP($F301,'⚙️ Setelan'!$A$14:$F$20,4,FALSE)),"")</f>
        <v/>
      </c>
      <c r="W301" s="65" t="str">
        <f>IFERROR(IF(OR($S301="",$F301=""),"",$S301*VLOOKUP($F301,'⚙️ Setelan'!$A$14:$F$20,5,FALSE)),"")</f>
        <v/>
      </c>
      <c r="X301" s="65" t="str">
        <f t="shared" si="31"/>
        <v/>
      </c>
      <c r="Y301" s="63" t="str">
        <f t="shared" si="32"/>
        <v/>
      </c>
      <c r="Z301" s="58" t="str">
        <f t="shared" si="33"/>
        <v/>
      </c>
      <c r="AA301" s="66" t="str">
        <f t="shared" si="34"/>
        <v/>
      </c>
      <c r="AB301" s="62"/>
      <c r="AC301" s="62"/>
      <c r="AD301" s="63" t="str">
        <f>IFERROR(IF(OR($AB301="",$T301="",$T301=0),"",ROUND(ABS($N301-$AB301)*$S301*VLOOKUP($F301,'⚙️ Setelan'!$A$14:$F$20,4,FALSE)/$T301,2)),"")</f>
        <v/>
      </c>
      <c r="AE301" s="63" t="str">
        <f>IFERROR(IF(OR($AC301="",$T301="",$T301=0),"",ROUND(ABS($AC301-$N301)*$S301*VLOOKUP($F301,'⚙️ Setelan'!$A$14:$F$20,4,FALSE)/$T301,2)),"")</f>
        <v/>
      </c>
      <c r="AF301" s="61"/>
      <c r="AG301" s="61"/>
      <c r="AH301" s="61"/>
      <c r="AI301" s="61"/>
      <c r="AJ301" s="61"/>
      <c r="AK301" s="67"/>
      <c r="AL301" s="58" t="str">
        <f>IF(OR($C301="",$B301=""),"",IF(AND($Z300="Loss",$B301=$B300,MOD($C301-$D300,1)*1440&lt;'⚙️ Setelan'!$B$9),"⚠️ Revenge",""))</f>
        <v/>
      </c>
      <c r="AM301" s="68"/>
      <c r="AN301" s="58" t="str">
        <f>IF($AM301="","",IFERROR(_xlfn.IMAGE(IF(REGEXMATCH($AM301,"\.(png|jpg|jpeg|gif)$"),$AM301,"https://s3.tradingview.com/snapshots/"&amp;LOWER(MID(REGEXEXTRACT($AM301,"/x/([A-Za-z0-9]+)"),1,1))&amp;"/"&amp;REGEXEXTRACT($AM301,"/x/([A-Za-z0-9]+)")&amp;".png"),1),"⚠️ link tidak dikenali"))</f>
        <v/>
      </c>
      <c r="AO301" s="68"/>
      <c r="AP301" s="58" t="str">
        <f>IF($AO301="","",IFERROR(_xlfn.IMAGE(IF(REGEXMATCH($AO301,"\.(png|jpg|jpeg|gif)$"),$AO301,"https://s3.tradingview.com/snapshots/"&amp;LOWER(MID(REGEXEXTRACT($AO301,"/x/([A-Za-z0-9]+)"),1,1))&amp;"/"&amp;REGEXEXTRACT($AO301,"/x/([A-Za-z0-9]+)")&amp;".png"),1),"⚠️ link tidak dikenali"))</f>
        <v/>
      </c>
      <c r="AQ301" s="66">
        <f>IF($Z301="",0,IF(AND(OR('📊 Dashboard'!$B$4="(Semua)",$F301='📊 Dashboard'!$B$4),OR('📊 Dashboard'!$B$5="(Semua)",$H301='📊 Dashboard'!$B$5),OR('📊 Dashboard'!$B$6="(Semua)",$E301='📊 Dashboard'!$B$6),OR('📊 Dashboard'!$B$7="(Semua)",$AF301='📊 Dashboard'!$B$7),OR('📊 Dashboard'!$B$8="(Semua)",$AG301='📊 Dashboard'!$B$8),OR('📊 Dashboard'!$B$9="(Semua)",$K301='📊 Dashboard'!$B$9)),1,0))</f>
        <v>0</v>
      </c>
      <c r="AR301" s="69"/>
    </row>
    <row r="302" ht="58" customHeight="1" spans="1:44">
      <c r="A302" s="58" t="str">
        <f t="shared" si="28"/>
        <v/>
      </c>
      <c r="B302" s="59"/>
      <c r="C302" s="60"/>
      <c r="D302" s="60"/>
      <c r="E302" s="58" t="str">
        <f t="shared" si="29"/>
        <v/>
      </c>
      <c r="F302" s="61"/>
      <c r="G302" s="61"/>
      <c r="H302" s="61"/>
      <c r="I302" s="61"/>
      <c r="J302" s="61"/>
      <c r="K302" s="61"/>
      <c r="L302" s="61"/>
      <c r="M302" s="61"/>
      <c r="N302" s="62"/>
      <c r="O302" s="62"/>
      <c r="P302" s="62"/>
      <c r="Q302" s="62"/>
      <c r="R302" s="63" t="str">
        <f>IFERROR(IF(OR($N302="",$O302="",$F302=""),"",ROUND(('⚙️ Setelan'!$B$3*'⚙️ Setelan'!$B$4/100)/(ABS($N302-$O302)*VLOOKUP($F302,'⚙️ Setelan'!$A$14:$F$20,4,FALSE)),2)),"")</f>
        <v/>
      </c>
      <c r="S302" s="64"/>
      <c r="T302" s="65" t="str">
        <f>IFERROR(IF(OR($N302="",$O302="",$S302=""),"",ABS($N302-$O302)*$S302*VLOOKUP($F302,'⚙️ Setelan'!$A$14:$F$20,4,FALSE)),"")</f>
        <v/>
      </c>
      <c r="U302" s="63" t="str">
        <f t="shared" si="30"/>
        <v/>
      </c>
      <c r="V302" s="65" t="str">
        <f>IFERROR(IF(OR($Q302="",$N302="",$S302=""),"",($Q302-$N302)*IF($G302="Buy",1,-1)*$S302*VLOOKUP($F302,'⚙️ Setelan'!$A$14:$F$20,4,FALSE)),"")</f>
        <v/>
      </c>
      <c r="W302" s="65" t="str">
        <f>IFERROR(IF(OR($S302="",$F302=""),"",$S302*VLOOKUP($F302,'⚙️ Setelan'!$A$14:$F$20,5,FALSE)),"")</f>
        <v/>
      </c>
      <c r="X302" s="65" t="str">
        <f t="shared" si="31"/>
        <v/>
      </c>
      <c r="Y302" s="63" t="str">
        <f t="shared" si="32"/>
        <v/>
      </c>
      <c r="Z302" s="58" t="str">
        <f t="shared" si="33"/>
        <v/>
      </c>
      <c r="AA302" s="66" t="str">
        <f t="shared" si="34"/>
        <v/>
      </c>
      <c r="AB302" s="62"/>
      <c r="AC302" s="62"/>
      <c r="AD302" s="63" t="str">
        <f>IFERROR(IF(OR($AB302="",$T302="",$T302=0),"",ROUND(ABS($N302-$AB302)*$S302*VLOOKUP($F302,'⚙️ Setelan'!$A$14:$F$20,4,FALSE)/$T302,2)),"")</f>
        <v/>
      </c>
      <c r="AE302" s="63" t="str">
        <f>IFERROR(IF(OR($AC302="",$T302="",$T302=0),"",ROUND(ABS($AC302-$N302)*$S302*VLOOKUP($F302,'⚙️ Setelan'!$A$14:$F$20,4,FALSE)/$T302,2)),"")</f>
        <v/>
      </c>
      <c r="AF302" s="61"/>
      <c r="AG302" s="61"/>
      <c r="AH302" s="61"/>
      <c r="AI302" s="61"/>
      <c r="AJ302" s="61"/>
      <c r="AK302" s="67"/>
      <c r="AL302" s="58" t="str">
        <f>IF(OR($C302="",$B302=""),"",IF(AND($Z301="Loss",$B302=$B301,MOD($C302-$D301,1)*1440&lt;'⚙️ Setelan'!$B$9),"⚠️ Revenge",""))</f>
        <v/>
      </c>
      <c r="AM302" s="68"/>
      <c r="AN302" s="58" t="str">
        <f>IF($AM302="","",IFERROR(_xlfn.IMAGE(IF(REGEXMATCH($AM302,"\.(png|jpg|jpeg|gif)$"),$AM302,"https://s3.tradingview.com/snapshots/"&amp;LOWER(MID(REGEXEXTRACT($AM302,"/x/([A-Za-z0-9]+)"),1,1))&amp;"/"&amp;REGEXEXTRACT($AM302,"/x/([A-Za-z0-9]+)")&amp;".png"),1),"⚠️ link tidak dikenali"))</f>
        <v/>
      </c>
      <c r="AO302" s="68"/>
      <c r="AP302" s="58" t="str">
        <f>IF($AO302="","",IFERROR(_xlfn.IMAGE(IF(REGEXMATCH($AO302,"\.(png|jpg|jpeg|gif)$"),$AO302,"https://s3.tradingview.com/snapshots/"&amp;LOWER(MID(REGEXEXTRACT($AO302,"/x/([A-Za-z0-9]+)"),1,1))&amp;"/"&amp;REGEXEXTRACT($AO302,"/x/([A-Za-z0-9]+)")&amp;".png"),1),"⚠️ link tidak dikenali"))</f>
        <v/>
      </c>
      <c r="AQ302" s="66">
        <f>IF($Z302="",0,IF(AND(OR('📊 Dashboard'!$B$4="(Semua)",$F302='📊 Dashboard'!$B$4),OR('📊 Dashboard'!$B$5="(Semua)",$H302='📊 Dashboard'!$B$5),OR('📊 Dashboard'!$B$6="(Semua)",$E302='📊 Dashboard'!$B$6),OR('📊 Dashboard'!$B$7="(Semua)",$AF302='📊 Dashboard'!$B$7),OR('📊 Dashboard'!$B$8="(Semua)",$AG302='📊 Dashboard'!$B$8),OR('📊 Dashboard'!$B$9="(Semua)",$K302='📊 Dashboard'!$B$9)),1,0))</f>
        <v>0</v>
      </c>
      <c r="AR302" s="69"/>
    </row>
    <row r="303" ht="58" customHeight="1" spans="1:44">
      <c r="A303" s="58" t="str">
        <f t="shared" si="28"/>
        <v/>
      </c>
      <c r="B303" s="59"/>
      <c r="C303" s="60"/>
      <c r="D303" s="60"/>
      <c r="E303" s="58" t="str">
        <f t="shared" si="29"/>
        <v/>
      </c>
      <c r="F303" s="61"/>
      <c r="G303" s="61"/>
      <c r="H303" s="61"/>
      <c r="I303" s="61"/>
      <c r="J303" s="61"/>
      <c r="K303" s="61"/>
      <c r="L303" s="61"/>
      <c r="M303" s="61"/>
      <c r="N303" s="62"/>
      <c r="O303" s="62"/>
      <c r="P303" s="62"/>
      <c r="Q303" s="62"/>
      <c r="R303" s="63" t="str">
        <f>IFERROR(IF(OR($N303="",$O303="",$F303=""),"",ROUND(('⚙️ Setelan'!$B$3*'⚙️ Setelan'!$B$4/100)/(ABS($N303-$O303)*VLOOKUP($F303,'⚙️ Setelan'!$A$14:$F$20,4,FALSE)),2)),"")</f>
        <v/>
      </c>
      <c r="S303" s="64"/>
      <c r="T303" s="65" t="str">
        <f>IFERROR(IF(OR($N303="",$O303="",$S303=""),"",ABS($N303-$O303)*$S303*VLOOKUP($F303,'⚙️ Setelan'!$A$14:$F$20,4,FALSE)),"")</f>
        <v/>
      </c>
      <c r="U303" s="63" t="str">
        <f t="shared" si="30"/>
        <v/>
      </c>
      <c r="V303" s="65" t="str">
        <f>IFERROR(IF(OR($Q303="",$N303="",$S303=""),"",($Q303-$N303)*IF($G303="Buy",1,-1)*$S303*VLOOKUP($F303,'⚙️ Setelan'!$A$14:$F$20,4,FALSE)),"")</f>
        <v/>
      </c>
      <c r="W303" s="65" t="str">
        <f>IFERROR(IF(OR($S303="",$F303=""),"",$S303*VLOOKUP($F303,'⚙️ Setelan'!$A$14:$F$20,5,FALSE)),"")</f>
        <v/>
      </c>
      <c r="X303" s="65" t="str">
        <f t="shared" si="31"/>
        <v/>
      </c>
      <c r="Y303" s="63" t="str">
        <f t="shared" si="32"/>
        <v/>
      </c>
      <c r="Z303" s="58" t="str">
        <f t="shared" si="33"/>
        <v/>
      </c>
      <c r="AA303" s="66" t="str">
        <f t="shared" si="34"/>
        <v/>
      </c>
      <c r="AB303" s="62"/>
      <c r="AC303" s="62"/>
      <c r="AD303" s="63" t="str">
        <f>IFERROR(IF(OR($AB303="",$T303="",$T303=0),"",ROUND(ABS($N303-$AB303)*$S303*VLOOKUP($F303,'⚙️ Setelan'!$A$14:$F$20,4,FALSE)/$T303,2)),"")</f>
        <v/>
      </c>
      <c r="AE303" s="63" t="str">
        <f>IFERROR(IF(OR($AC303="",$T303="",$T303=0),"",ROUND(ABS($AC303-$N303)*$S303*VLOOKUP($F303,'⚙️ Setelan'!$A$14:$F$20,4,FALSE)/$T303,2)),"")</f>
        <v/>
      </c>
      <c r="AF303" s="61"/>
      <c r="AG303" s="61"/>
      <c r="AH303" s="61"/>
      <c r="AI303" s="61"/>
      <c r="AJ303" s="61"/>
      <c r="AK303" s="67"/>
      <c r="AL303" s="58" t="str">
        <f>IF(OR($C303="",$B303=""),"",IF(AND($Z302="Loss",$B303=$B302,MOD($C303-$D302,1)*1440&lt;'⚙️ Setelan'!$B$9),"⚠️ Revenge",""))</f>
        <v/>
      </c>
      <c r="AM303" s="68"/>
      <c r="AN303" s="58" t="str">
        <f>IF($AM303="","",IFERROR(_xlfn.IMAGE(IF(REGEXMATCH($AM303,"\.(png|jpg|jpeg|gif)$"),$AM303,"https://s3.tradingview.com/snapshots/"&amp;LOWER(MID(REGEXEXTRACT($AM303,"/x/([A-Za-z0-9]+)"),1,1))&amp;"/"&amp;REGEXEXTRACT($AM303,"/x/([A-Za-z0-9]+)")&amp;".png"),1),"⚠️ link tidak dikenali"))</f>
        <v/>
      </c>
      <c r="AO303" s="68"/>
      <c r="AP303" s="58" t="str">
        <f>IF($AO303="","",IFERROR(_xlfn.IMAGE(IF(REGEXMATCH($AO303,"\.(png|jpg|jpeg|gif)$"),$AO303,"https://s3.tradingview.com/snapshots/"&amp;LOWER(MID(REGEXEXTRACT($AO303,"/x/([A-Za-z0-9]+)"),1,1))&amp;"/"&amp;REGEXEXTRACT($AO303,"/x/([A-Za-z0-9]+)")&amp;".png"),1),"⚠️ link tidak dikenali"))</f>
        <v/>
      </c>
      <c r="AQ303" s="66">
        <f>IF($Z303="",0,IF(AND(OR('📊 Dashboard'!$B$4="(Semua)",$F303='📊 Dashboard'!$B$4),OR('📊 Dashboard'!$B$5="(Semua)",$H303='📊 Dashboard'!$B$5),OR('📊 Dashboard'!$B$6="(Semua)",$E303='📊 Dashboard'!$B$6),OR('📊 Dashboard'!$B$7="(Semua)",$AF303='📊 Dashboard'!$B$7),OR('📊 Dashboard'!$B$8="(Semua)",$AG303='📊 Dashboard'!$B$8),OR('📊 Dashboard'!$B$9="(Semua)",$K303='📊 Dashboard'!$B$9)),1,0))</f>
        <v>0</v>
      </c>
      <c r="AR303" s="69"/>
    </row>
    <row r="304" ht="58" customHeight="1" spans="1:44">
      <c r="A304" s="58" t="str">
        <f t="shared" si="28"/>
        <v/>
      </c>
      <c r="B304" s="59"/>
      <c r="C304" s="60"/>
      <c r="D304" s="60"/>
      <c r="E304" s="58" t="str">
        <f t="shared" si="29"/>
        <v/>
      </c>
      <c r="F304" s="61"/>
      <c r="G304" s="61"/>
      <c r="H304" s="61"/>
      <c r="I304" s="61"/>
      <c r="J304" s="61"/>
      <c r="K304" s="61"/>
      <c r="L304" s="61"/>
      <c r="M304" s="61"/>
      <c r="N304" s="62"/>
      <c r="O304" s="62"/>
      <c r="P304" s="62"/>
      <c r="Q304" s="62"/>
      <c r="R304" s="63" t="str">
        <f>IFERROR(IF(OR($N304="",$O304="",$F304=""),"",ROUND(('⚙️ Setelan'!$B$3*'⚙️ Setelan'!$B$4/100)/(ABS($N304-$O304)*VLOOKUP($F304,'⚙️ Setelan'!$A$14:$F$20,4,FALSE)),2)),"")</f>
        <v/>
      </c>
      <c r="S304" s="64"/>
      <c r="T304" s="65" t="str">
        <f>IFERROR(IF(OR($N304="",$O304="",$S304=""),"",ABS($N304-$O304)*$S304*VLOOKUP($F304,'⚙️ Setelan'!$A$14:$F$20,4,FALSE)),"")</f>
        <v/>
      </c>
      <c r="U304" s="63" t="str">
        <f t="shared" si="30"/>
        <v/>
      </c>
      <c r="V304" s="65" t="str">
        <f>IFERROR(IF(OR($Q304="",$N304="",$S304=""),"",($Q304-$N304)*IF($G304="Buy",1,-1)*$S304*VLOOKUP($F304,'⚙️ Setelan'!$A$14:$F$20,4,FALSE)),"")</f>
        <v/>
      </c>
      <c r="W304" s="65" t="str">
        <f>IFERROR(IF(OR($S304="",$F304=""),"",$S304*VLOOKUP($F304,'⚙️ Setelan'!$A$14:$F$20,5,FALSE)),"")</f>
        <v/>
      </c>
      <c r="X304" s="65" t="str">
        <f t="shared" si="31"/>
        <v/>
      </c>
      <c r="Y304" s="63" t="str">
        <f t="shared" si="32"/>
        <v/>
      </c>
      <c r="Z304" s="58" t="str">
        <f t="shared" si="33"/>
        <v/>
      </c>
      <c r="AA304" s="66" t="str">
        <f t="shared" si="34"/>
        <v/>
      </c>
      <c r="AB304" s="62"/>
      <c r="AC304" s="62"/>
      <c r="AD304" s="63" t="str">
        <f>IFERROR(IF(OR($AB304="",$T304="",$T304=0),"",ROUND(ABS($N304-$AB304)*$S304*VLOOKUP($F304,'⚙️ Setelan'!$A$14:$F$20,4,FALSE)/$T304,2)),"")</f>
        <v/>
      </c>
      <c r="AE304" s="63" t="str">
        <f>IFERROR(IF(OR($AC304="",$T304="",$T304=0),"",ROUND(ABS($AC304-$N304)*$S304*VLOOKUP($F304,'⚙️ Setelan'!$A$14:$F$20,4,FALSE)/$T304,2)),"")</f>
        <v/>
      </c>
      <c r="AF304" s="61"/>
      <c r="AG304" s="61"/>
      <c r="AH304" s="61"/>
      <c r="AI304" s="61"/>
      <c r="AJ304" s="61"/>
      <c r="AK304" s="67"/>
      <c r="AL304" s="58" t="str">
        <f>IF(OR($C304="",$B304=""),"",IF(AND($Z303="Loss",$B304=$B303,MOD($C304-$D303,1)*1440&lt;'⚙️ Setelan'!$B$9),"⚠️ Revenge",""))</f>
        <v/>
      </c>
      <c r="AM304" s="68"/>
      <c r="AN304" s="58" t="str">
        <f>IF($AM304="","",IFERROR(_xlfn.IMAGE(IF(REGEXMATCH($AM304,"\.(png|jpg|jpeg|gif)$"),$AM304,"https://s3.tradingview.com/snapshots/"&amp;LOWER(MID(REGEXEXTRACT($AM304,"/x/([A-Za-z0-9]+)"),1,1))&amp;"/"&amp;REGEXEXTRACT($AM304,"/x/([A-Za-z0-9]+)")&amp;".png"),1),"⚠️ link tidak dikenali"))</f>
        <v/>
      </c>
      <c r="AO304" s="68"/>
      <c r="AP304" s="58" t="str">
        <f>IF($AO304="","",IFERROR(_xlfn.IMAGE(IF(REGEXMATCH($AO304,"\.(png|jpg|jpeg|gif)$"),$AO304,"https://s3.tradingview.com/snapshots/"&amp;LOWER(MID(REGEXEXTRACT($AO304,"/x/([A-Za-z0-9]+)"),1,1))&amp;"/"&amp;REGEXEXTRACT($AO304,"/x/([A-Za-z0-9]+)")&amp;".png"),1),"⚠️ link tidak dikenali"))</f>
        <v/>
      </c>
      <c r="AQ304" s="66">
        <f>IF($Z304="",0,IF(AND(OR('📊 Dashboard'!$B$4="(Semua)",$F304='📊 Dashboard'!$B$4),OR('📊 Dashboard'!$B$5="(Semua)",$H304='📊 Dashboard'!$B$5),OR('📊 Dashboard'!$B$6="(Semua)",$E304='📊 Dashboard'!$B$6),OR('📊 Dashboard'!$B$7="(Semua)",$AF304='📊 Dashboard'!$B$7),OR('📊 Dashboard'!$B$8="(Semua)",$AG304='📊 Dashboard'!$B$8),OR('📊 Dashboard'!$B$9="(Semua)",$K304='📊 Dashboard'!$B$9)),1,0))</f>
        <v>0</v>
      </c>
      <c r="AR304" s="69"/>
    </row>
    <row r="305" ht="58" customHeight="1" spans="1:44">
      <c r="A305" s="58" t="str">
        <f t="shared" si="28"/>
        <v/>
      </c>
      <c r="B305" s="59"/>
      <c r="C305" s="60"/>
      <c r="D305" s="60"/>
      <c r="E305" s="58" t="str">
        <f t="shared" si="29"/>
        <v/>
      </c>
      <c r="F305" s="61"/>
      <c r="G305" s="61"/>
      <c r="H305" s="61"/>
      <c r="I305" s="61"/>
      <c r="J305" s="61"/>
      <c r="K305" s="61"/>
      <c r="L305" s="61"/>
      <c r="M305" s="61"/>
      <c r="N305" s="62"/>
      <c r="O305" s="62"/>
      <c r="P305" s="62"/>
      <c r="Q305" s="62"/>
      <c r="R305" s="63" t="str">
        <f>IFERROR(IF(OR($N305="",$O305="",$F305=""),"",ROUND(('⚙️ Setelan'!$B$3*'⚙️ Setelan'!$B$4/100)/(ABS($N305-$O305)*VLOOKUP($F305,'⚙️ Setelan'!$A$14:$F$20,4,FALSE)),2)),"")</f>
        <v/>
      </c>
      <c r="S305" s="64"/>
      <c r="T305" s="65" t="str">
        <f>IFERROR(IF(OR($N305="",$O305="",$S305=""),"",ABS($N305-$O305)*$S305*VLOOKUP($F305,'⚙️ Setelan'!$A$14:$F$20,4,FALSE)),"")</f>
        <v/>
      </c>
      <c r="U305" s="63" t="str">
        <f t="shared" si="30"/>
        <v/>
      </c>
      <c r="V305" s="65" t="str">
        <f>IFERROR(IF(OR($Q305="",$N305="",$S305=""),"",($Q305-$N305)*IF($G305="Buy",1,-1)*$S305*VLOOKUP($F305,'⚙️ Setelan'!$A$14:$F$20,4,FALSE)),"")</f>
        <v/>
      </c>
      <c r="W305" s="65" t="str">
        <f>IFERROR(IF(OR($S305="",$F305=""),"",$S305*VLOOKUP($F305,'⚙️ Setelan'!$A$14:$F$20,5,FALSE)),"")</f>
        <v/>
      </c>
      <c r="X305" s="65" t="str">
        <f t="shared" si="31"/>
        <v/>
      </c>
      <c r="Y305" s="63" t="str">
        <f t="shared" si="32"/>
        <v/>
      </c>
      <c r="Z305" s="58" t="str">
        <f t="shared" si="33"/>
        <v/>
      </c>
      <c r="AA305" s="66" t="str">
        <f t="shared" si="34"/>
        <v/>
      </c>
      <c r="AB305" s="62"/>
      <c r="AC305" s="62"/>
      <c r="AD305" s="63" t="str">
        <f>IFERROR(IF(OR($AB305="",$T305="",$T305=0),"",ROUND(ABS($N305-$AB305)*$S305*VLOOKUP($F305,'⚙️ Setelan'!$A$14:$F$20,4,FALSE)/$T305,2)),"")</f>
        <v/>
      </c>
      <c r="AE305" s="63" t="str">
        <f>IFERROR(IF(OR($AC305="",$T305="",$T305=0),"",ROUND(ABS($AC305-$N305)*$S305*VLOOKUP($F305,'⚙️ Setelan'!$A$14:$F$20,4,FALSE)/$T305,2)),"")</f>
        <v/>
      </c>
      <c r="AF305" s="61"/>
      <c r="AG305" s="61"/>
      <c r="AH305" s="61"/>
      <c r="AI305" s="61"/>
      <c r="AJ305" s="61"/>
      <c r="AK305" s="67"/>
      <c r="AL305" s="58" t="str">
        <f>IF(OR($C305="",$B305=""),"",IF(AND($Z304="Loss",$B305=$B304,MOD($C305-$D304,1)*1440&lt;'⚙️ Setelan'!$B$9),"⚠️ Revenge",""))</f>
        <v/>
      </c>
      <c r="AM305" s="68"/>
      <c r="AN305" s="58" t="str">
        <f>IF($AM305="","",IFERROR(_xlfn.IMAGE(IF(REGEXMATCH($AM305,"\.(png|jpg|jpeg|gif)$"),$AM305,"https://s3.tradingview.com/snapshots/"&amp;LOWER(MID(REGEXEXTRACT($AM305,"/x/([A-Za-z0-9]+)"),1,1))&amp;"/"&amp;REGEXEXTRACT($AM305,"/x/([A-Za-z0-9]+)")&amp;".png"),1),"⚠️ link tidak dikenali"))</f>
        <v/>
      </c>
      <c r="AO305" s="68"/>
      <c r="AP305" s="58" t="str">
        <f>IF($AO305="","",IFERROR(_xlfn.IMAGE(IF(REGEXMATCH($AO305,"\.(png|jpg|jpeg|gif)$"),$AO305,"https://s3.tradingview.com/snapshots/"&amp;LOWER(MID(REGEXEXTRACT($AO305,"/x/([A-Za-z0-9]+)"),1,1))&amp;"/"&amp;REGEXEXTRACT($AO305,"/x/([A-Za-z0-9]+)")&amp;".png"),1),"⚠️ link tidak dikenali"))</f>
        <v/>
      </c>
      <c r="AQ305" s="66">
        <f>IF($Z305="",0,IF(AND(OR('📊 Dashboard'!$B$4="(Semua)",$F305='📊 Dashboard'!$B$4),OR('📊 Dashboard'!$B$5="(Semua)",$H305='📊 Dashboard'!$B$5),OR('📊 Dashboard'!$B$6="(Semua)",$E305='📊 Dashboard'!$B$6),OR('📊 Dashboard'!$B$7="(Semua)",$AF305='📊 Dashboard'!$B$7),OR('📊 Dashboard'!$B$8="(Semua)",$AG305='📊 Dashboard'!$B$8),OR('📊 Dashboard'!$B$9="(Semua)",$K305='📊 Dashboard'!$B$9)),1,0))</f>
        <v>0</v>
      </c>
      <c r="AR305" s="69"/>
    </row>
    <row r="306" ht="58" customHeight="1" spans="1:44">
      <c r="A306" s="58" t="str">
        <f t="shared" si="28"/>
        <v/>
      </c>
      <c r="B306" s="59"/>
      <c r="C306" s="60"/>
      <c r="D306" s="60"/>
      <c r="E306" s="58" t="str">
        <f t="shared" si="29"/>
        <v/>
      </c>
      <c r="F306" s="61"/>
      <c r="G306" s="61"/>
      <c r="H306" s="61"/>
      <c r="I306" s="61"/>
      <c r="J306" s="61"/>
      <c r="K306" s="61"/>
      <c r="L306" s="61"/>
      <c r="M306" s="61"/>
      <c r="N306" s="62"/>
      <c r="O306" s="62"/>
      <c r="P306" s="62"/>
      <c r="Q306" s="62"/>
      <c r="R306" s="63" t="str">
        <f>IFERROR(IF(OR($N306="",$O306="",$F306=""),"",ROUND(('⚙️ Setelan'!$B$3*'⚙️ Setelan'!$B$4/100)/(ABS($N306-$O306)*VLOOKUP($F306,'⚙️ Setelan'!$A$14:$F$20,4,FALSE)),2)),"")</f>
        <v/>
      </c>
      <c r="S306" s="64"/>
      <c r="T306" s="65" t="str">
        <f>IFERROR(IF(OR($N306="",$O306="",$S306=""),"",ABS($N306-$O306)*$S306*VLOOKUP($F306,'⚙️ Setelan'!$A$14:$F$20,4,FALSE)),"")</f>
        <v/>
      </c>
      <c r="U306" s="63" t="str">
        <f t="shared" si="30"/>
        <v/>
      </c>
      <c r="V306" s="65" t="str">
        <f>IFERROR(IF(OR($Q306="",$N306="",$S306=""),"",($Q306-$N306)*IF($G306="Buy",1,-1)*$S306*VLOOKUP($F306,'⚙️ Setelan'!$A$14:$F$20,4,FALSE)),"")</f>
        <v/>
      </c>
      <c r="W306" s="65" t="str">
        <f>IFERROR(IF(OR($S306="",$F306=""),"",$S306*VLOOKUP($F306,'⚙️ Setelan'!$A$14:$F$20,5,FALSE)),"")</f>
        <v/>
      </c>
      <c r="X306" s="65" t="str">
        <f t="shared" si="31"/>
        <v/>
      </c>
      <c r="Y306" s="63" t="str">
        <f t="shared" si="32"/>
        <v/>
      </c>
      <c r="Z306" s="58" t="str">
        <f t="shared" si="33"/>
        <v/>
      </c>
      <c r="AA306" s="66" t="str">
        <f t="shared" si="34"/>
        <v/>
      </c>
      <c r="AB306" s="62"/>
      <c r="AC306" s="62"/>
      <c r="AD306" s="63" t="str">
        <f>IFERROR(IF(OR($AB306="",$T306="",$T306=0),"",ROUND(ABS($N306-$AB306)*$S306*VLOOKUP($F306,'⚙️ Setelan'!$A$14:$F$20,4,FALSE)/$T306,2)),"")</f>
        <v/>
      </c>
      <c r="AE306" s="63" t="str">
        <f>IFERROR(IF(OR($AC306="",$T306="",$T306=0),"",ROUND(ABS($AC306-$N306)*$S306*VLOOKUP($F306,'⚙️ Setelan'!$A$14:$F$20,4,FALSE)/$T306,2)),"")</f>
        <v/>
      </c>
      <c r="AF306" s="61"/>
      <c r="AG306" s="61"/>
      <c r="AH306" s="61"/>
      <c r="AI306" s="61"/>
      <c r="AJ306" s="61"/>
      <c r="AK306" s="67"/>
      <c r="AL306" s="58" t="str">
        <f>IF(OR($C306="",$B306=""),"",IF(AND($Z305="Loss",$B306=$B305,MOD($C306-$D305,1)*1440&lt;'⚙️ Setelan'!$B$9),"⚠️ Revenge",""))</f>
        <v/>
      </c>
      <c r="AM306" s="68"/>
      <c r="AN306" s="58" t="str">
        <f>IF($AM306="","",IFERROR(_xlfn.IMAGE(IF(REGEXMATCH($AM306,"\.(png|jpg|jpeg|gif)$"),$AM306,"https://s3.tradingview.com/snapshots/"&amp;LOWER(MID(REGEXEXTRACT($AM306,"/x/([A-Za-z0-9]+)"),1,1))&amp;"/"&amp;REGEXEXTRACT($AM306,"/x/([A-Za-z0-9]+)")&amp;".png"),1),"⚠️ link tidak dikenali"))</f>
        <v/>
      </c>
      <c r="AO306" s="68"/>
      <c r="AP306" s="58" t="str">
        <f>IF($AO306="","",IFERROR(_xlfn.IMAGE(IF(REGEXMATCH($AO306,"\.(png|jpg|jpeg|gif)$"),$AO306,"https://s3.tradingview.com/snapshots/"&amp;LOWER(MID(REGEXEXTRACT($AO306,"/x/([A-Za-z0-9]+)"),1,1))&amp;"/"&amp;REGEXEXTRACT($AO306,"/x/([A-Za-z0-9]+)")&amp;".png"),1),"⚠️ link tidak dikenali"))</f>
        <v/>
      </c>
      <c r="AQ306" s="66">
        <f>IF($Z306="",0,IF(AND(OR('📊 Dashboard'!$B$4="(Semua)",$F306='📊 Dashboard'!$B$4),OR('📊 Dashboard'!$B$5="(Semua)",$H306='📊 Dashboard'!$B$5),OR('📊 Dashboard'!$B$6="(Semua)",$E306='📊 Dashboard'!$B$6),OR('📊 Dashboard'!$B$7="(Semua)",$AF306='📊 Dashboard'!$B$7),OR('📊 Dashboard'!$B$8="(Semua)",$AG306='📊 Dashboard'!$B$8),OR('📊 Dashboard'!$B$9="(Semua)",$K306='📊 Dashboard'!$B$9)),1,0))</f>
        <v>0</v>
      </c>
      <c r="AR306" s="69"/>
    </row>
    <row r="307" ht="58" customHeight="1" spans="1:44">
      <c r="A307" s="58" t="str">
        <f t="shared" si="28"/>
        <v/>
      </c>
      <c r="B307" s="59"/>
      <c r="C307" s="60"/>
      <c r="D307" s="60"/>
      <c r="E307" s="58" t="str">
        <f t="shared" si="29"/>
        <v/>
      </c>
      <c r="F307" s="61"/>
      <c r="G307" s="61"/>
      <c r="H307" s="61"/>
      <c r="I307" s="61"/>
      <c r="J307" s="61"/>
      <c r="K307" s="61"/>
      <c r="L307" s="61"/>
      <c r="M307" s="61"/>
      <c r="N307" s="62"/>
      <c r="O307" s="62"/>
      <c r="P307" s="62"/>
      <c r="Q307" s="62"/>
      <c r="R307" s="63" t="str">
        <f>IFERROR(IF(OR($N307="",$O307="",$F307=""),"",ROUND(('⚙️ Setelan'!$B$3*'⚙️ Setelan'!$B$4/100)/(ABS($N307-$O307)*VLOOKUP($F307,'⚙️ Setelan'!$A$14:$F$20,4,FALSE)),2)),"")</f>
        <v/>
      </c>
      <c r="S307" s="64"/>
      <c r="T307" s="65" t="str">
        <f>IFERROR(IF(OR($N307="",$O307="",$S307=""),"",ABS($N307-$O307)*$S307*VLOOKUP($F307,'⚙️ Setelan'!$A$14:$F$20,4,FALSE)),"")</f>
        <v/>
      </c>
      <c r="U307" s="63" t="str">
        <f t="shared" si="30"/>
        <v/>
      </c>
      <c r="V307" s="65" t="str">
        <f>IFERROR(IF(OR($Q307="",$N307="",$S307=""),"",($Q307-$N307)*IF($G307="Buy",1,-1)*$S307*VLOOKUP($F307,'⚙️ Setelan'!$A$14:$F$20,4,FALSE)),"")</f>
        <v/>
      </c>
      <c r="W307" s="65" t="str">
        <f>IFERROR(IF(OR($S307="",$F307=""),"",$S307*VLOOKUP($F307,'⚙️ Setelan'!$A$14:$F$20,5,FALSE)),"")</f>
        <v/>
      </c>
      <c r="X307" s="65" t="str">
        <f t="shared" si="31"/>
        <v/>
      </c>
      <c r="Y307" s="63" t="str">
        <f t="shared" si="32"/>
        <v/>
      </c>
      <c r="Z307" s="58" t="str">
        <f t="shared" si="33"/>
        <v/>
      </c>
      <c r="AA307" s="66" t="str">
        <f t="shared" si="34"/>
        <v/>
      </c>
      <c r="AB307" s="62"/>
      <c r="AC307" s="62"/>
      <c r="AD307" s="63" t="str">
        <f>IFERROR(IF(OR($AB307="",$T307="",$T307=0),"",ROUND(ABS($N307-$AB307)*$S307*VLOOKUP($F307,'⚙️ Setelan'!$A$14:$F$20,4,FALSE)/$T307,2)),"")</f>
        <v/>
      </c>
      <c r="AE307" s="63" t="str">
        <f>IFERROR(IF(OR($AC307="",$T307="",$T307=0),"",ROUND(ABS($AC307-$N307)*$S307*VLOOKUP($F307,'⚙️ Setelan'!$A$14:$F$20,4,FALSE)/$T307,2)),"")</f>
        <v/>
      </c>
      <c r="AF307" s="61"/>
      <c r="AG307" s="61"/>
      <c r="AH307" s="61"/>
      <c r="AI307" s="61"/>
      <c r="AJ307" s="61"/>
      <c r="AK307" s="67"/>
      <c r="AL307" s="58" t="str">
        <f>IF(OR($C307="",$B307=""),"",IF(AND($Z306="Loss",$B307=$B306,MOD($C307-$D306,1)*1440&lt;'⚙️ Setelan'!$B$9),"⚠️ Revenge",""))</f>
        <v/>
      </c>
      <c r="AM307" s="68"/>
      <c r="AN307" s="58" t="str">
        <f>IF($AM307="","",IFERROR(_xlfn.IMAGE(IF(REGEXMATCH($AM307,"\.(png|jpg|jpeg|gif)$"),$AM307,"https://s3.tradingview.com/snapshots/"&amp;LOWER(MID(REGEXEXTRACT($AM307,"/x/([A-Za-z0-9]+)"),1,1))&amp;"/"&amp;REGEXEXTRACT($AM307,"/x/([A-Za-z0-9]+)")&amp;".png"),1),"⚠️ link tidak dikenali"))</f>
        <v/>
      </c>
      <c r="AO307" s="68"/>
      <c r="AP307" s="58" t="str">
        <f>IF($AO307="","",IFERROR(_xlfn.IMAGE(IF(REGEXMATCH($AO307,"\.(png|jpg|jpeg|gif)$"),$AO307,"https://s3.tradingview.com/snapshots/"&amp;LOWER(MID(REGEXEXTRACT($AO307,"/x/([A-Za-z0-9]+)"),1,1))&amp;"/"&amp;REGEXEXTRACT($AO307,"/x/([A-Za-z0-9]+)")&amp;".png"),1),"⚠️ link tidak dikenali"))</f>
        <v/>
      </c>
      <c r="AQ307" s="66">
        <f>IF($Z307="",0,IF(AND(OR('📊 Dashboard'!$B$4="(Semua)",$F307='📊 Dashboard'!$B$4),OR('📊 Dashboard'!$B$5="(Semua)",$H307='📊 Dashboard'!$B$5),OR('📊 Dashboard'!$B$6="(Semua)",$E307='📊 Dashboard'!$B$6),OR('📊 Dashboard'!$B$7="(Semua)",$AF307='📊 Dashboard'!$B$7),OR('📊 Dashboard'!$B$8="(Semua)",$AG307='📊 Dashboard'!$B$8),OR('📊 Dashboard'!$B$9="(Semua)",$K307='📊 Dashboard'!$B$9)),1,0))</f>
        <v>0</v>
      </c>
      <c r="AR307" s="69"/>
    </row>
    <row r="308" ht="58" customHeight="1" spans="1:44">
      <c r="A308" s="58" t="str">
        <f t="shared" si="28"/>
        <v/>
      </c>
      <c r="B308" s="59"/>
      <c r="C308" s="60"/>
      <c r="D308" s="60"/>
      <c r="E308" s="58" t="str">
        <f t="shared" si="29"/>
        <v/>
      </c>
      <c r="F308" s="61"/>
      <c r="G308" s="61"/>
      <c r="H308" s="61"/>
      <c r="I308" s="61"/>
      <c r="J308" s="61"/>
      <c r="K308" s="61"/>
      <c r="L308" s="61"/>
      <c r="M308" s="61"/>
      <c r="N308" s="62"/>
      <c r="O308" s="62"/>
      <c r="P308" s="62"/>
      <c r="Q308" s="62"/>
      <c r="R308" s="63" t="str">
        <f>IFERROR(IF(OR($N308="",$O308="",$F308=""),"",ROUND(('⚙️ Setelan'!$B$3*'⚙️ Setelan'!$B$4/100)/(ABS($N308-$O308)*VLOOKUP($F308,'⚙️ Setelan'!$A$14:$F$20,4,FALSE)),2)),"")</f>
        <v/>
      </c>
      <c r="S308" s="64"/>
      <c r="T308" s="65" t="str">
        <f>IFERROR(IF(OR($N308="",$O308="",$S308=""),"",ABS($N308-$O308)*$S308*VLOOKUP($F308,'⚙️ Setelan'!$A$14:$F$20,4,FALSE)),"")</f>
        <v/>
      </c>
      <c r="U308" s="63" t="str">
        <f t="shared" si="30"/>
        <v/>
      </c>
      <c r="V308" s="65" t="str">
        <f>IFERROR(IF(OR($Q308="",$N308="",$S308=""),"",($Q308-$N308)*IF($G308="Buy",1,-1)*$S308*VLOOKUP($F308,'⚙️ Setelan'!$A$14:$F$20,4,FALSE)),"")</f>
        <v/>
      </c>
      <c r="W308" s="65" t="str">
        <f>IFERROR(IF(OR($S308="",$F308=""),"",$S308*VLOOKUP($F308,'⚙️ Setelan'!$A$14:$F$20,5,FALSE)),"")</f>
        <v/>
      </c>
      <c r="X308" s="65" t="str">
        <f t="shared" si="31"/>
        <v/>
      </c>
      <c r="Y308" s="63" t="str">
        <f t="shared" si="32"/>
        <v/>
      </c>
      <c r="Z308" s="58" t="str">
        <f t="shared" si="33"/>
        <v/>
      </c>
      <c r="AA308" s="66" t="str">
        <f t="shared" si="34"/>
        <v/>
      </c>
      <c r="AB308" s="62"/>
      <c r="AC308" s="62"/>
      <c r="AD308" s="63" t="str">
        <f>IFERROR(IF(OR($AB308="",$T308="",$T308=0),"",ROUND(ABS($N308-$AB308)*$S308*VLOOKUP($F308,'⚙️ Setelan'!$A$14:$F$20,4,FALSE)/$T308,2)),"")</f>
        <v/>
      </c>
      <c r="AE308" s="63" t="str">
        <f>IFERROR(IF(OR($AC308="",$T308="",$T308=0),"",ROUND(ABS($AC308-$N308)*$S308*VLOOKUP($F308,'⚙️ Setelan'!$A$14:$F$20,4,FALSE)/$T308,2)),"")</f>
        <v/>
      </c>
      <c r="AF308" s="61"/>
      <c r="AG308" s="61"/>
      <c r="AH308" s="61"/>
      <c r="AI308" s="61"/>
      <c r="AJ308" s="61"/>
      <c r="AK308" s="67"/>
      <c r="AL308" s="58" t="str">
        <f>IF(OR($C308="",$B308=""),"",IF(AND($Z307="Loss",$B308=$B307,MOD($C308-$D307,1)*1440&lt;'⚙️ Setelan'!$B$9),"⚠️ Revenge",""))</f>
        <v/>
      </c>
      <c r="AM308" s="68"/>
      <c r="AN308" s="58" t="str">
        <f>IF($AM308="","",IFERROR(_xlfn.IMAGE(IF(REGEXMATCH($AM308,"\.(png|jpg|jpeg|gif)$"),$AM308,"https://s3.tradingview.com/snapshots/"&amp;LOWER(MID(REGEXEXTRACT($AM308,"/x/([A-Za-z0-9]+)"),1,1))&amp;"/"&amp;REGEXEXTRACT($AM308,"/x/([A-Za-z0-9]+)")&amp;".png"),1),"⚠️ link tidak dikenali"))</f>
        <v/>
      </c>
      <c r="AO308" s="68"/>
      <c r="AP308" s="58" t="str">
        <f>IF($AO308="","",IFERROR(_xlfn.IMAGE(IF(REGEXMATCH($AO308,"\.(png|jpg|jpeg|gif)$"),$AO308,"https://s3.tradingview.com/snapshots/"&amp;LOWER(MID(REGEXEXTRACT($AO308,"/x/([A-Za-z0-9]+)"),1,1))&amp;"/"&amp;REGEXEXTRACT($AO308,"/x/([A-Za-z0-9]+)")&amp;".png"),1),"⚠️ link tidak dikenali"))</f>
        <v/>
      </c>
      <c r="AQ308" s="66">
        <f>IF($Z308="",0,IF(AND(OR('📊 Dashboard'!$B$4="(Semua)",$F308='📊 Dashboard'!$B$4),OR('📊 Dashboard'!$B$5="(Semua)",$H308='📊 Dashboard'!$B$5),OR('📊 Dashboard'!$B$6="(Semua)",$E308='📊 Dashboard'!$B$6),OR('📊 Dashboard'!$B$7="(Semua)",$AF308='📊 Dashboard'!$B$7),OR('📊 Dashboard'!$B$8="(Semua)",$AG308='📊 Dashboard'!$B$8),OR('📊 Dashboard'!$B$9="(Semua)",$K308='📊 Dashboard'!$B$9)),1,0))</f>
        <v>0</v>
      </c>
      <c r="AR308" s="69"/>
    </row>
    <row r="309" ht="58" customHeight="1" spans="1:44">
      <c r="A309" s="58" t="str">
        <f t="shared" si="28"/>
        <v/>
      </c>
      <c r="B309" s="59"/>
      <c r="C309" s="60"/>
      <c r="D309" s="60"/>
      <c r="E309" s="58" t="str">
        <f t="shared" si="29"/>
        <v/>
      </c>
      <c r="F309" s="61"/>
      <c r="G309" s="61"/>
      <c r="H309" s="61"/>
      <c r="I309" s="61"/>
      <c r="J309" s="61"/>
      <c r="K309" s="61"/>
      <c r="L309" s="61"/>
      <c r="M309" s="61"/>
      <c r="N309" s="62"/>
      <c r="O309" s="62"/>
      <c r="P309" s="62"/>
      <c r="Q309" s="62"/>
      <c r="R309" s="63" t="str">
        <f>IFERROR(IF(OR($N309="",$O309="",$F309=""),"",ROUND(('⚙️ Setelan'!$B$3*'⚙️ Setelan'!$B$4/100)/(ABS($N309-$O309)*VLOOKUP($F309,'⚙️ Setelan'!$A$14:$F$20,4,FALSE)),2)),"")</f>
        <v/>
      </c>
      <c r="S309" s="64"/>
      <c r="T309" s="65" t="str">
        <f>IFERROR(IF(OR($N309="",$O309="",$S309=""),"",ABS($N309-$O309)*$S309*VLOOKUP($F309,'⚙️ Setelan'!$A$14:$F$20,4,FALSE)),"")</f>
        <v/>
      </c>
      <c r="U309" s="63" t="str">
        <f t="shared" si="30"/>
        <v/>
      </c>
      <c r="V309" s="65" t="str">
        <f>IFERROR(IF(OR($Q309="",$N309="",$S309=""),"",($Q309-$N309)*IF($G309="Buy",1,-1)*$S309*VLOOKUP($F309,'⚙️ Setelan'!$A$14:$F$20,4,FALSE)),"")</f>
        <v/>
      </c>
      <c r="W309" s="65" t="str">
        <f>IFERROR(IF(OR($S309="",$F309=""),"",$S309*VLOOKUP($F309,'⚙️ Setelan'!$A$14:$F$20,5,FALSE)),"")</f>
        <v/>
      </c>
      <c r="X309" s="65" t="str">
        <f t="shared" si="31"/>
        <v/>
      </c>
      <c r="Y309" s="63" t="str">
        <f t="shared" si="32"/>
        <v/>
      </c>
      <c r="Z309" s="58" t="str">
        <f t="shared" si="33"/>
        <v/>
      </c>
      <c r="AA309" s="66" t="str">
        <f t="shared" si="34"/>
        <v/>
      </c>
      <c r="AB309" s="62"/>
      <c r="AC309" s="62"/>
      <c r="AD309" s="63" t="str">
        <f>IFERROR(IF(OR($AB309="",$T309="",$T309=0),"",ROUND(ABS($N309-$AB309)*$S309*VLOOKUP($F309,'⚙️ Setelan'!$A$14:$F$20,4,FALSE)/$T309,2)),"")</f>
        <v/>
      </c>
      <c r="AE309" s="63" t="str">
        <f>IFERROR(IF(OR($AC309="",$T309="",$T309=0),"",ROUND(ABS($AC309-$N309)*$S309*VLOOKUP($F309,'⚙️ Setelan'!$A$14:$F$20,4,FALSE)/$T309,2)),"")</f>
        <v/>
      </c>
      <c r="AF309" s="61"/>
      <c r="AG309" s="61"/>
      <c r="AH309" s="61"/>
      <c r="AI309" s="61"/>
      <c r="AJ309" s="61"/>
      <c r="AK309" s="67"/>
      <c r="AL309" s="58" t="str">
        <f>IF(OR($C309="",$B309=""),"",IF(AND($Z308="Loss",$B309=$B308,MOD($C309-$D308,1)*1440&lt;'⚙️ Setelan'!$B$9),"⚠️ Revenge",""))</f>
        <v/>
      </c>
      <c r="AM309" s="68"/>
      <c r="AN309" s="58" t="str">
        <f>IF($AM309="","",IFERROR(_xlfn.IMAGE(IF(REGEXMATCH($AM309,"\.(png|jpg|jpeg|gif)$"),$AM309,"https://s3.tradingview.com/snapshots/"&amp;LOWER(MID(REGEXEXTRACT($AM309,"/x/([A-Za-z0-9]+)"),1,1))&amp;"/"&amp;REGEXEXTRACT($AM309,"/x/([A-Za-z0-9]+)")&amp;".png"),1),"⚠️ link tidak dikenali"))</f>
        <v/>
      </c>
      <c r="AO309" s="68"/>
      <c r="AP309" s="58" t="str">
        <f>IF($AO309="","",IFERROR(_xlfn.IMAGE(IF(REGEXMATCH($AO309,"\.(png|jpg|jpeg|gif)$"),$AO309,"https://s3.tradingview.com/snapshots/"&amp;LOWER(MID(REGEXEXTRACT($AO309,"/x/([A-Za-z0-9]+)"),1,1))&amp;"/"&amp;REGEXEXTRACT($AO309,"/x/([A-Za-z0-9]+)")&amp;".png"),1),"⚠️ link tidak dikenali"))</f>
        <v/>
      </c>
      <c r="AQ309" s="66">
        <f>IF($Z309="",0,IF(AND(OR('📊 Dashboard'!$B$4="(Semua)",$F309='📊 Dashboard'!$B$4),OR('📊 Dashboard'!$B$5="(Semua)",$H309='📊 Dashboard'!$B$5),OR('📊 Dashboard'!$B$6="(Semua)",$E309='📊 Dashboard'!$B$6),OR('📊 Dashboard'!$B$7="(Semua)",$AF309='📊 Dashboard'!$B$7),OR('📊 Dashboard'!$B$8="(Semua)",$AG309='📊 Dashboard'!$B$8),OR('📊 Dashboard'!$B$9="(Semua)",$K309='📊 Dashboard'!$B$9)),1,0))</f>
        <v>0</v>
      </c>
      <c r="AR309" s="69"/>
    </row>
    <row r="310" ht="58" customHeight="1" spans="1:44">
      <c r="A310" s="58" t="str">
        <f t="shared" si="28"/>
        <v/>
      </c>
      <c r="B310" s="59"/>
      <c r="C310" s="60"/>
      <c r="D310" s="60"/>
      <c r="E310" s="58" t="str">
        <f t="shared" si="29"/>
        <v/>
      </c>
      <c r="F310" s="61"/>
      <c r="G310" s="61"/>
      <c r="H310" s="61"/>
      <c r="I310" s="61"/>
      <c r="J310" s="61"/>
      <c r="K310" s="61"/>
      <c r="L310" s="61"/>
      <c r="M310" s="61"/>
      <c r="N310" s="62"/>
      <c r="O310" s="62"/>
      <c r="P310" s="62"/>
      <c r="Q310" s="62"/>
      <c r="R310" s="63" t="str">
        <f>IFERROR(IF(OR($N310="",$O310="",$F310=""),"",ROUND(('⚙️ Setelan'!$B$3*'⚙️ Setelan'!$B$4/100)/(ABS($N310-$O310)*VLOOKUP($F310,'⚙️ Setelan'!$A$14:$F$20,4,FALSE)),2)),"")</f>
        <v/>
      </c>
      <c r="S310" s="64"/>
      <c r="T310" s="65" t="str">
        <f>IFERROR(IF(OR($N310="",$O310="",$S310=""),"",ABS($N310-$O310)*$S310*VLOOKUP($F310,'⚙️ Setelan'!$A$14:$F$20,4,FALSE)),"")</f>
        <v/>
      </c>
      <c r="U310" s="63" t="str">
        <f t="shared" si="30"/>
        <v/>
      </c>
      <c r="V310" s="65" t="str">
        <f>IFERROR(IF(OR($Q310="",$N310="",$S310=""),"",($Q310-$N310)*IF($G310="Buy",1,-1)*$S310*VLOOKUP($F310,'⚙️ Setelan'!$A$14:$F$20,4,FALSE)),"")</f>
        <v/>
      </c>
      <c r="W310" s="65" t="str">
        <f>IFERROR(IF(OR($S310="",$F310=""),"",$S310*VLOOKUP($F310,'⚙️ Setelan'!$A$14:$F$20,5,FALSE)),"")</f>
        <v/>
      </c>
      <c r="X310" s="65" t="str">
        <f t="shared" si="31"/>
        <v/>
      </c>
      <c r="Y310" s="63" t="str">
        <f t="shared" si="32"/>
        <v/>
      </c>
      <c r="Z310" s="58" t="str">
        <f t="shared" si="33"/>
        <v/>
      </c>
      <c r="AA310" s="66" t="str">
        <f t="shared" si="34"/>
        <v/>
      </c>
      <c r="AB310" s="62"/>
      <c r="AC310" s="62"/>
      <c r="AD310" s="63" t="str">
        <f>IFERROR(IF(OR($AB310="",$T310="",$T310=0),"",ROUND(ABS($N310-$AB310)*$S310*VLOOKUP($F310,'⚙️ Setelan'!$A$14:$F$20,4,FALSE)/$T310,2)),"")</f>
        <v/>
      </c>
      <c r="AE310" s="63" t="str">
        <f>IFERROR(IF(OR($AC310="",$T310="",$T310=0),"",ROUND(ABS($AC310-$N310)*$S310*VLOOKUP($F310,'⚙️ Setelan'!$A$14:$F$20,4,FALSE)/$T310,2)),"")</f>
        <v/>
      </c>
      <c r="AF310" s="61"/>
      <c r="AG310" s="61"/>
      <c r="AH310" s="61"/>
      <c r="AI310" s="61"/>
      <c r="AJ310" s="61"/>
      <c r="AK310" s="67"/>
      <c r="AL310" s="58" t="str">
        <f>IF(OR($C310="",$B310=""),"",IF(AND($Z309="Loss",$B310=$B309,MOD($C310-$D309,1)*1440&lt;'⚙️ Setelan'!$B$9),"⚠️ Revenge",""))</f>
        <v/>
      </c>
      <c r="AM310" s="68"/>
      <c r="AN310" s="58" t="str">
        <f>IF($AM310="","",IFERROR(_xlfn.IMAGE(IF(REGEXMATCH($AM310,"\.(png|jpg|jpeg|gif)$"),$AM310,"https://s3.tradingview.com/snapshots/"&amp;LOWER(MID(REGEXEXTRACT($AM310,"/x/([A-Za-z0-9]+)"),1,1))&amp;"/"&amp;REGEXEXTRACT($AM310,"/x/([A-Za-z0-9]+)")&amp;".png"),1),"⚠️ link tidak dikenali"))</f>
        <v/>
      </c>
      <c r="AO310" s="68"/>
      <c r="AP310" s="58" t="str">
        <f>IF($AO310="","",IFERROR(_xlfn.IMAGE(IF(REGEXMATCH($AO310,"\.(png|jpg|jpeg|gif)$"),$AO310,"https://s3.tradingview.com/snapshots/"&amp;LOWER(MID(REGEXEXTRACT($AO310,"/x/([A-Za-z0-9]+)"),1,1))&amp;"/"&amp;REGEXEXTRACT($AO310,"/x/([A-Za-z0-9]+)")&amp;".png"),1),"⚠️ link tidak dikenali"))</f>
        <v/>
      </c>
      <c r="AQ310" s="66">
        <f>IF($Z310="",0,IF(AND(OR('📊 Dashboard'!$B$4="(Semua)",$F310='📊 Dashboard'!$B$4),OR('📊 Dashboard'!$B$5="(Semua)",$H310='📊 Dashboard'!$B$5),OR('📊 Dashboard'!$B$6="(Semua)",$E310='📊 Dashboard'!$B$6),OR('📊 Dashboard'!$B$7="(Semua)",$AF310='📊 Dashboard'!$B$7),OR('📊 Dashboard'!$B$8="(Semua)",$AG310='📊 Dashboard'!$B$8),OR('📊 Dashboard'!$B$9="(Semua)",$K310='📊 Dashboard'!$B$9)),1,0))</f>
        <v>0</v>
      </c>
      <c r="AR310" s="69"/>
    </row>
    <row r="311" ht="58" customHeight="1" spans="1:44">
      <c r="A311" s="58" t="str">
        <f t="shared" si="28"/>
        <v/>
      </c>
      <c r="B311" s="59"/>
      <c r="C311" s="60"/>
      <c r="D311" s="60"/>
      <c r="E311" s="58" t="str">
        <f t="shared" si="29"/>
        <v/>
      </c>
      <c r="F311" s="61"/>
      <c r="G311" s="61"/>
      <c r="H311" s="61"/>
      <c r="I311" s="61"/>
      <c r="J311" s="61"/>
      <c r="K311" s="61"/>
      <c r="L311" s="61"/>
      <c r="M311" s="61"/>
      <c r="N311" s="62"/>
      <c r="O311" s="62"/>
      <c r="P311" s="62"/>
      <c r="Q311" s="62"/>
      <c r="R311" s="63" t="str">
        <f>IFERROR(IF(OR($N311="",$O311="",$F311=""),"",ROUND(('⚙️ Setelan'!$B$3*'⚙️ Setelan'!$B$4/100)/(ABS($N311-$O311)*VLOOKUP($F311,'⚙️ Setelan'!$A$14:$F$20,4,FALSE)),2)),"")</f>
        <v/>
      </c>
      <c r="S311" s="64"/>
      <c r="T311" s="65" t="str">
        <f>IFERROR(IF(OR($N311="",$O311="",$S311=""),"",ABS($N311-$O311)*$S311*VLOOKUP($F311,'⚙️ Setelan'!$A$14:$F$20,4,FALSE)),"")</f>
        <v/>
      </c>
      <c r="U311" s="63" t="str">
        <f t="shared" si="30"/>
        <v/>
      </c>
      <c r="V311" s="65" t="str">
        <f>IFERROR(IF(OR($Q311="",$N311="",$S311=""),"",($Q311-$N311)*IF($G311="Buy",1,-1)*$S311*VLOOKUP($F311,'⚙️ Setelan'!$A$14:$F$20,4,FALSE)),"")</f>
        <v/>
      </c>
      <c r="W311" s="65" t="str">
        <f>IFERROR(IF(OR($S311="",$F311=""),"",$S311*VLOOKUP($F311,'⚙️ Setelan'!$A$14:$F$20,5,FALSE)),"")</f>
        <v/>
      </c>
      <c r="X311" s="65" t="str">
        <f t="shared" si="31"/>
        <v/>
      </c>
      <c r="Y311" s="63" t="str">
        <f t="shared" si="32"/>
        <v/>
      </c>
      <c r="Z311" s="58" t="str">
        <f t="shared" si="33"/>
        <v/>
      </c>
      <c r="AA311" s="66" t="str">
        <f t="shared" si="34"/>
        <v/>
      </c>
      <c r="AB311" s="62"/>
      <c r="AC311" s="62"/>
      <c r="AD311" s="63" t="str">
        <f>IFERROR(IF(OR($AB311="",$T311="",$T311=0),"",ROUND(ABS($N311-$AB311)*$S311*VLOOKUP($F311,'⚙️ Setelan'!$A$14:$F$20,4,FALSE)/$T311,2)),"")</f>
        <v/>
      </c>
      <c r="AE311" s="63" t="str">
        <f>IFERROR(IF(OR($AC311="",$T311="",$T311=0),"",ROUND(ABS($AC311-$N311)*$S311*VLOOKUP($F311,'⚙️ Setelan'!$A$14:$F$20,4,FALSE)/$T311,2)),"")</f>
        <v/>
      </c>
      <c r="AF311" s="61"/>
      <c r="AG311" s="61"/>
      <c r="AH311" s="61"/>
      <c r="AI311" s="61"/>
      <c r="AJ311" s="61"/>
      <c r="AK311" s="67"/>
      <c r="AL311" s="58" t="str">
        <f>IF(OR($C311="",$B311=""),"",IF(AND($Z310="Loss",$B311=$B310,MOD($C311-$D310,1)*1440&lt;'⚙️ Setelan'!$B$9),"⚠️ Revenge",""))</f>
        <v/>
      </c>
      <c r="AM311" s="68"/>
      <c r="AN311" s="58" t="str">
        <f>IF($AM311="","",IFERROR(_xlfn.IMAGE(IF(REGEXMATCH($AM311,"\.(png|jpg|jpeg|gif)$"),$AM311,"https://s3.tradingview.com/snapshots/"&amp;LOWER(MID(REGEXEXTRACT($AM311,"/x/([A-Za-z0-9]+)"),1,1))&amp;"/"&amp;REGEXEXTRACT($AM311,"/x/([A-Za-z0-9]+)")&amp;".png"),1),"⚠️ link tidak dikenali"))</f>
        <v/>
      </c>
      <c r="AO311" s="68"/>
      <c r="AP311" s="58" t="str">
        <f>IF($AO311="","",IFERROR(_xlfn.IMAGE(IF(REGEXMATCH($AO311,"\.(png|jpg|jpeg|gif)$"),$AO311,"https://s3.tradingview.com/snapshots/"&amp;LOWER(MID(REGEXEXTRACT($AO311,"/x/([A-Za-z0-9]+)"),1,1))&amp;"/"&amp;REGEXEXTRACT($AO311,"/x/([A-Za-z0-9]+)")&amp;".png"),1),"⚠️ link tidak dikenali"))</f>
        <v/>
      </c>
      <c r="AQ311" s="66">
        <f>IF($Z311="",0,IF(AND(OR('📊 Dashboard'!$B$4="(Semua)",$F311='📊 Dashboard'!$B$4),OR('📊 Dashboard'!$B$5="(Semua)",$H311='📊 Dashboard'!$B$5),OR('📊 Dashboard'!$B$6="(Semua)",$E311='📊 Dashboard'!$B$6),OR('📊 Dashboard'!$B$7="(Semua)",$AF311='📊 Dashboard'!$B$7),OR('📊 Dashboard'!$B$8="(Semua)",$AG311='📊 Dashboard'!$B$8),OR('📊 Dashboard'!$B$9="(Semua)",$K311='📊 Dashboard'!$B$9)),1,0))</f>
        <v>0</v>
      </c>
      <c r="AR311" s="69"/>
    </row>
    <row r="312" ht="58" customHeight="1" spans="1:44">
      <c r="A312" s="58" t="str">
        <f t="shared" si="28"/>
        <v/>
      </c>
      <c r="B312" s="59"/>
      <c r="C312" s="60"/>
      <c r="D312" s="60"/>
      <c r="E312" s="58" t="str">
        <f t="shared" si="29"/>
        <v/>
      </c>
      <c r="F312" s="61"/>
      <c r="G312" s="61"/>
      <c r="H312" s="61"/>
      <c r="I312" s="61"/>
      <c r="J312" s="61"/>
      <c r="K312" s="61"/>
      <c r="L312" s="61"/>
      <c r="M312" s="61"/>
      <c r="N312" s="62"/>
      <c r="O312" s="62"/>
      <c r="P312" s="62"/>
      <c r="Q312" s="62"/>
      <c r="R312" s="63" t="str">
        <f>IFERROR(IF(OR($N312="",$O312="",$F312=""),"",ROUND(('⚙️ Setelan'!$B$3*'⚙️ Setelan'!$B$4/100)/(ABS($N312-$O312)*VLOOKUP($F312,'⚙️ Setelan'!$A$14:$F$20,4,FALSE)),2)),"")</f>
        <v/>
      </c>
      <c r="S312" s="64"/>
      <c r="T312" s="65" t="str">
        <f>IFERROR(IF(OR($N312="",$O312="",$S312=""),"",ABS($N312-$O312)*$S312*VLOOKUP($F312,'⚙️ Setelan'!$A$14:$F$20,4,FALSE)),"")</f>
        <v/>
      </c>
      <c r="U312" s="63" t="str">
        <f t="shared" si="30"/>
        <v/>
      </c>
      <c r="V312" s="65" t="str">
        <f>IFERROR(IF(OR($Q312="",$N312="",$S312=""),"",($Q312-$N312)*IF($G312="Buy",1,-1)*$S312*VLOOKUP($F312,'⚙️ Setelan'!$A$14:$F$20,4,FALSE)),"")</f>
        <v/>
      </c>
      <c r="W312" s="65" t="str">
        <f>IFERROR(IF(OR($S312="",$F312=""),"",$S312*VLOOKUP($F312,'⚙️ Setelan'!$A$14:$F$20,5,FALSE)),"")</f>
        <v/>
      </c>
      <c r="X312" s="65" t="str">
        <f t="shared" si="31"/>
        <v/>
      </c>
      <c r="Y312" s="63" t="str">
        <f t="shared" si="32"/>
        <v/>
      </c>
      <c r="Z312" s="58" t="str">
        <f t="shared" si="33"/>
        <v/>
      </c>
      <c r="AA312" s="66" t="str">
        <f t="shared" si="34"/>
        <v/>
      </c>
      <c r="AB312" s="62"/>
      <c r="AC312" s="62"/>
      <c r="AD312" s="63" t="str">
        <f>IFERROR(IF(OR($AB312="",$T312="",$T312=0),"",ROUND(ABS($N312-$AB312)*$S312*VLOOKUP($F312,'⚙️ Setelan'!$A$14:$F$20,4,FALSE)/$T312,2)),"")</f>
        <v/>
      </c>
      <c r="AE312" s="63" t="str">
        <f>IFERROR(IF(OR($AC312="",$T312="",$T312=0),"",ROUND(ABS($AC312-$N312)*$S312*VLOOKUP($F312,'⚙️ Setelan'!$A$14:$F$20,4,FALSE)/$T312,2)),"")</f>
        <v/>
      </c>
      <c r="AF312" s="61"/>
      <c r="AG312" s="61"/>
      <c r="AH312" s="61"/>
      <c r="AI312" s="61"/>
      <c r="AJ312" s="61"/>
      <c r="AK312" s="67"/>
      <c r="AL312" s="58" t="str">
        <f>IF(OR($C312="",$B312=""),"",IF(AND($Z311="Loss",$B312=$B311,MOD($C312-$D311,1)*1440&lt;'⚙️ Setelan'!$B$9),"⚠️ Revenge",""))</f>
        <v/>
      </c>
      <c r="AM312" s="68"/>
      <c r="AN312" s="58" t="str">
        <f>IF($AM312="","",IFERROR(_xlfn.IMAGE(IF(REGEXMATCH($AM312,"\.(png|jpg|jpeg|gif)$"),$AM312,"https://s3.tradingview.com/snapshots/"&amp;LOWER(MID(REGEXEXTRACT($AM312,"/x/([A-Za-z0-9]+)"),1,1))&amp;"/"&amp;REGEXEXTRACT($AM312,"/x/([A-Za-z0-9]+)")&amp;".png"),1),"⚠️ link tidak dikenali"))</f>
        <v/>
      </c>
      <c r="AO312" s="68"/>
      <c r="AP312" s="58" t="str">
        <f>IF($AO312="","",IFERROR(_xlfn.IMAGE(IF(REGEXMATCH($AO312,"\.(png|jpg|jpeg|gif)$"),$AO312,"https://s3.tradingview.com/snapshots/"&amp;LOWER(MID(REGEXEXTRACT($AO312,"/x/([A-Za-z0-9]+)"),1,1))&amp;"/"&amp;REGEXEXTRACT($AO312,"/x/([A-Za-z0-9]+)")&amp;".png"),1),"⚠️ link tidak dikenali"))</f>
        <v/>
      </c>
      <c r="AQ312" s="66">
        <f>IF($Z312="",0,IF(AND(OR('📊 Dashboard'!$B$4="(Semua)",$F312='📊 Dashboard'!$B$4),OR('📊 Dashboard'!$B$5="(Semua)",$H312='📊 Dashboard'!$B$5),OR('📊 Dashboard'!$B$6="(Semua)",$E312='📊 Dashboard'!$B$6),OR('📊 Dashboard'!$B$7="(Semua)",$AF312='📊 Dashboard'!$B$7),OR('📊 Dashboard'!$B$8="(Semua)",$AG312='📊 Dashboard'!$B$8),OR('📊 Dashboard'!$B$9="(Semua)",$K312='📊 Dashboard'!$B$9)),1,0))</f>
        <v>0</v>
      </c>
      <c r="AR312" s="69"/>
    </row>
    <row r="313" ht="58" customHeight="1" spans="1:44">
      <c r="A313" s="58" t="str">
        <f t="shared" si="28"/>
        <v/>
      </c>
      <c r="B313" s="59"/>
      <c r="C313" s="60"/>
      <c r="D313" s="60"/>
      <c r="E313" s="58" t="str">
        <f t="shared" si="29"/>
        <v/>
      </c>
      <c r="F313" s="61"/>
      <c r="G313" s="61"/>
      <c r="H313" s="61"/>
      <c r="I313" s="61"/>
      <c r="J313" s="61"/>
      <c r="K313" s="61"/>
      <c r="L313" s="61"/>
      <c r="M313" s="61"/>
      <c r="N313" s="62"/>
      <c r="O313" s="62"/>
      <c r="P313" s="62"/>
      <c r="Q313" s="62"/>
      <c r="R313" s="63" t="str">
        <f>IFERROR(IF(OR($N313="",$O313="",$F313=""),"",ROUND(('⚙️ Setelan'!$B$3*'⚙️ Setelan'!$B$4/100)/(ABS($N313-$O313)*VLOOKUP($F313,'⚙️ Setelan'!$A$14:$F$20,4,FALSE)),2)),"")</f>
        <v/>
      </c>
      <c r="S313" s="64"/>
      <c r="T313" s="65" t="str">
        <f>IFERROR(IF(OR($N313="",$O313="",$S313=""),"",ABS($N313-$O313)*$S313*VLOOKUP($F313,'⚙️ Setelan'!$A$14:$F$20,4,FALSE)),"")</f>
        <v/>
      </c>
      <c r="U313" s="63" t="str">
        <f t="shared" si="30"/>
        <v/>
      </c>
      <c r="V313" s="65" t="str">
        <f>IFERROR(IF(OR($Q313="",$N313="",$S313=""),"",($Q313-$N313)*IF($G313="Buy",1,-1)*$S313*VLOOKUP($F313,'⚙️ Setelan'!$A$14:$F$20,4,FALSE)),"")</f>
        <v/>
      </c>
      <c r="W313" s="65" t="str">
        <f>IFERROR(IF(OR($S313="",$F313=""),"",$S313*VLOOKUP($F313,'⚙️ Setelan'!$A$14:$F$20,5,FALSE)),"")</f>
        <v/>
      </c>
      <c r="X313" s="65" t="str">
        <f t="shared" si="31"/>
        <v/>
      </c>
      <c r="Y313" s="63" t="str">
        <f t="shared" si="32"/>
        <v/>
      </c>
      <c r="Z313" s="58" t="str">
        <f t="shared" si="33"/>
        <v/>
      </c>
      <c r="AA313" s="66" t="str">
        <f t="shared" si="34"/>
        <v/>
      </c>
      <c r="AB313" s="62"/>
      <c r="AC313" s="62"/>
      <c r="AD313" s="63" t="str">
        <f>IFERROR(IF(OR($AB313="",$T313="",$T313=0),"",ROUND(ABS($N313-$AB313)*$S313*VLOOKUP($F313,'⚙️ Setelan'!$A$14:$F$20,4,FALSE)/$T313,2)),"")</f>
        <v/>
      </c>
      <c r="AE313" s="63" t="str">
        <f>IFERROR(IF(OR($AC313="",$T313="",$T313=0),"",ROUND(ABS($AC313-$N313)*$S313*VLOOKUP($F313,'⚙️ Setelan'!$A$14:$F$20,4,FALSE)/$T313,2)),"")</f>
        <v/>
      </c>
      <c r="AF313" s="61"/>
      <c r="AG313" s="61"/>
      <c r="AH313" s="61"/>
      <c r="AI313" s="61"/>
      <c r="AJ313" s="61"/>
      <c r="AK313" s="67"/>
      <c r="AL313" s="58" t="str">
        <f>IF(OR($C313="",$B313=""),"",IF(AND($Z312="Loss",$B313=$B312,MOD($C313-$D312,1)*1440&lt;'⚙️ Setelan'!$B$9),"⚠️ Revenge",""))</f>
        <v/>
      </c>
      <c r="AM313" s="68"/>
      <c r="AN313" s="58" t="str">
        <f>IF($AM313="","",IFERROR(_xlfn.IMAGE(IF(REGEXMATCH($AM313,"\.(png|jpg|jpeg|gif)$"),$AM313,"https://s3.tradingview.com/snapshots/"&amp;LOWER(MID(REGEXEXTRACT($AM313,"/x/([A-Za-z0-9]+)"),1,1))&amp;"/"&amp;REGEXEXTRACT($AM313,"/x/([A-Za-z0-9]+)")&amp;".png"),1),"⚠️ link tidak dikenali"))</f>
        <v/>
      </c>
      <c r="AO313" s="68"/>
      <c r="AP313" s="58" t="str">
        <f>IF($AO313="","",IFERROR(_xlfn.IMAGE(IF(REGEXMATCH($AO313,"\.(png|jpg|jpeg|gif)$"),$AO313,"https://s3.tradingview.com/snapshots/"&amp;LOWER(MID(REGEXEXTRACT($AO313,"/x/([A-Za-z0-9]+)"),1,1))&amp;"/"&amp;REGEXEXTRACT($AO313,"/x/([A-Za-z0-9]+)")&amp;".png"),1),"⚠️ link tidak dikenali"))</f>
        <v/>
      </c>
      <c r="AQ313" s="66">
        <f>IF($Z313="",0,IF(AND(OR('📊 Dashboard'!$B$4="(Semua)",$F313='📊 Dashboard'!$B$4),OR('📊 Dashboard'!$B$5="(Semua)",$H313='📊 Dashboard'!$B$5),OR('📊 Dashboard'!$B$6="(Semua)",$E313='📊 Dashboard'!$B$6),OR('📊 Dashboard'!$B$7="(Semua)",$AF313='📊 Dashboard'!$B$7),OR('📊 Dashboard'!$B$8="(Semua)",$AG313='📊 Dashboard'!$B$8),OR('📊 Dashboard'!$B$9="(Semua)",$K313='📊 Dashboard'!$B$9)),1,0))</f>
        <v>0</v>
      </c>
      <c r="AR313" s="69"/>
    </row>
    <row r="314" ht="58" customHeight="1" spans="1:44">
      <c r="A314" s="58" t="str">
        <f t="shared" si="28"/>
        <v/>
      </c>
      <c r="B314" s="59"/>
      <c r="C314" s="60"/>
      <c r="D314" s="60"/>
      <c r="E314" s="58" t="str">
        <f t="shared" si="29"/>
        <v/>
      </c>
      <c r="F314" s="61"/>
      <c r="G314" s="61"/>
      <c r="H314" s="61"/>
      <c r="I314" s="61"/>
      <c r="J314" s="61"/>
      <c r="K314" s="61"/>
      <c r="L314" s="61"/>
      <c r="M314" s="61"/>
      <c r="N314" s="62"/>
      <c r="O314" s="62"/>
      <c r="P314" s="62"/>
      <c r="Q314" s="62"/>
      <c r="R314" s="63" t="str">
        <f>IFERROR(IF(OR($N314="",$O314="",$F314=""),"",ROUND(('⚙️ Setelan'!$B$3*'⚙️ Setelan'!$B$4/100)/(ABS($N314-$O314)*VLOOKUP($F314,'⚙️ Setelan'!$A$14:$F$20,4,FALSE)),2)),"")</f>
        <v/>
      </c>
      <c r="S314" s="64"/>
      <c r="T314" s="65" t="str">
        <f>IFERROR(IF(OR($N314="",$O314="",$S314=""),"",ABS($N314-$O314)*$S314*VLOOKUP($F314,'⚙️ Setelan'!$A$14:$F$20,4,FALSE)),"")</f>
        <v/>
      </c>
      <c r="U314" s="63" t="str">
        <f t="shared" si="30"/>
        <v/>
      </c>
      <c r="V314" s="65" t="str">
        <f>IFERROR(IF(OR($Q314="",$N314="",$S314=""),"",($Q314-$N314)*IF($G314="Buy",1,-1)*$S314*VLOOKUP($F314,'⚙️ Setelan'!$A$14:$F$20,4,FALSE)),"")</f>
        <v/>
      </c>
      <c r="W314" s="65" t="str">
        <f>IFERROR(IF(OR($S314="",$F314=""),"",$S314*VLOOKUP($F314,'⚙️ Setelan'!$A$14:$F$20,5,FALSE)),"")</f>
        <v/>
      </c>
      <c r="X314" s="65" t="str">
        <f t="shared" si="31"/>
        <v/>
      </c>
      <c r="Y314" s="63" t="str">
        <f t="shared" si="32"/>
        <v/>
      </c>
      <c r="Z314" s="58" t="str">
        <f t="shared" si="33"/>
        <v/>
      </c>
      <c r="AA314" s="66" t="str">
        <f t="shared" si="34"/>
        <v/>
      </c>
      <c r="AB314" s="62"/>
      <c r="AC314" s="62"/>
      <c r="AD314" s="63" t="str">
        <f>IFERROR(IF(OR($AB314="",$T314="",$T314=0),"",ROUND(ABS($N314-$AB314)*$S314*VLOOKUP($F314,'⚙️ Setelan'!$A$14:$F$20,4,FALSE)/$T314,2)),"")</f>
        <v/>
      </c>
      <c r="AE314" s="63" t="str">
        <f>IFERROR(IF(OR($AC314="",$T314="",$T314=0),"",ROUND(ABS($AC314-$N314)*$S314*VLOOKUP($F314,'⚙️ Setelan'!$A$14:$F$20,4,FALSE)/$T314,2)),"")</f>
        <v/>
      </c>
      <c r="AF314" s="61"/>
      <c r="AG314" s="61"/>
      <c r="AH314" s="61"/>
      <c r="AI314" s="61"/>
      <c r="AJ314" s="61"/>
      <c r="AK314" s="67"/>
      <c r="AL314" s="58" t="str">
        <f>IF(OR($C314="",$B314=""),"",IF(AND($Z313="Loss",$B314=$B313,MOD($C314-$D313,1)*1440&lt;'⚙️ Setelan'!$B$9),"⚠️ Revenge",""))</f>
        <v/>
      </c>
      <c r="AM314" s="68"/>
      <c r="AN314" s="58" t="str">
        <f>IF($AM314="","",IFERROR(_xlfn.IMAGE(IF(REGEXMATCH($AM314,"\.(png|jpg|jpeg|gif)$"),$AM314,"https://s3.tradingview.com/snapshots/"&amp;LOWER(MID(REGEXEXTRACT($AM314,"/x/([A-Za-z0-9]+)"),1,1))&amp;"/"&amp;REGEXEXTRACT($AM314,"/x/([A-Za-z0-9]+)")&amp;".png"),1),"⚠️ link tidak dikenali"))</f>
        <v/>
      </c>
      <c r="AO314" s="68"/>
      <c r="AP314" s="58" t="str">
        <f>IF($AO314="","",IFERROR(_xlfn.IMAGE(IF(REGEXMATCH($AO314,"\.(png|jpg|jpeg|gif)$"),$AO314,"https://s3.tradingview.com/snapshots/"&amp;LOWER(MID(REGEXEXTRACT($AO314,"/x/([A-Za-z0-9]+)"),1,1))&amp;"/"&amp;REGEXEXTRACT($AO314,"/x/([A-Za-z0-9]+)")&amp;".png"),1),"⚠️ link tidak dikenali"))</f>
        <v/>
      </c>
      <c r="AQ314" s="66">
        <f>IF($Z314="",0,IF(AND(OR('📊 Dashboard'!$B$4="(Semua)",$F314='📊 Dashboard'!$B$4),OR('📊 Dashboard'!$B$5="(Semua)",$H314='📊 Dashboard'!$B$5),OR('📊 Dashboard'!$B$6="(Semua)",$E314='📊 Dashboard'!$B$6),OR('📊 Dashboard'!$B$7="(Semua)",$AF314='📊 Dashboard'!$B$7),OR('📊 Dashboard'!$B$8="(Semua)",$AG314='📊 Dashboard'!$B$8),OR('📊 Dashboard'!$B$9="(Semua)",$K314='📊 Dashboard'!$B$9)),1,0))</f>
        <v>0</v>
      </c>
      <c r="AR314" s="69"/>
    </row>
    <row r="315" ht="58" customHeight="1" spans="1:44">
      <c r="A315" s="58" t="str">
        <f t="shared" si="28"/>
        <v/>
      </c>
      <c r="B315" s="59"/>
      <c r="C315" s="60"/>
      <c r="D315" s="60"/>
      <c r="E315" s="58" t="str">
        <f t="shared" si="29"/>
        <v/>
      </c>
      <c r="F315" s="61"/>
      <c r="G315" s="61"/>
      <c r="H315" s="61"/>
      <c r="I315" s="61"/>
      <c r="J315" s="61"/>
      <c r="K315" s="61"/>
      <c r="L315" s="61"/>
      <c r="M315" s="61"/>
      <c r="N315" s="62"/>
      <c r="O315" s="62"/>
      <c r="P315" s="62"/>
      <c r="Q315" s="62"/>
      <c r="R315" s="63" t="str">
        <f>IFERROR(IF(OR($N315="",$O315="",$F315=""),"",ROUND(('⚙️ Setelan'!$B$3*'⚙️ Setelan'!$B$4/100)/(ABS($N315-$O315)*VLOOKUP($F315,'⚙️ Setelan'!$A$14:$F$20,4,FALSE)),2)),"")</f>
        <v/>
      </c>
      <c r="S315" s="64"/>
      <c r="T315" s="65" t="str">
        <f>IFERROR(IF(OR($N315="",$O315="",$S315=""),"",ABS($N315-$O315)*$S315*VLOOKUP($F315,'⚙️ Setelan'!$A$14:$F$20,4,FALSE)),"")</f>
        <v/>
      </c>
      <c r="U315" s="63" t="str">
        <f t="shared" si="30"/>
        <v/>
      </c>
      <c r="V315" s="65" t="str">
        <f>IFERROR(IF(OR($Q315="",$N315="",$S315=""),"",($Q315-$N315)*IF($G315="Buy",1,-1)*$S315*VLOOKUP($F315,'⚙️ Setelan'!$A$14:$F$20,4,FALSE)),"")</f>
        <v/>
      </c>
      <c r="W315" s="65" t="str">
        <f>IFERROR(IF(OR($S315="",$F315=""),"",$S315*VLOOKUP($F315,'⚙️ Setelan'!$A$14:$F$20,5,FALSE)),"")</f>
        <v/>
      </c>
      <c r="X315" s="65" t="str">
        <f t="shared" si="31"/>
        <v/>
      </c>
      <c r="Y315" s="63" t="str">
        <f t="shared" si="32"/>
        <v/>
      </c>
      <c r="Z315" s="58" t="str">
        <f t="shared" si="33"/>
        <v/>
      </c>
      <c r="AA315" s="66" t="str">
        <f t="shared" si="34"/>
        <v/>
      </c>
      <c r="AB315" s="62"/>
      <c r="AC315" s="62"/>
      <c r="AD315" s="63" t="str">
        <f>IFERROR(IF(OR($AB315="",$T315="",$T315=0),"",ROUND(ABS($N315-$AB315)*$S315*VLOOKUP($F315,'⚙️ Setelan'!$A$14:$F$20,4,FALSE)/$T315,2)),"")</f>
        <v/>
      </c>
      <c r="AE315" s="63" t="str">
        <f>IFERROR(IF(OR($AC315="",$T315="",$T315=0),"",ROUND(ABS($AC315-$N315)*$S315*VLOOKUP($F315,'⚙️ Setelan'!$A$14:$F$20,4,FALSE)/$T315,2)),"")</f>
        <v/>
      </c>
      <c r="AF315" s="61"/>
      <c r="AG315" s="61"/>
      <c r="AH315" s="61"/>
      <c r="AI315" s="61"/>
      <c r="AJ315" s="61"/>
      <c r="AK315" s="67"/>
      <c r="AL315" s="58" t="str">
        <f>IF(OR($C315="",$B315=""),"",IF(AND($Z314="Loss",$B315=$B314,MOD($C315-$D314,1)*1440&lt;'⚙️ Setelan'!$B$9),"⚠️ Revenge",""))</f>
        <v/>
      </c>
      <c r="AM315" s="68"/>
      <c r="AN315" s="58" t="str">
        <f>IF($AM315="","",IFERROR(_xlfn.IMAGE(IF(REGEXMATCH($AM315,"\.(png|jpg|jpeg|gif)$"),$AM315,"https://s3.tradingview.com/snapshots/"&amp;LOWER(MID(REGEXEXTRACT($AM315,"/x/([A-Za-z0-9]+)"),1,1))&amp;"/"&amp;REGEXEXTRACT($AM315,"/x/([A-Za-z0-9]+)")&amp;".png"),1),"⚠️ link tidak dikenali"))</f>
        <v/>
      </c>
      <c r="AO315" s="68"/>
      <c r="AP315" s="58" t="str">
        <f>IF($AO315="","",IFERROR(_xlfn.IMAGE(IF(REGEXMATCH($AO315,"\.(png|jpg|jpeg|gif)$"),$AO315,"https://s3.tradingview.com/snapshots/"&amp;LOWER(MID(REGEXEXTRACT($AO315,"/x/([A-Za-z0-9]+)"),1,1))&amp;"/"&amp;REGEXEXTRACT($AO315,"/x/([A-Za-z0-9]+)")&amp;".png"),1),"⚠️ link tidak dikenali"))</f>
        <v/>
      </c>
      <c r="AQ315" s="66">
        <f>IF($Z315="",0,IF(AND(OR('📊 Dashboard'!$B$4="(Semua)",$F315='📊 Dashboard'!$B$4),OR('📊 Dashboard'!$B$5="(Semua)",$H315='📊 Dashboard'!$B$5),OR('📊 Dashboard'!$B$6="(Semua)",$E315='📊 Dashboard'!$B$6),OR('📊 Dashboard'!$B$7="(Semua)",$AF315='📊 Dashboard'!$B$7),OR('📊 Dashboard'!$B$8="(Semua)",$AG315='📊 Dashboard'!$B$8),OR('📊 Dashboard'!$B$9="(Semua)",$K315='📊 Dashboard'!$B$9)),1,0))</f>
        <v>0</v>
      </c>
      <c r="AR315" s="69"/>
    </row>
    <row r="316" ht="58" customHeight="1" spans="1:44">
      <c r="A316" s="58" t="str">
        <f t="shared" si="28"/>
        <v/>
      </c>
      <c r="B316" s="59"/>
      <c r="C316" s="60"/>
      <c r="D316" s="60"/>
      <c r="E316" s="58" t="str">
        <f t="shared" si="29"/>
        <v/>
      </c>
      <c r="F316" s="61"/>
      <c r="G316" s="61"/>
      <c r="H316" s="61"/>
      <c r="I316" s="61"/>
      <c r="J316" s="61"/>
      <c r="K316" s="61"/>
      <c r="L316" s="61"/>
      <c r="M316" s="61"/>
      <c r="N316" s="62"/>
      <c r="O316" s="62"/>
      <c r="P316" s="62"/>
      <c r="Q316" s="62"/>
      <c r="R316" s="63" t="str">
        <f>IFERROR(IF(OR($N316="",$O316="",$F316=""),"",ROUND(('⚙️ Setelan'!$B$3*'⚙️ Setelan'!$B$4/100)/(ABS($N316-$O316)*VLOOKUP($F316,'⚙️ Setelan'!$A$14:$F$20,4,FALSE)),2)),"")</f>
        <v/>
      </c>
      <c r="S316" s="64"/>
      <c r="T316" s="65" t="str">
        <f>IFERROR(IF(OR($N316="",$O316="",$S316=""),"",ABS($N316-$O316)*$S316*VLOOKUP($F316,'⚙️ Setelan'!$A$14:$F$20,4,FALSE)),"")</f>
        <v/>
      </c>
      <c r="U316" s="63" t="str">
        <f t="shared" si="30"/>
        <v/>
      </c>
      <c r="V316" s="65" t="str">
        <f>IFERROR(IF(OR($Q316="",$N316="",$S316=""),"",($Q316-$N316)*IF($G316="Buy",1,-1)*$S316*VLOOKUP($F316,'⚙️ Setelan'!$A$14:$F$20,4,FALSE)),"")</f>
        <v/>
      </c>
      <c r="W316" s="65" t="str">
        <f>IFERROR(IF(OR($S316="",$F316=""),"",$S316*VLOOKUP($F316,'⚙️ Setelan'!$A$14:$F$20,5,FALSE)),"")</f>
        <v/>
      </c>
      <c r="X316" s="65" t="str">
        <f t="shared" si="31"/>
        <v/>
      </c>
      <c r="Y316" s="63" t="str">
        <f t="shared" si="32"/>
        <v/>
      </c>
      <c r="Z316" s="58" t="str">
        <f t="shared" si="33"/>
        <v/>
      </c>
      <c r="AA316" s="66" t="str">
        <f t="shared" si="34"/>
        <v/>
      </c>
      <c r="AB316" s="62"/>
      <c r="AC316" s="62"/>
      <c r="AD316" s="63" t="str">
        <f>IFERROR(IF(OR($AB316="",$T316="",$T316=0),"",ROUND(ABS($N316-$AB316)*$S316*VLOOKUP($F316,'⚙️ Setelan'!$A$14:$F$20,4,FALSE)/$T316,2)),"")</f>
        <v/>
      </c>
      <c r="AE316" s="63" t="str">
        <f>IFERROR(IF(OR($AC316="",$T316="",$T316=0),"",ROUND(ABS($AC316-$N316)*$S316*VLOOKUP($F316,'⚙️ Setelan'!$A$14:$F$20,4,FALSE)/$T316,2)),"")</f>
        <v/>
      </c>
      <c r="AF316" s="61"/>
      <c r="AG316" s="61"/>
      <c r="AH316" s="61"/>
      <c r="AI316" s="61"/>
      <c r="AJ316" s="61"/>
      <c r="AK316" s="67"/>
      <c r="AL316" s="58" t="str">
        <f>IF(OR($C316="",$B316=""),"",IF(AND($Z315="Loss",$B316=$B315,MOD($C316-$D315,1)*1440&lt;'⚙️ Setelan'!$B$9),"⚠️ Revenge",""))</f>
        <v/>
      </c>
      <c r="AM316" s="68"/>
      <c r="AN316" s="58" t="str">
        <f>IF($AM316="","",IFERROR(_xlfn.IMAGE(IF(REGEXMATCH($AM316,"\.(png|jpg|jpeg|gif)$"),$AM316,"https://s3.tradingview.com/snapshots/"&amp;LOWER(MID(REGEXEXTRACT($AM316,"/x/([A-Za-z0-9]+)"),1,1))&amp;"/"&amp;REGEXEXTRACT($AM316,"/x/([A-Za-z0-9]+)")&amp;".png"),1),"⚠️ link tidak dikenali"))</f>
        <v/>
      </c>
      <c r="AO316" s="68"/>
      <c r="AP316" s="58" t="str">
        <f>IF($AO316="","",IFERROR(_xlfn.IMAGE(IF(REGEXMATCH($AO316,"\.(png|jpg|jpeg|gif)$"),$AO316,"https://s3.tradingview.com/snapshots/"&amp;LOWER(MID(REGEXEXTRACT($AO316,"/x/([A-Za-z0-9]+)"),1,1))&amp;"/"&amp;REGEXEXTRACT($AO316,"/x/([A-Za-z0-9]+)")&amp;".png"),1),"⚠️ link tidak dikenali"))</f>
        <v/>
      </c>
      <c r="AQ316" s="66">
        <f>IF($Z316="",0,IF(AND(OR('📊 Dashboard'!$B$4="(Semua)",$F316='📊 Dashboard'!$B$4),OR('📊 Dashboard'!$B$5="(Semua)",$H316='📊 Dashboard'!$B$5),OR('📊 Dashboard'!$B$6="(Semua)",$E316='📊 Dashboard'!$B$6),OR('📊 Dashboard'!$B$7="(Semua)",$AF316='📊 Dashboard'!$B$7),OR('📊 Dashboard'!$B$8="(Semua)",$AG316='📊 Dashboard'!$B$8),OR('📊 Dashboard'!$B$9="(Semua)",$K316='📊 Dashboard'!$B$9)),1,0))</f>
        <v>0</v>
      </c>
      <c r="AR316" s="69"/>
    </row>
    <row r="317" ht="58" customHeight="1" spans="1:44">
      <c r="A317" s="58" t="str">
        <f t="shared" si="28"/>
        <v/>
      </c>
      <c r="B317" s="59"/>
      <c r="C317" s="60"/>
      <c r="D317" s="60"/>
      <c r="E317" s="58" t="str">
        <f t="shared" si="29"/>
        <v/>
      </c>
      <c r="F317" s="61"/>
      <c r="G317" s="61"/>
      <c r="H317" s="61"/>
      <c r="I317" s="61"/>
      <c r="J317" s="61"/>
      <c r="K317" s="61"/>
      <c r="L317" s="61"/>
      <c r="M317" s="61"/>
      <c r="N317" s="62"/>
      <c r="O317" s="62"/>
      <c r="P317" s="62"/>
      <c r="Q317" s="62"/>
      <c r="R317" s="63" t="str">
        <f>IFERROR(IF(OR($N317="",$O317="",$F317=""),"",ROUND(('⚙️ Setelan'!$B$3*'⚙️ Setelan'!$B$4/100)/(ABS($N317-$O317)*VLOOKUP($F317,'⚙️ Setelan'!$A$14:$F$20,4,FALSE)),2)),"")</f>
        <v/>
      </c>
      <c r="S317" s="64"/>
      <c r="T317" s="65" t="str">
        <f>IFERROR(IF(OR($N317="",$O317="",$S317=""),"",ABS($N317-$O317)*$S317*VLOOKUP($F317,'⚙️ Setelan'!$A$14:$F$20,4,FALSE)),"")</f>
        <v/>
      </c>
      <c r="U317" s="63" t="str">
        <f t="shared" si="30"/>
        <v/>
      </c>
      <c r="V317" s="65" t="str">
        <f>IFERROR(IF(OR($Q317="",$N317="",$S317=""),"",($Q317-$N317)*IF($G317="Buy",1,-1)*$S317*VLOOKUP($F317,'⚙️ Setelan'!$A$14:$F$20,4,FALSE)),"")</f>
        <v/>
      </c>
      <c r="W317" s="65" t="str">
        <f>IFERROR(IF(OR($S317="",$F317=""),"",$S317*VLOOKUP($F317,'⚙️ Setelan'!$A$14:$F$20,5,FALSE)),"")</f>
        <v/>
      </c>
      <c r="X317" s="65" t="str">
        <f t="shared" si="31"/>
        <v/>
      </c>
      <c r="Y317" s="63" t="str">
        <f t="shared" si="32"/>
        <v/>
      </c>
      <c r="Z317" s="58" t="str">
        <f t="shared" si="33"/>
        <v/>
      </c>
      <c r="AA317" s="66" t="str">
        <f t="shared" si="34"/>
        <v/>
      </c>
      <c r="AB317" s="62"/>
      <c r="AC317" s="62"/>
      <c r="AD317" s="63" t="str">
        <f>IFERROR(IF(OR($AB317="",$T317="",$T317=0),"",ROUND(ABS($N317-$AB317)*$S317*VLOOKUP($F317,'⚙️ Setelan'!$A$14:$F$20,4,FALSE)/$T317,2)),"")</f>
        <v/>
      </c>
      <c r="AE317" s="63" t="str">
        <f>IFERROR(IF(OR($AC317="",$T317="",$T317=0),"",ROUND(ABS($AC317-$N317)*$S317*VLOOKUP($F317,'⚙️ Setelan'!$A$14:$F$20,4,FALSE)/$T317,2)),"")</f>
        <v/>
      </c>
      <c r="AF317" s="61"/>
      <c r="AG317" s="61"/>
      <c r="AH317" s="61"/>
      <c r="AI317" s="61"/>
      <c r="AJ317" s="61"/>
      <c r="AK317" s="67"/>
      <c r="AL317" s="58" t="str">
        <f>IF(OR($C317="",$B317=""),"",IF(AND($Z316="Loss",$B317=$B316,MOD($C317-$D316,1)*1440&lt;'⚙️ Setelan'!$B$9),"⚠️ Revenge",""))</f>
        <v/>
      </c>
      <c r="AM317" s="68"/>
      <c r="AN317" s="58" t="str">
        <f>IF($AM317="","",IFERROR(_xlfn.IMAGE(IF(REGEXMATCH($AM317,"\.(png|jpg|jpeg|gif)$"),$AM317,"https://s3.tradingview.com/snapshots/"&amp;LOWER(MID(REGEXEXTRACT($AM317,"/x/([A-Za-z0-9]+)"),1,1))&amp;"/"&amp;REGEXEXTRACT($AM317,"/x/([A-Za-z0-9]+)")&amp;".png"),1),"⚠️ link tidak dikenali"))</f>
        <v/>
      </c>
      <c r="AO317" s="68"/>
      <c r="AP317" s="58" t="str">
        <f>IF($AO317="","",IFERROR(_xlfn.IMAGE(IF(REGEXMATCH($AO317,"\.(png|jpg|jpeg|gif)$"),$AO317,"https://s3.tradingview.com/snapshots/"&amp;LOWER(MID(REGEXEXTRACT($AO317,"/x/([A-Za-z0-9]+)"),1,1))&amp;"/"&amp;REGEXEXTRACT($AO317,"/x/([A-Za-z0-9]+)")&amp;".png"),1),"⚠️ link tidak dikenali"))</f>
        <v/>
      </c>
      <c r="AQ317" s="66">
        <f>IF($Z317="",0,IF(AND(OR('📊 Dashboard'!$B$4="(Semua)",$F317='📊 Dashboard'!$B$4),OR('📊 Dashboard'!$B$5="(Semua)",$H317='📊 Dashboard'!$B$5),OR('📊 Dashboard'!$B$6="(Semua)",$E317='📊 Dashboard'!$B$6),OR('📊 Dashboard'!$B$7="(Semua)",$AF317='📊 Dashboard'!$B$7),OR('📊 Dashboard'!$B$8="(Semua)",$AG317='📊 Dashboard'!$B$8),OR('📊 Dashboard'!$B$9="(Semua)",$K317='📊 Dashboard'!$B$9)),1,0))</f>
        <v>0</v>
      </c>
      <c r="AR317" s="69"/>
    </row>
    <row r="318" ht="58" customHeight="1" spans="1:44">
      <c r="A318" s="58" t="str">
        <f t="shared" si="28"/>
        <v/>
      </c>
      <c r="B318" s="59"/>
      <c r="C318" s="60"/>
      <c r="D318" s="60"/>
      <c r="E318" s="58" t="str">
        <f t="shared" si="29"/>
        <v/>
      </c>
      <c r="F318" s="61"/>
      <c r="G318" s="61"/>
      <c r="H318" s="61"/>
      <c r="I318" s="61"/>
      <c r="J318" s="61"/>
      <c r="K318" s="61"/>
      <c r="L318" s="61"/>
      <c r="M318" s="61"/>
      <c r="N318" s="62"/>
      <c r="O318" s="62"/>
      <c r="P318" s="62"/>
      <c r="Q318" s="62"/>
      <c r="R318" s="63" t="str">
        <f>IFERROR(IF(OR($N318="",$O318="",$F318=""),"",ROUND(('⚙️ Setelan'!$B$3*'⚙️ Setelan'!$B$4/100)/(ABS($N318-$O318)*VLOOKUP($F318,'⚙️ Setelan'!$A$14:$F$20,4,FALSE)),2)),"")</f>
        <v/>
      </c>
      <c r="S318" s="64"/>
      <c r="T318" s="65" t="str">
        <f>IFERROR(IF(OR($N318="",$O318="",$S318=""),"",ABS($N318-$O318)*$S318*VLOOKUP($F318,'⚙️ Setelan'!$A$14:$F$20,4,FALSE)),"")</f>
        <v/>
      </c>
      <c r="U318" s="63" t="str">
        <f t="shared" si="30"/>
        <v/>
      </c>
      <c r="V318" s="65" t="str">
        <f>IFERROR(IF(OR($Q318="",$N318="",$S318=""),"",($Q318-$N318)*IF($G318="Buy",1,-1)*$S318*VLOOKUP($F318,'⚙️ Setelan'!$A$14:$F$20,4,FALSE)),"")</f>
        <v/>
      </c>
      <c r="W318" s="65" t="str">
        <f>IFERROR(IF(OR($S318="",$F318=""),"",$S318*VLOOKUP($F318,'⚙️ Setelan'!$A$14:$F$20,5,FALSE)),"")</f>
        <v/>
      </c>
      <c r="X318" s="65" t="str">
        <f t="shared" si="31"/>
        <v/>
      </c>
      <c r="Y318" s="63" t="str">
        <f t="shared" si="32"/>
        <v/>
      </c>
      <c r="Z318" s="58" t="str">
        <f t="shared" si="33"/>
        <v/>
      </c>
      <c r="AA318" s="66" t="str">
        <f t="shared" si="34"/>
        <v/>
      </c>
      <c r="AB318" s="62"/>
      <c r="AC318" s="62"/>
      <c r="AD318" s="63" t="str">
        <f>IFERROR(IF(OR($AB318="",$T318="",$T318=0),"",ROUND(ABS($N318-$AB318)*$S318*VLOOKUP($F318,'⚙️ Setelan'!$A$14:$F$20,4,FALSE)/$T318,2)),"")</f>
        <v/>
      </c>
      <c r="AE318" s="63" t="str">
        <f>IFERROR(IF(OR($AC318="",$T318="",$T318=0),"",ROUND(ABS($AC318-$N318)*$S318*VLOOKUP($F318,'⚙️ Setelan'!$A$14:$F$20,4,FALSE)/$T318,2)),"")</f>
        <v/>
      </c>
      <c r="AF318" s="61"/>
      <c r="AG318" s="61"/>
      <c r="AH318" s="61"/>
      <c r="AI318" s="61"/>
      <c r="AJ318" s="61"/>
      <c r="AK318" s="67"/>
      <c r="AL318" s="58" t="str">
        <f>IF(OR($C318="",$B318=""),"",IF(AND($Z317="Loss",$B318=$B317,MOD($C318-$D317,1)*1440&lt;'⚙️ Setelan'!$B$9),"⚠️ Revenge",""))</f>
        <v/>
      </c>
      <c r="AM318" s="68"/>
      <c r="AN318" s="58" t="str">
        <f>IF($AM318="","",IFERROR(_xlfn.IMAGE(IF(REGEXMATCH($AM318,"\.(png|jpg|jpeg|gif)$"),$AM318,"https://s3.tradingview.com/snapshots/"&amp;LOWER(MID(REGEXEXTRACT($AM318,"/x/([A-Za-z0-9]+)"),1,1))&amp;"/"&amp;REGEXEXTRACT($AM318,"/x/([A-Za-z0-9]+)")&amp;".png"),1),"⚠️ link tidak dikenali"))</f>
        <v/>
      </c>
      <c r="AO318" s="68"/>
      <c r="AP318" s="58" t="str">
        <f>IF($AO318="","",IFERROR(_xlfn.IMAGE(IF(REGEXMATCH($AO318,"\.(png|jpg|jpeg|gif)$"),$AO318,"https://s3.tradingview.com/snapshots/"&amp;LOWER(MID(REGEXEXTRACT($AO318,"/x/([A-Za-z0-9]+)"),1,1))&amp;"/"&amp;REGEXEXTRACT($AO318,"/x/([A-Za-z0-9]+)")&amp;".png"),1),"⚠️ link tidak dikenali"))</f>
        <v/>
      </c>
      <c r="AQ318" s="66">
        <f>IF($Z318="",0,IF(AND(OR('📊 Dashboard'!$B$4="(Semua)",$F318='📊 Dashboard'!$B$4),OR('📊 Dashboard'!$B$5="(Semua)",$H318='📊 Dashboard'!$B$5),OR('📊 Dashboard'!$B$6="(Semua)",$E318='📊 Dashboard'!$B$6),OR('📊 Dashboard'!$B$7="(Semua)",$AF318='📊 Dashboard'!$B$7),OR('📊 Dashboard'!$B$8="(Semua)",$AG318='📊 Dashboard'!$B$8),OR('📊 Dashboard'!$B$9="(Semua)",$K318='📊 Dashboard'!$B$9)),1,0))</f>
        <v>0</v>
      </c>
      <c r="AR318" s="69"/>
    </row>
    <row r="319" ht="58" customHeight="1" spans="1:44">
      <c r="A319" s="58" t="str">
        <f t="shared" si="28"/>
        <v/>
      </c>
      <c r="B319" s="59"/>
      <c r="C319" s="60"/>
      <c r="D319" s="60"/>
      <c r="E319" s="58" t="str">
        <f t="shared" si="29"/>
        <v/>
      </c>
      <c r="F319" s="61"/>
      <c r="G319" s="61"/>
      <c r="H319" s="61"/>
      <c r="I319" s="61"/>
      <c r="J319" s="61"/>
      <c r="K319" s="61"/>
      <c r="L319" s="61"/>
      <c r="M319" s="61"/>
      <c r="N319" s="62"/>
      <c r="O319" s="62"/>
      <c r="P319" s="62"/>
      <c r="Q319" s="62"/>
      <c r="R319" s="63" t="str">
        <f>IFERROR(IF(OR($N319="",$O319="",$F319=""),"",ROUND(('⚙️ Setelan'!$B$3*'⚙️ Setelan'!$B$4/100)/(ABS($N319-$O319)*VLOOKUP($F319,'⚙️ Setelan'!$A$14:$F$20,4,FALSE)),2)),"")</f>
        <v/>
      </c>
      <c r="S319" s="64"/>
      <c r="T319" s="65" t="str">
        <f>IFERROR(IF(OR($N319="",$O319="",$S319=""),"",ABS($N319-$O319)*$S319*VLOOKUP($F319,'⚙️ Setelan'!$A$14:$F$20,4,FALSE)),"")</f>
        <v/>
      </c>
      <c r="U319" s="63" t="str">
        <f t="shared" si="30"/>
        <v/>
      </c>
      <c r="V319" s="65" t="str">
        <f>IFERROR(IF(OR($Q319="",$N319="",$S319=""),"",($Q319-$N319)*IF($G319="Buy",1,-1)*$S319*VLOOKUP($F319,'⚙️ Setelan'!$A$14:$F$20,4,FALSE)),"")</f>
        <v/>
      </c>
      <c r="W319" s="65" t="str">
        <f>IFERROR(IF(OR($S319="",$F319=""),"",$S319*VLOOKUP($F319,'⚙️ Setelan'!$A$14:$F$20,5,FALSE)),"")</f>
        <v/>
      </c>
      <c r="X319" s="65" t="str">
        <f t="shared" si="31"/>
        <v/>
      </c>
      <c r="Y319" s="63" t="str">
        <f t="shared" si="32"/>
        <v/>
      </c>
      <c r="Z319" s="58" t="str">
        <f t="shared" si="33"/>
        <v/>
      </c>
      <c r="AA319" s="66" t="str">
        <f t="shared" si="34"/>
        <v/>
      </c>
      <c r="AB319" s="62"/>
      <c r="AC319" s="62"/>
      <c r="AD319" s="63" t="str">
        <f>IFERROR(IF(OR($AB319="",$T319="",$T319=0),"",ROUND(ABS($N319-$AB319)*$S319*VLOOKUP($F319,'⚙️ Setelan'!$A$14:$F$20,4,FALSE)/$T319,2)),"")</f>
        <v/>
      </c>
      <c r="AE319" s="63" t="str">
        <f>IFERROR(IF(OR($AC319="",$T319="",$T319=0),"",ROUND(ABS($AC319-$N319)*$S319*VLOOKUP($F319,'⚙️ Setelan'!$A$14:$F$20,4,FALSE)/$T319,2)),"")</f>
        <v/>
      </c>
      <c r="AF319" s="61"/>
      <c r="AG319" s="61"/>
      <c r="AH319" s="61"/>
      <c r="AI319" s="61"/>
      <c r="AJ319" s="61"/>
      <c r="AK319" s="67"/>
      <c r="AL319" s="58" t="str">
        <f>IF(OR($C319="",$B319=""),"",IF(AND($Z318="Loss",$B319=$B318,MOD($C319-$D318,1)*1440&lt;'⚙️ Setelan'!$B$9),"⚠️ Revenge",""))</f>
        <v/>
      </c>
      <c r="AM319" s="68"/>
      <c r="AN319" s="58" t="str">
        <f>IF($AM319="","",IFERROR(_xlfn.IMAGE(IF(REGEXMATCH($AM319,"\.(png|jpg|jpeg|gif)$"),$AM319,"https://s3.tradingview.com/snapshots/"&amp;LOWER(MID(REGEXEXTRACT($AM319,"/x/([A-Za-z0-9]+)"),1,1))&amp;"/"&amp;REGEXEXTRACT($AM319,"/x/([A-Za-z0-9]+)")&amp;".png"),1),"⚠️ link tidak dikenali"))</f>
        <v/>
      </c>
      <c r="AO319" s="68"/>
      <c r="AP319" s="58" t="str">
        <f>IF($AO319="","",IFERROR(_xlfn.IMAGE(IF(REGEXMATCH($AO319,"\.(png|jpg|jpeg|gif)$"),$AO319,"https://s3.tradingview.com/snapshots/"&amp;LOWER(MID(REGEXEXTRACT($AO319,"/x/([A-Za-z0-9]+)"),1,1))&amp;"/"&amp;REGEXEXTRACT($AO319,"/x/([A-Za-z0-9]+)")&amp;".png"),1),"⚠️ link tidak dikenali"))</f>
        <v/>
      </c>
      <c r="AQ319" s="66">
        <f>IF($Z319="",0,IF(AND(OR('📊 Dashboard'!$B$4="(Semua)",$F319='📊 Dashboard'!$B$4),OR('📊 Dashboard'!$B$5="(Semua)",$H319='📊 Dashboard'!$B$5),OR('📊 Dashboard'!$B$6="(Semua)",$E319='📊 Dashboard'!$B$6),OR('📊 Dashboard'!$B$7="(Semua)",$AF319='📊 Dashboard'!$B$7),OR('📊 Dashboard'!$B$8="(Semua)",$AG319='📊 Dashboard'!$B$8),OR('📊 Dashboard'!$B$9="(Semua)",$K319='📊 Dashboard'!$B$9)),1,0))</f>
        <v>0</v>
      </c>
      <c r="AR319" s="69"/>
    </row>
    <row r="320" ht="58" customHeight="1" spans="1:44">
      <c r="A320" s="58" t="str">
        <f t="shared" si="28"/>
        <v/>
      </c>
      <c r="B320" s="59"/>
      <c r="C320" s="60"/>
      <c r="D320" s="60"/>
      <c r="E320" s="58" t="str">
        <f t="shared" si="29"/>
        <v/>
      </c>
      <c r="F320" s="61"/>
      <c r="G320" s="61"/>
      <c r="H320" s="61"/>
      <c r="I320" s="61"/>
      <c r="J320" s="61"/>
      <c r="K320" s="61"/>
      <c r="L320" s="61"/>
      <c r="M320" s="61"/>
      <c r="N320" s="62"/>
      <c r="O320" s="62"/>
      <c r="P320" s="62"/>
      <c r="Q320" s="62"/>
      <c r="R320" s="63" t="str">
        <f>IFERROR(IF(OR($N320="",$O320="",$F320=""),"",ROUND(('⚙️ Setelan'!$B$3*'⚙️ Setelan'!$B$4/100)/(ABS($N320-$O320)*VLOOKUP($F320,'⚙️ Setelan'!$A$14:$F$20,4,FALSE)),2)),"")</f>
        <v/>
      </c>
      <c r="S320" s="64"/>
      <c r="T320" s="65" t="str">
        <f>IFERROR(IF(OR($N320="",$O320="",$S320=""),"",ABS($N320-$O320)*$S320*VLOOKUP($F320,'⚙️ Setelan'!$A$14:$F$20,4,FALSE)),"")</f>
        <v/>
      </c>
      <c r="U320" s="63" t="str">
        <f t="shared" si="30"/>
        <v/>
      </c>
      <c r="V320" s="65" t="str">
        <f>IFERROR(IF(OR($Q320="",$N320="",$S320=""),"",($Q320-$N320)*IF($G320="Buy",1,-1)*$S320*VLOOKUP($F320,'⚙️ Setelan'!$A$14:$F$20,4,FALSE)),"")</f>
        <v/>
      </c>
      <c r="W320" s="65" t="str">
        <f>IFERROR(IF(OR($S320="",$F320=""),"",$S320*VLOOKUP($F320,'⚙️ Setelan'!$A$14:$F$20,5,FALSE)),"")</f>
        <v/>
      </c>
      <c r="X320" s="65" t="str">
        <f t="shared" si="31"/>
        <v/>
      </c>
      <c r="Y320" s="63" t="str">
        <f t="shared" si="32"/>
        <v/>
      </c>
      <c r="Z320" s="58" t="str">
        <f t="shared" si="33"/>
        <v/>
      </c>
      <c r="AA320" s="66" t="str">
        <f t="shared" si="34"/>
        <v/>
      </c>
      <c r="AB320" s="62"/>
      <c r="AC320" s="62"/>
      <c r="AD320" s="63" t="str">
        <f>IFERROR(IF(OR($AB320="",$T320="",$T320=0),"",ROUND(ABS($N320-$AB320)*$S320*VLOOKUP($F320,'⚙️ Setelan'!$A$14:$F$20,4,FALSE)/$T320,2)),"")</f>
        <v/>
      </c>
      <c r="AE320" s="63" t="str">
        <f>IFERROR(IF(OR($AC320="",$T320="",$T320=0),"",ROUND(ABS($AC320-$N320)*$S320*VLOOKUP($F320,'⚙️ Setelan'!$A$14:$F$20,4,FALSE)/$T320,2)),"")</f>
        <v/>
      </c>
      <c r="AF320" s="61"/>
      <c r="AG320" s="61"/>
      <c r="AH320" s="61"/>
      <c r="AI320" s="61"/>
      <c r="AJ320" s="61"/>
      <c r="AK320" s="67"/>
      <c r="AL320" s="58" t="str">
        <f>IF(OR($C320="",$B320=""),"",IF(AND($Z319="Loss",$B320=$B319,MOD($C320-$D319,1)*1440&lt;'⚙️ Setelan'!$B$9),"⚠️ Revenge",""))</f>
        <v/>
      </c>
      <c r="AM320" s="68"/>
      <c r="AN320" s="58" t="str">
        <f>IF($AM320="","",IFERROR(_xlfn.IMAGE(IF(REGEXMATCH($AM320,"\.(png|jpg|jpeg|gif)$"),$AM320,"https://s3.tradingview.com/snapshots/"&amp;LOWER(MID(REGEXEXTRACT($AM320,"/x/([A-Za-z0-9]+)"),1,1))&amp;"/"&amp;REGEXEXTRACT($AM320,"/x/([A-Za-z0-9]+)")&amp;".png"),1),"⚠️ link tidak dikenali"))</f>
        <v/>
      </c>
      <c r="AO320" s="68"/>
      <c r="AP320" s="58" t="str">
        <f>IF($AO320="","",IFERROR(_xlfn.IMAGE(IF(REGEXMATCH($AO320,"\.(png|jpg|jpeg|gif)$"),$AO320,"https://s3.tradingview.com/snapshots/"&amp;LOWER(MID(REGEXEXTRACT($AO320,"/x/([A-Za-z0-9]+)"),1,1))&amp;"/"&amp;REGEXEXTRACT($AO320,"/x/([A-Za-z0-9]+)")&amp;".png"),1),"⚠️ link tidak dikenali"))</f>
        <v/>
      </c>
      <c r="AQ320" s="66">
        <f>IF($Z320="",0,IF(AND(OR('📊 Dashboard'!$B$4="(Semua)",$F320='📊 Dashboard'!$B$4),OR('📊 Dashboard'!$B$5="(Semua)",$H320='📊 Dashboard'!$B$5),OR('📊 Dashboard'!$B$6="(Semua)",$E320='📊 Dashboard'!$B$6),OR('📊 Dashboard'!$B$7="(Semua)",$AF320='📊 Dashboard'!$B$7),OR('📊 Dashboard'!$B$8="(Semua)",$AG320='📊 Dashboard'!$B$8),OR('📊 Dashboard'!$B$9="(Semua)",$K320='📊 Dashboard'!$B$9)),1,0))</f>
        <v>0</v>
      </c>
      <c r="AR320" s="69"/>
    </row>
    <row r="321" ht="58" customHeight="1" spans="1:44">
      <c r="A321" s="58" t="str">
        <f t="shared" si="28"/>
        <v/>
      </c>
      <c r="B321" s="59"/>
      <c r="C321" s="60"/>
      <c r="D321" s="60"/>
      <c r="E321" s="58" t="str">
        <f t="shared" si="29"/>
        <v/>
      </c>
      <c r="F321" s="61"/>
      <c r="G321" s="61"/>
      <c r="H321" s="61"/>
      <c r="I321" s="61"/>
      <c r="J321" s="61"/>
      <c r="K321" s="61"/>
      <c r="L321" s="61"/>
      <c r="M321" s="61"/>
      <c r="N321" s="62"/>
      <c r="O321" s="62"/>
      <c r="P321" s="62"/>
      <c r="Q321" s="62"/>
      <c r="R321" s="63" t="str">
        <f>IFERROR(IF(OR($N321="",$O321="",$F321=""),"",ROUND(('⚙️ Setelan'!$B$3*'⚙️ Setelan'!$B$4/100)/(ABS($N321-$O321)*VLOOKUP($F321,'⚙️ Setelan'!$A$14:$F$20,4,FALSE)),2)),"")</f>
        <v/>
      </c>
      <c r="S321" s="64"/>
      <c r="T321" s="65" t="str">
        <f>IFERROR(IF(OR($N321="",$O321="",$S321=""),"",ABS($N321-$O321)*$S321*VLOOKUP($F321,'⚙️ Setelan'!$A$14:$F$20,4,FALSE)),"")</f>
        <v/>
      </c>
      <c r="U321" s="63" t="str">
        <f t="shared" si="30"/>
        <v/>
      </c>
      <c r="V321" s="65" t="str">
        <f>IFERROR(IF(OR($Q321="",$N321="",$S321=""),"",($Q321-$N321)*IF($G321="Buy",1,-1)*$S321*VLOOKUP($F321,'⚙️ Setelan'!$A$14:$F$20,4,FALSE)),"")</f>
        <v/>
      </c>
      <c r="W321" s="65" t="str">
        <f>IFERROR(IF(OR($S321="",$F321=""),"",$S321*VLOOKUP($F321,'⚙️ Setelan'!$A$14:$F$20,5,FALSE)),"")</f>
        <v/>
      </c>
      <c r="X321" s="65" t="str">
        <f t="shared" si="31"/>
        <v/>
      </c>
      <c r="Y321" s="63" t="str">
        <f t="shared" si="32"/>
        <v/>
      </c>
      <c r="Z321" s="58" t="str">
        <f t="shared" si="33"/>
        <v/>
      </c>
      <c r="AA321" s="66" t="str">
        <f t="shared" si="34"/>
        <v/>
      </c>
      <c r="AB321" s="62"/>
      <c r="AC321" s="62"/>
      <c r="AD321" s="63" t="str">
        <f>IFERROR(IF(OR($AB321="",$T321="",$T321=0),"",ROUND(ABS($N321-$AB321)*$S321*VLOOKUP($F321,'⚙️ Setelan'!$A$14:$F$20,4,FALSE)/$T321,2)),"")</f>
        <v/>
      </c>
      <c r="AE321" s="63" t="str">
        <f>IFERROR(IF(OR($AC321="",$T321="",$T321=0),"",ROUND(ABS($AC321-$N321)*$S321*VLOOKUP($F321,'⚙️ Setelan'!$A$14:$F$20,4,FALSE)/$T321,2)),"")</f>
        <v/>
      </c>
      <c r="AF321" s="61"/>
      <c r="AG321" s="61"/>
      <c r="AH321" s="61"/>
      <c r="AI321" s="61"/>
      <c r="AJ321" s="61"/>
      <c r="AK321" s="67"/>
      <c r="AL321" s="58" t="str">
        <f>IF(OR($C321="",$B321=""),"",IF(AND($Z320="Loss",$B321=$B320,MOD($C321-$D320,1)*1440&lt;'⚙️ Setelan'!$B$9),"⚠️ Revenge",""))</f>
        <v/>
      </c>
      <c r="AM321" s="68"/>
      <c r="AN321" s="58" t="str">
        <f>IF($AM321="","",IFERROR(_xlfn.IMAGE(IF(REGEXMATCH($AM321,"\.(png|jpg|jpeg|gif)$"),$AM321,"https://s3.tradingview.com/snapshots/"&amp;LOWER(MID(REGEXEXTRACT($AM321,"/x/([A-Za-z0-9]+)"),1,1))&amp;"/"&amp;REGEXEXTRACT($AM321,"/x/([A-Za-z0-9]+)")&amp;".png"),1),"⚠️ link tidak dikenali"))</f>
        <v/>
      </c>
      <c r="AO321" s="68"/>
      <c r="AP321" s="58" t="str">
        <f>IF($AO321="","",IFERROR(_xlfn.IMAGE(IF(REGEXMATCH($AO321,"\.(png|jpg|jpeg|gif)$"),$AO321,"https://s3.tradingview.com/snapshots/"&amp;LOWER(MID(REGEXEXTRACT($AO321,"/x/([A-Za-z0-9]+)"),1,1))&amp;"/"&amp;REGEXEXTRACT($AO321,"/x/([A-Za-z0-9]+)")&amp;".png"),1),"⚠️ link tidak dikenali"))</f>
        <v/>
      </c>
      <c r="AQ321" s="66">
        <f>IF($Z321="",0,IF(AND(OR('📊 Dashboard'!$B$4="(Semua)",$F321='📊 Dashboard'!$B$4),OR('📊 Dashboard'!$B$5="(Semua)",$H321='📊 Dashboard'!$B$5),OR('📊 Dashboard'!$B$6="(Semua)",$E321='📊 Dashboard'!$B$6),OR('📊 Dashboard'!$B$7="(Semua)",$AF321='📊 Dashboard'!$B$7),OR('📊 Dashboard'!$B$8="(Semua)",$AG321='📊 Dashboard'!$B$8),OR('📊 Dashboard'!$B$9="(Semua)",$K321='📊 Dashboard'!$B$9)),1,0))</f>
        <v>0</v>
      </c>
      <c r="AR321" s="69"/>
    </row>
    <row r="322" ht="58" customHeight="1" spans="1:44">
      <c r="A322" s="58" t="str">
        <f t="shared" si="28"/>
        <v/>
      </c>
      <c r="B322" s="59"/>
      <c r="C322" s="60"/>
      <c r="D322" s="60"/>
      <c r="E322" s="58" t="str">
        <f t="shared" si="29"/>
        <v/>
      </c>
      <c r="F322" s="61"/>
      <c r="G322" s="61"/>
      <c r="H322" s="61"/>
      <c r="I322" s="61"/>
      <c r="J322" s="61"/>
      <c r="K322" s="61"/>
      <c r="L322" s="61"/>
      <c r="M322" s="61"/>
      <c r="N322" s="62"/>
      <c r="O322" s="62"/>
      <c r="P322" s="62"/>
      <c r="Q322" s="62"/>
      <c r="R322" s="63" t="str">
        <f>IFERROR(IF(OR($N322="",$O322="",$F322=""),"",ROUND(('⚙️ Setelan'!$B$3*'⚙️ Setelan'!$B$4/100)/(ABS($N322-$O322)*VLOOKUP($F322,'⚙️ Setelan'!$A$14:$F$20,4,FALSE)),2)),"")</f>
        <v/>
      </c>
      <c r="S322" s="64"/>
      <c r="T322" s="65" t="str">
        <f>IFERROR(IF(OR($N322="",$O322="",$S322=""),"",ABS($N322-$O322)*$S322*VLOOKUP($F322,'⚙️ Setelan'!$A$14:$F$20,4,FALSE)),"")</f>
        <v/>
      </c>
      <c r="U322" s="63" t="str">
        <f t="shared" si="30"/>
        <v/>
      </c>
      <c r="V322" s="65" t="str">
        <f>IFERROR(IF(OR($Q322="",$N322="",$S322=""),"",($Q322-$N322)*IF($G322="Buy",1,-1)*$S322*VLOOKUP($F322,'⚙️ Setelan'!$A$14:$F$20,4,FALSE)),"")</f>
        <v/>
      </c>
      <c r="W322" s="65" t="str">
        <f>IFERROR(IF(OR($S322="",$F322=""),"",$S322*VLOOKUP($F322,'⚙️ Setelan'!$A$14:$F$20,5,FALSE)),"")</f>
        <v/>
      </c>
      <c r="X322" s="65" t="str">
        <f t="shared" si="31"/>
        <v/>
      </c>
      <c r="Y322" s="63" t="str">
        <f t="shared" si="32"/>
        <v/>
      </c>
      <c r="Z322" s="58" t="str">
        <f t="shared" si="33"/>
        <v/>
      </c>
      <c r="AA322" s="66" t="str">
        <f t="shared" si="34"/>
        <v/>
      </c>
      <c r="AB322" s="62"/>
      <c r="AC322" s="62"/>
      <c r="AD322" s="63" t="str">
        <f>IFERROR(IF(OR($AB322="",$T322="",$T322=0),"",ROUND(ABS($N322-$AB322)*$S322*VLOOKUP($F322,'⚙️ Setelan'!$A$14:$F$20,4,FALSE)/$T322,2)),"")</f>
        <v/>
      </c>
      <c r="AE322" s="63" t="str">
        <f>IFERROR(IF(OR($AC322="",$T322="",$T322=0),"",ROUND(ABS($AC322-$N322)*$S322*VLOOKUP($F322,'⚙️ Setelan'!$A$14:$F$20,4,FALSE)/$T322,2)),"")</f>
        <v/>
      </c>
      <c r="AF322" s="61"/>
      <c r="AG322" s="61"/>
      <c r="AH322" s="61"/>
      <c r="AI322" s="61"/>
      <c r="AJ322" s="61"/>
      <c r="AK322" s="67"/>
      <c r="AL322" s="58" t="str">
        <f>IF(OR($C322="",$B322=""),"",IF(AND($Z321="Loss",$B322=$B321,MOD($C322-$D321,1)*1440&lt;'⚙️ Setelan'!$B$9),"⚠️ Revenge",""))</f>
        <v/>
      </c>
      <c r="AM322" s="68"/>
      <c r="AN322" s="58" t="str">
        <f>IF($AM322="","",IFERROR(_xlfn.IMAGE(IF(REGEXMATCH($AM322,"\.(png|jpg|jpeg|gif)$"),$AM322,"https://s3.tradingview.com/snapshots/"&amp;LOWER(MID(REGEXEXTRACT($AM322,"/x/([A-Za-z0-9]+)"),1,1))&amp;"/"&amp;REGEXEXTRACT($AM322,"/x/([A-Za-z0-9]+)")&amp;".png"),1),"⚠️ link tidak dikenali"))</f>
        <v/>
      </c>
      <c r="AO322" s="68"/>
      <c r="AP322" s="58" t="str">
        <f>IF($AO322="","",IFERROR(_xlfn.IMAGE(IF(REGEXMATCH($AO322,"\.(png|jpg|jpeg|gif)$"),$AO322,"https://s3.tradingview.com/snapshots/"&amp;LOWER(MID(REGEXEXTRACT($AO322,"/x/([A-Za-z0-9]+)"),1,1))&amp;"/"&amp;REGEXEXTRACT($AO322,"/x/([A-Za-z0-9]+)")&amp;".png"),1),"⚠️ link tidak dikenali"))</f>
        <v/>
      </c>
      <c r="AQ322" s="66">
        <f>IF($Z322="",0,IF(AND(OR('📊 Dashboard'!$B$4="(Semua)",$F322='📊 Dashboard'!$B$4),OR('📊 Dashboard'!$B$5="(Semua)",$H322='📊 Dashboard'!$B$5),OR('📊 Dashboard'!$B$6="(Semua)",$E322='📊 Dashboard'!$B$6),OR('📊 Dashboard'!$B$7="(Semua)",$AF322='📊 Dashboard'!$B$7),OR('📊 Dashboard'!$B$8="(Semua)",$AG322='📊 Dashboard'!$B$8),OR('📊 Dashboard'!$B$9="(Semua)",$K322='📊 Dashboard'!$B$9)),1,0))</f>
        <v>0</v>
      </c>
      <c r="AR322" s="69"/>
    </row>
    <row r="323" ht="58" customHeight="1" spans="1:44">
      <c r="A323" s="58" t="str">
        <f t="shared" ref="A323:A386" si="35">IF($B323="","",ROW()-2)</f>
        <v/>
      </c>
      <c r="B323" s="59"/>
      <c r="C323" s="60"/>
      <c r="D323" s="60"/>
      <c r="E323" s="58" t="str">
        <f t="shared" ref="E323:E386" si="36">IF($C323="","",IF(AND($C323&gt;=TIME(14,0,0),$C323&lt;TIME(19,30,0)),"London",IF(AND($C323&gt;=TIME(19,30,0),$C323&lt;TIME(23,0,0)),"Overlap LDN+NY",IF(OR($C323&gt;=TIME(23,0,0),$C323&lt;TIME(4,0,0)),"New York","Asia"))))</f>
        <v/>
      </c>
      <c r="F323" s="61"/>
      <c r="G323" s="61"/>
      <c r="H323" s="61"/>
      <c r="I323" s="61"/>
      <c r="J323" s="61"/>
      <c r="K323" s="61"/>
      <c r="L323" s="61"/>
      <c r="M323" s="61"/>
      <c r="N323" s="62"/>
      <c r="O323" s="62"/>
      <c r="P323" s="62"/>
      <c r="Q323" s="62"/>
      <c r="R323" s="63" t="str">
        <f>IFERROR(IF(OR($N323="",$O323="",$F323=""),"",ROUND(('⚙️ Setelan'!$B$3*'⚙️ Setelan'!$B$4/100)/(ABS($N323-$O323)*VLOOKUP($F323,'⚙️ Setelan'!$A$14:$F$20,4,FALSE)),2)),"")</f>
        <v/>
      </c>
      <c r="S323" s="64"/>
      <c r="T323" s="65" t="str">
        <f>IFERROR(IF(OR($N323="",$O323="",$S323=""),"",ABS($N323-$O323)*$S323*VLOOKUP($F323,'⚙️ Setelan'!$A$14:$F$20,4,FALSE)),"")</f>
        <v/>
      </c>
      <c r="U323" s="63" t="str">
        <f t="shared" ref="U323:U386" si="37">IFERROR(IF(OR($N323="",$O323="",$P323=""),"",ROUND(ABS($P323-$N323)/ABS($N323-$O323),2)),"")</f>
        <v/>
      </c>
      <c r="V323" s="65" t="str">
        <f>IFERROR(IF(OR($Q323="",$N323="",$S323=""),"",($Q323-$N323)*IF($G323="Buy",1,-1)*$S323*VLOOKUP($F323,'⚙️ Setelan'!$A$14:$F$20,4,FALSE)),"")</f>
        <v/>
      </c>
      <c r="W323" s="65" t="str">
        <f>IFERROR(IF(OR($S323="",$F323=""),"",$S323*VLOOKUP($F323,'⚙️ Setelan'!$A$14:$F$20,5,FALSE)),"")</f>
        <v/>
      </c>
      <c r="X323" s="65" t="str">
        <f t="shared" ref="X323:X386" si="38">IF($V323="","",$V323-IF($W323="",0,$W323))</f>
        <v/>
      </c>
      <c r="Y323" s="63" t="str">
        <f t="shared" ref="Y323:Y386" si="39">IF(OR($X323="",$T323="",$T323=0),"",ROUND($X323/$T323,2))</f>
        <v/>
      </c>
      <c r="Z323" s="58" t="str">
        <f t="shared" ref="Z323:Z386" si="40">IF($X323="","",IF($X323&gt;0,"Win",IF($X323&lt;0,"Loss","BE")))</f>
        <v/>
      </c>
      <c r="AA323" s="66" t="str">
        <f t="shared" ref="AA323:AA386" si="41">IF(OR($C323="",$D323=""),"",ROUND(MOD($D323-$C323,1)*1440,0))</f>
        <v/>
      </c>
      <c r="AB323" s="62"/>
      <c r="AC323" s="62"/>
      <c r="AD323" s="63" t="str">
        <f>IFERROR(IF(OR($AB323="",$T323="",$T323=0),"",ROUND(ABS($N323-$AB323)*$S323*VLOOKUP($F323,'⚙️ Setelan'!$A$14:$F$20,4,FALSE)/$T323,2)),"")</f>
        <v/>
      </c>
      <c r="AE323" s="63" t="str">
        <f>IFERROR(IF(OR($AC323="",$T323="",$T323=0),"",ROUND(ABS($AC323-$N323)*$S323*VLOOKUP($F323,'⚙️ Setelan'!$A$14:$F$20,4,FALSE)/$T323,2)),"")</f>
        <v/>
      </c>
      <c r="AF323" s="61"/>
      <c r="AG323" s="61"/>
      <c r="AH323" s="61"/>
      <c r="AI323" s="61"/>
      <c r="AJ323" s="61"/>
      <c r="AK323" s="67"/>
      <c r="AL323" s="58" t="str">
        <f>IF(OR($C323="",$B323=""),"",IF(AND($Z322="Loss",$B323=$B322,MOD($C323-$D322,1)*1440&lt;'⚙️ Setelan'!$B$9),"⚠️ Revenge",""))</f>
        <v/>
      </c>
      <c r="AM323" s="68"/>
      <c r="AN323" s="58" t="str">
        <f>IF($AM323="","",IFERROR(_xlfn.IMAGE(IF(REGEXMATCH($AM323,"\.(png|jpg|jpeg|gif)$"),$AM323,"https://s3.tradingview.com/snapshots/"&amp;LOWER(MID(REGEXEXTRACT($AM323,"/x/([A-Za-z0-9]+)"),1,1))&amp;"/"&amp;REGEXEXTRACT($AM323,"/x/([A-Za-z0-9]+)")&amp;".png"),1),"⚠️ link tidak dikenali"))</f>
        <v/>
      </c>
      <c r="AO323" s="68"/>
      <c r="AP323" s="58" t="str">
        <f>IF($AO323="","",IFERROR(_xlfn.IMAGE(IF(REGEXMATCH($AO323,"\.(png|jpg|jpeg|gif)$"),$AO323,"https://s3.tradingview.com/snapshots/"&amp;LOWER(MID(REGEXEXTRACT($AO323,"/x/([A-Za-z0-9]+)"),1,1))&amp;"/"&amp;REGEXEXTRACT($AO323,"/x/([A-Za-z0-9]+)")&amp;".png"),1),"⚠️ link tidak dikenali"))</f>
        <v/>
      </c>
      <c r="AQ323" s="66">
        <f>IF($Z323="",0,IF(AND(OR('📊 Dashboard'!$B$4="(Semua)",$F323='📊 Dashboard'!$B$4),OR('📊 Dashboard'!$B$5="(Semua)",$H323='📊 Dashboard'!$B$5),OR('📊 Dashboard'!$B$6="(Semua)",$E323='📊 Dashboard'!$B$6),OR('📊 Dashboard'!$B$7="(Semua)",$AF323='📊 Dashboard'!$B$7),OR('📊 Dashboard'!$B$8="(Semua)",$AG323='📊 Dashboard'!$B$8),OR('📊 Dashboard'!$B$9="(Semua)",$K323='📊 Dashboard'!$B$9)),1,0))</f>
        <v>0</v>
      </c>
      <c r="AR323" s="69"/>
    </row>
    <row r="324" ht="58" customHeight="1" spans="1:44">
      <c r="A324" s="58" t="str">
        <f t="shared" si="35"/>
        <v/>
      </c>
      <c r="B324" s="59"/>
      <c r="C324" s="60"/>
      <c r="D324" s="60"/>
      <c r="E324" s="58" t="str">
        <f t="shared" si="36"/>
        <v/>
      </c>
      <c r="F324" s="61"/>
      <c r="G324" s="61"/>
      <c r="H324" s="61"/>
      <c r="I324" s="61"/>
      <c r="J324" s="61"/>
      <c r="K324" s="61"/>
      <c r="L324" s="61"/>
      <c r="M324" s="61"/>
      <c r="N324" s="62"/>
      <c r="O324" s="62"/>
      <c r="P324" s="62"/>
      <c r="Q324" s="62"/>
      <c r="R324" s="63" t="str">
        <f>IFERROR(IF(OR($N324="",$O324="",$F324=""),"",ROUND(('⚙️ Setelan'!$B$3*'⚙️ Setelan'!$B$4/100)/(ABS($N324-$O324)*VLOOKUP($F324,'⚙️ Setelan'!$A$14:$F$20,4,FALSE)),2)),"")</f>
        <v/>
      </c>
      <c r="S324" s="64"/>
      <c r="T324" s="65" t="str">
        <f>IFERROR(IF(OR($N324="",$O324="",$S324=""),"",ABS($N324-$O324)*$S324*VLOOKUP($F324,'⚙️ Setelan'!$A$14:$F$20,4,FALSE)),"")</f>
        <v/>
      </c>
      <c r="U324" s="63" t="str">
        <f t="shared" si="37"/>
        <v/>
      </c>
      <c r="V324" s="65" t="str">
        <f>IFERROR(IF(OR($Q324="",$N324="",$S324=""),"",($Q324-$N324)*IF($G324="Buy",1,-1)*$S324*VLOOKUP($F324,'⚙️ Setelan'!$A$14:$F$20,4,FALSE)),"")</f>
        <v/>
      </c>
      <c r="W324" s="65" t="str">
        <f>IFERROR(IF(OR($S324="",$F324=""),"",$S324*VLOOKUP($F324,'⚙️ Setelan'!$A$14:$F$20,5,FALSE)),"")</f>
        <v/>
      </c>
      <c r="X324" s="65" t="str">
        <f t="shared" si="38"/>
        <v/>
      </c>
      <c r="Y324" s="63" t="str">
        <f t="shared" si="39"/>
        <v/>
      </c>
      <c r="Z324" s="58" t="str">
        <f t="shared" si="40"/>
        <v/>
      </c>
      <c r="AA324" s="66" t="str">
        <f t="shared" si="41"/>
        <v/>
      </c>
      <c r="AB324" s="62"/>
      <c r="AC324" s="62"/>
      <c r="AD324" s="63" t="str">
        <f>IFERROR(IF(OR($AB324="",$T324="",$T324=0),"",ROUND(ABS($N324-$AB324)*$S324*VLOOKUP($F324,'⚙️ Setelan'!$A$14:$F$20,4,FALSE)/$T324,2)),"")</f>
        <v/>
      </c>
      <c r="AE324" s="63" t="str">
        <f>IFERROR(IF(OR($AC324="",$T324="",$T324=0),"",ROUND(ABS($AC324-$N324)*$S324*VLOOKUP($F324,'⚙️ Setelan'!$A$14:$F$20,4,FALSE)/$T324,2)),"")</f>
        <v/>
      </c>
      <c r="AF324" s="61"/>
      <c r="AG324" s="61"/>
      <c r="AH324" s="61"/>
      <c r="AI324" s="61"/>
      <c r="AJ324" s="61"/>
      <c r="AK324" s="67"/>
      <c r="AL324" s="58" t="str">
        <f>IF(OR($C324="",$B324=""),"",IF(AND($Z323="Loss",$B324=$B323,MOD($C324-$D323,1)*1440&lt;'⚙️ Setelan'!$B$9),"⚠️ Revenge",""))</f>
        <v/>
      </c>
      <c r="AM324" s="68"/>
      <c r="AN324" s="58" t="str">
        <f>IF($AM324="","",IFERROR(_xlfn.IMAGE(IF(REGEXMATCH($AM324,"\.(png|jpg|jpeg|gif)$"),$AM324,"https://s3.tradingview.com/snapshots/"&amp;LOWER(MID(REGEXEXTRACT($AM324,"/x/([A-Za-z0-9]+)"),1,1))&amp;"/"&amp;REGEXEXTRACT($AM324,"/x/([A-Za-z0-9]+)")&amp;".png"),1),"⚠️ link tidak dikenali"))</f>
        <v/>
      </c>
      <c r="AO324" s="68"/>
      <c r="AP324" s="58" t="str">
        <f>IF($AO324="","",IFERROR(_xlfn.IMAGE(IF(REGEXMATCH($AO324,"\.(png|jpg|jpeg|gif)$"),$AO324,"https://s3.tradingview.com/snapshots/"&amp;LOWER(MID(REGEXEXTRACT($AO324,"/x/([A-Za-z0-9]+)"),1,1))&amp;"/"&amp;REGEXEXTRACT($AO324,"/x/([A-Za-z0-9]+)")&amp;".png"),1),"⚠️ link tidak dikenali"))</f>
        <v/>
      </c>
      <c r="AQ324" s="66">
        <f>IF($Z324="",0,IF(AND(OR('📊 Dashboard'!$B$4="(Semua)",$F324='📊 Dashboard'!$B$4),OR('📊 Dashboard'!$B$5="(Semua)",$H324='📊 Dashboard'!$B$5),OR('📊 Dashboard'!$B$6="(Semua)",$E324='📊 Dashboard'!$B$6),OR('📊 Dashboard'!$B$7="(Semua)",$AF324='📊 Dashboard'!$B$7),OR('📊 Dashboard'!$B$8="(Semua)",$AG324='📊 Dashboard'!$B$8),OR('📊 Dashboard'!$B$9="(Semua)",$K324='📊 Dashboard'!$B$9)),1,0))</f>
        <v>0</v>
      </c>
      <c r="AR324" s="69"/>
    </row>
    <row r="325" ht="58" customHeight="1" spans="1:44">
      <c r="A325" s="58" t="str">
        <f t="shared" si="35"/>
        <v/>
      </c>
      <c r="B325" s="59"/>
      <c r="C325" s="60"/>
      <c r="D325" s="60"/>
      <c r="E325" s="58" t="str">
        <f t="shared" si="36"/>
        <v/>
      </c>
      <c r="F325" s="61"/>
      <c r="G325" s="61"/>
      <c r="H325" s="61"/>
      <c r="I325" s="61"/>
      <c r="J325" s="61"/>
      <c r="K325" s="61"/>
      <c r="L325" s="61"/>
      <c r="M325" s="61"/>
      <c r="N325" s="62"/>
      <c r="O325" s="62"/>
      <c r="P325" s="62"/>
      <c r="Q325" s="62"/>
      <c r="R325" s="63" t="str">
        <f>IFERROR(IF(OR($N325="",$O325="",$F325=""),"",ROUND(('⚙️ Setelan'!$B$3*'⚙️ Setelan'!$B$4/100)/(ABS($N325-$O325)*VLOOKUP($F325,'⚙️ Setelan'!$A$14:$F$20,4,FALSE)),2)),"")</f>
        <v/>
      </c>
      <c r="S325" s="64"/>
      <c r="T325" s="65" t="str">
        <f>IFERROR(IF(OR($N325="",$O325="",$S325=""),"",ABS($N325-$O325)*$S325*VLOOKUP($F325,'⚙️ Setelan'!$A$14:$F$20,4,FALSE)),"")</f>
        <v/>
      </c>
      <c r="U325" s="63" t="str">
        <f t="shared" si="37"/>
        <v/>
      </c>
      <c r="V325" s="65" t="str">
        <f>IFERROR(IF(OR($Q325="",$N325="",$S325=""),"",($Q325-$N325)*IF($G325="Buy",1,-1)*$S325*VLOOKUP($F325,'⚙️ Setelan'!$A$14:$F$20,4,FALSE)),"")</f>
        <v/>
      </c>
      <c r="W325" s="65" t="str">
        <f>IFERROR(IF(OR($S325="",$F325=""),"",$S325*VLOOKUP($F325,'⚙️ Setelan'!$A$14:$F$20,5,FALSE)),"")</f>
        <v/>
      </c>
      <c r="X325" s="65" t="str">
        <f t="shared" si="38"/>
        <v/>
      </c>
      <c r="Y325" s="63" t="str">
        <f t="shared" si="39"/>
        <v/>
      </c>
      <c r="Z325" s="58" t="str">
        <f t="shared" si="40"/>
        <v/>
      </c>
      <c r="AA325" s="66" t="str">
        <f t="shared" si="41"/>
        <v/>
      </c>
      <c r="AB325" s="62"/>
      <c r="AC325" s="62"/>
      <c r="AD325" s="63" t="str">
        <f>IFERROR(IF(OR($AB325="",$T325="",$T325=0),"",ROUND(ABS($N325-$AB325)*$S325*VLOOKUP($F325,'⚙️ Setelan'!$A$14:$F$20,4,FALSE)/$T325,2)),"")</f>
        <v/>
      </c>
      <c r="AE325" s="63" t="str">
        <f>IFERROR(IF(OR($AC325="",$T325="",$T325=0),"",ROUND(ABS($AC325-$N325)*$S325*VLOOKUP($F325,'⚙️ Setelan'!$A$14:$F$20,4,FALSE)/$T325,2)),"")</f>
        <v/>
      </c>
      <c r="AF325" s="61"/>
      <c r="AG325" s="61"/>
      <c r="AH325" s="61"/>
      <c r="AI325" s="61"/>
      <c r="AJ325" s="61"/>
      <c r="AK325" s="67"/>
      <c r="AL325" s="58" t="str">
        <f>IF(OR($C325="",$B325=""),"",IF(AND($Z324="Loss",$B325=$B324,MOD($C325-$D324,1)*1440&lt;'⚙️ Setelan'!$B$9),"⚠️ Revenge",""))</f>
        <v/>
      </c>
      <c r="AM325" s="68"/>
      <c r="AN325" s="58" t="str">
        <f>IF($AM325="","",IFERROR(_xlfn.IMAGE(IF(REGEXMATCH($AM325,"\.(png|jpg|jpeg|gif)$"),$AM325,"https://s3.tradingview.com/snapshots/"&amp;LOWER(MID(REGEXEXTRACT($AM325,"/x/([A-Za-z0-9]+)"),1,1))&amp;"/"&amp;REGEXEXTRACT($AM325,"/x/([A-Za-z0-9]+)")&amp;".png"),1),"⚠️ link tidak dikenali"))</f>
        <v/>
      </c>
      <c r="AO325" s="68"/>
      <c r="AP325" s="58" t="str">
        <f>IF($AO325="","",IFERROR(_xlfn.IMAGE(IF(REGEXMATCH($AO325,"\.(png|jpg|jpeg|gif)$"),$AO325,"https://s3.tradingview.com/snapshots/"&amp;LOWER(MID(REGEXEXTRACT($AO325,"/x/([A-Za-z0-9]+)"),1,1))&amp;"/"&amp;REGEXEXTRACT($AO325,"/x/([A-Za-z0-9]+)")&amp;".png"),1),"⚠️ link tidak dikenali"))</f>
        <v/>
      </c>
      <c r="AQ325" s="66">
        <f>IF($Z325="",0,IF(AND(OR('📊 Dashboard'!$B$4="(Semua)",$F325='📊 Dashboard'!$B$4),OR('📊 Dashboard'!$B$5="(Semua)",$H325='📊 Dashboard'!$B$5),OR('📊 Dashboard'!$B$6="(Semua)",$E325='📊 Dashboard'!$B$6),OR('📊 Dashboard'!$B$7="(Semua)",$AF325='📊 Dashboard'!$B$7),OR('📊 Dashboard'!$B$8="(Semua)",$AG325='📊 Dashboard'!$B$8),OR('📊 Dashboard'!$B$9="(Semua)",$K325='📊 Dashboard'!$B$9)),1,0))</f>
        <v>0</v>
      </c>
      <c r="AR325" s="69"/>
    </row>
    <row r="326" ht="58" customHeight="1" spans="1:44">
      <c r="A326" s="58" t="str">
        <f t="shared" si="35"/>
        <v/>
      </c>
      <c r="B326" s="59"/>
      <c r="C326" s="60"/>
      <c r="D326" s="60"/>
      <c r="E326" s="58" t="str">
        <f t="shared" si="36"/>
        <v/>
      </c>
      <c r="F326" s="61"/>
      <c r="G326" s="61"/>
      <c r="H326" s="61"/>
      <c r="I326" s="61"/>
      <c r="J326" s="61"/>
      <c r="K326" s="61"/>
      <c r="L326" s="61"/>
      <c r="M326" s="61"/>
      <c r="N326" s="62"/>
      <c r="O326" s="62"/>
      <c r="P326" s="62"/>
      <c r="Q326" s="62"/>
      <c r="R326" s="63" t="str">
        <f>IFERROR(IF(OR($N326="",$O326="",$F326=""),"",ROUND(('⚙️ Setelan'!$B$3*'⚙️ Setelan'!$B$4/100)/(ABS($N326-$O326)*VLOOKUP($F326,'⚙️ Setelan'!$A$14:$F$20,4,FALSE)),2)),"")</f>
        <v/>
      </c>
      <c r="S326" s="64"/>
      <c r="T326" s="65" t="str">
        <f>IFERROR(IF(OR($N326="",$O326="",$S326=""),"",ABS($N326-$O326)*$S326*VLOOKUP($F326,'⚙️ Setelan'!$A$14:$F$20,4,FALSE)),"")</f>
        <v/>
      </c>
      <c r="U326" s="63" t="str">
        <f t="shared" si="37"/>
        <v/>
      </c>
      <c r="V326" s="65" t="str">
        <f>IFERROR(IF(OR($Q326="",$N326="",$S326=""),"",($Q326-$N326)*IF($G326="Buy",1,-1)*$S326*VLOOKUP($F326,'⚙️ Setelan'!$A$14:$F$20,4,FALSE)),"")</f>
        <v/>
      </c>
      <c r="W326" s="65" t="str">
        <f>IFERROR(IF(OR($S326="",$F326=""),"",$S326*VLOOKUP($F326,'⚙️ Setelan'!$A$14:$F$20,5,FALSE)),"")</f>
        <v/>
      </c>
      <c r="X326" s="65" t="str">
        <f t="shared" si="38"/>
        <v/>
      </c>
      <c r="Y326" s="63" t="str">
        <f t="shared" si="39"/>
        <v/>
      </c>
      <c r="Z326" s="58" t="str">
        <f t="shared" si="40"/>
        <v/>
      </c>
      <c r="AA326" s="66" t="str">
        <f t="shared" si="41"/>
        <v/>
      </c>
      <c r="AB326" s="62"/>
      <c r="AC326" s="62"/>
      <c r="AD326" s="63" t="str">
        <f>IFERROR(IF(OR($AB326="",$T326="",$T326=0),"",ROUND(ABS($N326-$AB326)*$S326*VLOOKUP($F326,'⚙️ Setelan'!$A$14:$F$20,4,FALSE)/$T326,2)),"")</f>
        <v/>
      </c>
      <c r="AE326" s="63" t="str">
        <f>IFERROR(IF(OR($AC326="",$T326="",$T326=0),"",ROUND(ABS($AC326-$N326)*$S326*VLOOKUP($F326,'⚙️ Setelan'!$A$14:$F$20,4,FALSE)/$T326,2)),"")</f>
        <v/>
      </c>
      <c r="AF326" s="61"/>
      <c r="AG326" s="61"/>
      <c r="AH326" s="61"/>
      <c r="AI326" s="61"/>
      <c r="AJ326" s="61"/>
      <c r="AK326" s="67"/>
      <c r="AL326" s="58" t="str">
        <f>IF(OR($C326="",$B326=""),"",IF(AND($Z325="Loss",$B326=$B325,MOD($C326-$D325,1)*1440&lt;'⚙️ Setelan'!$B$9),"⚠️ Revenge",""))</f>
        <v/>
      </c>
      <c r="AM326" s="68"/>
      <c r="AN326" s="58" t="str">
        <f>IF($AM326="","",IFERROR(_xlfn.IMAGE(IF(REGEXMATCH($AM326,"\.(png|jpg|jpeg|gif)$"),$AM326,"https://s3.tradingview.com/snapshots/"&amp;LOWER(MID(REGEXEXTRACT($AM326,"/x/([A-Za-z0-9]+)"),1,1))&amp;"/"&amp;REGEXEXTRACT($AM326,"/x/([A-Za-z0-9]+)")&amp;".png"),1),"⚠️ link tidak dikenali"))</f>
        <v/>
      </c>
      <c r="AO326" s="68"/>
      <c r="AP326" s="58" t="str">
        <f>IF($AO326="","",IFERROR(_xlfn.IMAGE(IF(REGEXMATCH($AO326,"\.(png|jpg|jpeg|gif)$"),$AO326,"https://s3.tradingview.com/snapshots/"&amp;LOWER(MID(REGEXEXTRACT($AO326,"/x/([A-Za-z0-9]+)"),1,1))&amp;"/"&amp;REGEXEXTRACT($AO326,"/x/([A-Za-z0-9]+)")&amp;".png"),1),"⚠️ link tidak dikenali"))</f>
        <v/>
      </c>
      <c r="AQ326" s="66">
        <f>IF($Z326="",0,IF(AND(OR('📊 Dashboard'!$B$4="(Semua)",$F326='📊 Dashboard'!$B$4),OR('📊 Dashboard'!$B$5="(Semua)",$H326='📊 Dashboard'!$B$5),OR('📊 Dashboard'!$B$6="(Semua)",$E326='📊 Dashboard'!$B$6),OR('📊 Dashboard'!$B$7="(Semua)",$AF326='📊 Dashboard'!$B$7),OR('📊 Dashboard'!$B$8="(Semua)",$AG326='📊 Dashboard'!$B$8),OR('📊 Dashboard'!$B$9="(Semua)",$K326='📊 Dashboard'!$B$9)),1,0))</f>
        <v>0</v>
      </c>
      <c r="AR326" s="69"/>
    </row>
    <row r="327" ht="58" customHeight="1" spans="1:44">
      <c r="A327" s="58" t="str">
        <f t="shared" si="35"/>
        <v/>
      </c>
      <c r="B327" s="59"/>
      <c r="C327" s="60"/>
      <c r="D327" s="60"/>
      <c r="E327" s="58" t="str">
        <f t="shared" si="36"/>
        <v/>
      </c>
      <c r="F327" s="61"/>
      <c r="G327" s="61"/>
      <c r="H327" s="61"/>
      <c r="I327" s="61"/>
      <c r="J327" s="61"/>
      <c r="K327" s="61"/>
      <c r="L327" s="61"/>
      <c r="M327" s="61"/>
      <c r="N327" s="62"/>
      <c r="O327" s="62"/>
      <c r="P327" s="62"/>
      <c r="Q327" s="62"/>
      <c r="R327" s="63" t="str">
        <f>IFERROR(IF(OR($N327="",$O327="",$F327=""),"",ROUND(('⚙️ Setelan'!$B$3*'⚙️ Setelan'!$B$4/100)/(ABS($N327-$O327)*VLOOKUP($F327,'⚙️ Setelan'!$A$14:$F$20,4,FALSE)),2)),"")</f>
        <v/>
      </c>
      <c r="S327" s="64"/>
      <c r="T327" s="65" t="str">
        <f>IFERROR(IF(OR($N327="",$O327="",$S327=""),"",ABS($N327-$O327)*$S327*VLOOKUP($F327,'⚙️ Setelan'!$A$14:$F$20,4,FALSE)),"")</f>
        <v/>
      </c>
      <c r="U327" s="63" t="str">
        <f t="shared" si="37"/>
        <v/>
      </c>
      <c r="V327" s="65" t="str">
        <f>IFERROR(IF(OR($Q327="",$N327="",$S327=""),"",($Q327-$N327)*IF($G327="Buy",1,-1)*$S327*VLOOKUP($F327,'⚙️ Setelan'!$A$14:$F$20,4,FALSE)),"")</f>
        <v/>
      </c>
      <c r="W327" s="65" t="str">
        <f>IFERROR(IF(OR($S327="",$F327=""),"",$S327*VLOOKUP($F327,'⚙️ Setelan'!$A$14:$F$20,5,FALSE)),"")</f>
        <v/>
      </c>
      <c r="X327" s="65" t="str">
        <f t="shared" si="38"/>
        <v/>
      </c>
      <c r="Y327" s="63" t="str">
        <f t="shared" si="39"/>
        <v/>
      </c>
      <c r="Z327" s="58" t="str">
        <f t="shared" si="40"/>
        <v/>
      </c>
      <c r="AA327" s="66" t="str">
        <f t="shared" si="41"/>
        <v/>
      </c>
      <c r="AB327" s="62"/>
      <c r="AC327" s="62"/>
      <c r="AD327" s="63" t="str">
        <f>IFERROR(IF(OR($AB327="",$T327="",$T327=0),"",ROUND(ABS($N327-$AB327)*$S327*VLOOKUP($F327,'⚙️ Setelan'!$A$14:$F$20,4,FALSE)/$T327,2)),"")</f>
        <v/>
      </c>
      <c r="AE327" s="63" t="str">
        <f>IFERROR(IF(OR($AC327="",$T327="",$T327=0),"",ROUND(ABS($AC327-$N327)*$S327*VLOOKUP($F327,'⚙️ Setelan'!$A$14:$F$20,4,FALSE)/$T327,2)),"")</f>
        <v/>
      </c>
      <c r="AF327" s="61"/>
      <c r="AG327" s="61"/>
      <c r="AH327" s="61"/>
      <c r="AI327" s="61"/>
      <c r="AJ327" s="61"/>
      <c r="AK327" s="67"/>
      <c r="AL327" s="58" t="str">
        <f>IF(OR($C327="",$B327=""),"",IF(AND($Z326="Loss",$B327=$B326,MOD($C327-$D326,1)*1440&lt;'⚙️ Setelan'!$B$9),"⚠️ Revenge",""))</f>
        <v/>
      </c>
      <c r="AM327" s="68"/>
      <c r="AN327" s="58" t="str">
        <f>IF($AM327="","",IFERROR(_xlfn.IMAGE(IF(REGEXMATCH($AM327,"\.(png|jpg|jpeg|gif)$"),$AM327,"https://s3.tradingview.com/snapshots/"&amp;LOWER(MID(REGEXEXTRACT($AM327,"/x/([A-Za-z0-9]+)"),1,1))&amp;"/"&amp;REGEXEXTRACT($AM327,"/x/([A-Za-z0-9]+)")&amp;".png"),1),"⚠️ link tidak dikenali"))</f>
        <v/>
      </c>
      <c r="AO327" s="68"/>
      <c r="AP327" s="58" t="str">
        <f>IF($AO327="","",IFERROR(_xlfn.IMAGE(IF(REGEXMATCH($AO327,"\.(png|jpg|jpeg|gif)$"),$AO327,"https://s3.tradingview.com/snapshots/"&amp;LOWER(MID(REGEXEXTRACT($AO327,"/x/([A-Za-z0-9]+)"),1,1))&amp;"/"&amp;REGEXEXTRACT($AO327,"/x/([A-Za-z0-9]+)")&amp;".png"),1),"⚠️ link tidak dikenali"))</f>
        <v/>
      </c>
      <c r="AQ327" s="66">
        <f>IF($Z327="",0,IF(AND(OR('📊 Dashboard'!$B$4="(Semua)",$F327='📊 Dashboard'!$B$4),OR('📊 Dashboard'!$B$5="(Semua)",$H327='📊 Dashboard'!$B$5),OR('📊 Dashboard'!$B$6="(Semua)",$E327='📊 Dashboard'!$B$6),OR('📊 Dashboard'!$B$7="(Semua)",$AF327='📊 Dashboard'!$B$7),OR('📊 Dashboard'!$B$8="(Semua)",$AG327='📊 Dashboard'!$B$8),OR('📊 Dashboard'!$B$9="(Semua)",$K327='📊 Dashboard'!$B$9)),1,0))</f>
        <v>0</v>
      </c>
      <c r="AR327" s="69"/>
    </row>
    <row r="328" ht="58" customHeight="1" spans="1:44">
      <c r="A328" s="58" t="str">
        <f t="shared" si="35"/>
        <v/>
      </c>
      <c r="B328" s="59"/>
      <c r="C328" s="60"/>
      <c r="D328" s="60"/>
      <c r="E328" s="58" t="str">
        <f t="shared" si="36"/>
        <v/>
      </c>
      <c r="F328" s="61"/>
      <c r="G328" s="61"/>
      <c r="H328" s="61"/>
      <c r="I328" s="61"/>
      <c r="J328" s="61"/>
      <c r="K328" s="61"/>
      <c r="L328" s="61"/>
      <c r="M328" s="61"/>
      <c r="N328" s="62"/>
      <c r="O328" s="62"/>
      <c r="P328" s="62"/>
      <c r="Q328" s="62"/>
      <c r="R328" s="63" t="str">
        <f>IFERROR(IF(OR($N328="",$O328="",$F328=""),"",ROUND(('⚙️ Setelan'!$B$3*'⚙️ Setelan'!$B$4/100)/(ABS($N328-$O328)*VLOOKUP($F328,'⚙️ Setelan'!$A$14:$F$20,4,FALSE)),2)),"")</f>
        <v/>
      </c>
      <c r="S328" s="64"/>
      <c r="T328" s="65" t="str">
        <f>IFERROR(IF(OR($N328="",$O328="",$S328=""),"",ABS($N328-$O328)*$S328*VLOOKUP($F328,'⚙️ Setelan'!$A$14:$F$20,4,FALSE)),"")</f>
        <v/>
      </c>
      <c r="U328" s="63" t="str">
        <f t="shared" si="37"/>
        <v/>
      </c>
      <c r="V328" s="65" t="str">
        <f>IFERROR(IF(OR($Q328="",$N328="",$S328=""),"",($Q328-$N328)*IF($G328="Buy",1,-1)*$S328*VLOOKUP($F328,'⚙️ Setelan'!$A$14:$F$20,4,FALSE)),"")</f>
        <v/>
      </c>
      <c r="W328" s="65" t="str">
        <f>IFERROR(IF(OR($S328="",$F328=""),"",$S328*VLOOKUP($F328,'⚙️ Setelan'!$A$14:$F$20,5,FALSE)),"")</f>
        <v/>
      </c>
      <c r="X328" s="65" t="str">
        <f t="shared" si="38"/>
        <v/>
      </c>
      <c r="Y328" s="63" t="str">
        <f t="shared" si="39"/>
        <v/>
      </c>
      <c r="Z328" s="58" t="str">
        <f t="shared" si="40"/>
        <v/>
      </c>
      <c r="AA328" s="66" t="str">
        <f t="shared" si="41"/>
        <v/>
      </c>
      <c r="AB328" s="62"/>
      <c r="AC328" s="62"/>
      <c r="AD328" s="63" t="str">
        <f>IFERROR(IF(OR($AB328="",$T328="",$T328=0),"",ROUND(ABS($N328-$AB328)*$S328*VLOOKUP($F328,'⚙️ Setelan'!$A$14:$F$20,4,FALSE)/$T328,2)),"")</f>
        <v/>
      </c>
      <c r="AE328" s="63" t="str">
        <f>IFERROR(IF(OR($AC328="",$T328="",$T328=0),"",ROUND(ABS($AC328-$N328)*$S328*VLOOKUP($F328,'⚙️ Setelan'!$A$14:$F$20,4,FALSE)/$T328,2)),"")</f>
        <v/>
      </c>
      <c r="AF328" s="61"/>
      <c r="AG328" s="61"/>
      <c r="AH328" s="61"/>
      <c r="AI328" s="61"/>
      <c r="AJ328" s="61"/>
      <c r="AK328" s="67"/>
      <c r="AL328" s="58" t="str">
        <f>IF(OR($C328="",$B328=""),"",IF(AND($Z327="Loss",$B328=$B327,MOD($C328-$D327,1)*1440&lt;'⚙️ Setelan'!$B$9),"⚠️ Revenge",""))</f>
        <v/>
      </c>
      <c r="AM328" s="68"/>
      <c r="AN328" s="58" t="str">
        <f>IF($AM328="","",IFERROR(_xlfn.IMAGE(IF(REGEXMATCH($AM328,"\.(png|jpg|jpeg|gif)$"),$AM328,"https://s3.tradingview.com/snapshots/"&amp;LOWER(MID(REGEXEXTRACT($AM328,"/x/([A-Za-z0-9]+)"),1,1))&amp;"/"&amp;REGEXEXTRACT($AM328,"/x/([A-Za-z0-9]+)")&amp;".png"),1),"⚠️ link tidak dikenali"))</f>
        <v/>
      </c>
      <c r="AO328" s="68"/>
      <c r="AP328" s="58" t="str">
        <f>IF($AO328="","",IFERROR(_xlfn.IMAGE(IF(REGEXMATCH($AO328,"\.(png|jpg|jpeg|gif)$"),$AO328,"https://s3.tradingview.com/snapshots/"&amp;LOWER(MID(REGEXEXTRACT($AO328,"/x/([A-Za-z0-9]+)"),1,1))&amp;"/"&amp;REGEXEXTRACT($AO328,"/x/([A-Za-z0-9]+)")&amp;".png"),1),"⚠️ link tidak dikenali"))</f>
        <v/>
      </c>
      <c r="AQ328" s="66">
        <f>IF($Z328="",0,IF(AND(OR('📊 Dashboard'!$B$4="(Semua)",$F328='📊 Dashboard'!$B$4),OR('📊 Dashboard'!$B$5="(Semua)",$H328='📊 Dashboard'!$B$5),OR('📊 Dashboard'!$B$6="(Semua)",$E328='📊 Dashboard'!$B$6),OR('📊 Dashboard'!$B$7="(Semua)",$AF328='📊 Dashboard'!$B$7),OR('📊 Dashboard'!$B$8="(Semua)",$AG328='📊 Dashboard'!$B$8),OR('📊 Dashboard'!$B$9="(Semua)",$K328='📊 Dashboard'!$B$9)),1,0))</f>
        <v>0</v>
      </c>
      <c r="AR328" s="69"/>
    </row>
    <row r="329" ht="58" customHeight="1" spans="1:44">
      <c r="A329" s="58" t="str">
        <f t="shared" si="35"/>
        <v/>
      </c>
      <c r="B329" s="59"/>
      <c r="C329" s="60"/>
      <c r="D329" s="60"/>
      <c r="E329" s="58" t="str">
        <f t="shared" si="36"/>
        <v/>
      </c>
      <c r="F329" s="61"/>
      <c r="G329" s="61"/>
      <c r="H329" s="61"/>
      <c r="I329" s="61"/>
      <c r="J329" s="61"/>
      <c r="K329" s="61"/>
      <c r="L329" s="61"/>
      <c r="M329" s="61"/>
      <c r="N329" s="62"/>
      <c r="O329" s="62"/>
      <c r="P329" s="62"/>
      <c r="Q329" s="62"/>
      <c r="R329" s="63" t="str">
        <f>IFERROR(IF(OR($N329="",$O329="",$F329=""),"",ROUND(('⚙️ Setelan'!$B$3*'⚙️ Setelan'!$B$4/100)/(ABS($N329-$O329)*VLOOKUP($F329,'⚙️ Setelan'!$A$14:$F$20,4,FALSE)),2)),"")</f>
        <v/>
      </c>
      <c r="S329" s="64"/>
      <c r="T329" s="65" t="str">
        <f>IFERROR(IF(OR($N329="",$O329="",$S329=""),"",ABS($N329-$O329)*$S329*VLOOKUP($F329,'⚙️ Setelan'!$A$14:$F$20,4,FALSE)),"")</f>
        <v/>
      </c>
      <c r="U329" s="63" t="str">
        <f t="shared" si="37"/>
        <v/>
      </c>
      <c r="V329" s="65" t="str">
        <f>IFERROR(IF(OR($Q329="",$N329="",$S329=""),"",($Q329-$N329)*IF($G329="Buy",1,-1)*$S329*VLOOKUP($F329,'⚙️ Setelan'!$A$14:$F$20,4,FALSE)),"")</f>
        <v/>
      </c>
      <c r="W329" s="65" t="str">
        <f>IFERROR(IF(OR($S329="",$F329=""),"",$S329*VLOOKUP($F329,'⚙️ Setelan'!$A$14:$F$20,5,FALSE)),"")</f>
        <v/>
      </c>
      <c r="X329" s="65" t="str">
        <f t="shared" si="38"/>
        <v/>
      </c>
      <c r="Y329" s="63" t="str">
        <f t="shared" si="39"/>
        <v/>
      </c>
      <c r="Z329" s="58" t="str">
        <f t="shared" si="40"/>
        <v/>
      </c>
      <c r="AA329" s="66" t="str">
        <f t="shared" si="41"/>
        <v/>
      </c>
      <c r="AB329" s="62"/>
      <c r="AC329" s="62"/>
      <c r="AD329" s="63" t="str">
        <f>IFERROR(IF(OR($AB329="",$T329="",$T329=0),"",ROUND(ABS($N329-$AB329)*$S329*VLOOKUP($F329,'⚙️ Setelan'!$A$14:$F$20,4,FALSE)/$T329,2)),"")</f>
        <v/>
      </c>
      <c r="AE329" s="63" t="str">
        <f>IFERROR(IF(OR($AC329="",$T329="",$T329=0),"",ROUND(ABS($AC329-$N329)*$S329*VLOOKUP($F329,'⚙️ Setelan'!$A$14:$F$20,4,FALSE)/$T329,2)),"")</f>
        <v/>
      </c>
      <c r="AF329" s="61"/>
      <c r="AG329" s="61"/>
      <c r="AH329" s="61"/>
      <c r="AI329" s="61"/>
      <c r="AJ329" s="61"/>
      <c r="AK329" s="67"/>
      <c r="AL329" s="58" t="str">
        <f>IF(OR($C329="",$B329=""),"",IF(AND($Z328="Loss",$B329=$B328,MOD($C329-$D328,1)*1440&lt;'⚙️ Setelan'!$B$9),"⚠️ Revenge",""))</f>
        <v/>
      </c>
      <c r="AM329" s="68"/>
      <c r="AN329" s="58" t="str">
        <f>IF($AM329="","",IFERROR(_xlfn.IMAGE(IF(REGEXMATCH($AM329,"\.(png|jpg|jpeg|gif)$"),$AM329,"https://s3.tradingview.com/snapshots/"&amp;LOWER(MID(REGEXEXTRACT($AM329,"/x/([A-Za-z0-9]+)"),1,1))&amp;"/"&amp;REGEXEXTRACT($AM329,"/x/([A-Za-z0-9]+)")&amp;".png"),1),"⚠️ link tidak dikenali"))</f>
        <v/>
      </c>
      <c r="AO329" s="68"/>
      <c r="AP329" s="58" t="str">
        <f>IF($AO329="","",IFERROR(_xlfn.IMAGE(IF(REGEXMATCH($AO329,"\.(png|jpg|jpeg|gif)$"),$AO329,"https://s3.tradingview.com/snapshots/"&amp;LOWER(MID(REGEXEXTRACT($AO329,"/x/([A-Za-z0-9]+)"),1,1))&amp;"/"&amp;REGEXEXTRACT($AO329,"/x/([A-Za-z0-9]+)")&amp;".png"),1),"⚠️ link tidak dikenali"))</f>
        <v/>
      </c>
      <c r="AQ329" s="66">
        <f>IF($Z329="",0,IF(AND(OR('📊 Dashboard'!$B$4="(Semua)",$F329='📊 Dashboard'!$B$4),OR('📊 Dashboard'!$B$5="(Semua)",$H329='📊 Dashboard'!$B$5),OR('📊 Dashboard'!$B$6="(Semua)",$E329='📊 Dashboard'!$B$6),OR('📊 Dashboard'!$B$7="(Semua)",$AF329='📊 Dashboard'!$B$7),OR('📊 Dashboard'!$B$8="(Semua)",$AG329='📊 Dashboard'!$B$8),OR('📊 Dashboard'!$B$9="(Semua)",$K329='📊 Dashboard'!$B$9)),1,0))</f>
        <v>0</v>
      </c>
      <c r="AR329" s="69"/>
    </row>
    <row r="330" ht="58" customHeight="1" spans="1:44">
      <c r="A330" s="58" t="str">
        <f t="shared" si="35"/>
        <v/>
      </c>
      <c r="B330" s="59"/>
      <c r="C330" s="60"/>
      <c r="D330" s="60"/>
      <c r="E330" s="58" t="str">
        <f t="shared" si="36"/>
        <v/>
      </c>
      <c r="F330" s="61"/>
      <c r="G330" s="61"/>
      <c r="H330" s="61"/>
      <c r="I330" s="61"/>
      <c r="J330" s="61"/>
      <c r="K330" s="61"/>
      <c r="L330" s="61"/>
      <c r="M330" s="61"/>
      <c r="N330" s="62"/>
      <c r="O330" s="62"/>
      <c r="P330" s="62"/>
      <c r="Q330" s="62"/>
      <c r="R330" s="63" t="str">
        <f>IFERROR(IF(OR($N330="",$O330="",$F330=""),"",ROUND(('⚙️ Setelan'!$B$3*'⚙️ Setelan'!$B$4/100)/(ABS($N330-$O330)*VLOOKUP($F330,'⚙️ Setelan'!$A$14:$F$20,4,FALSE)),2)),"")</f>
        <v/>
      </c>
      <c r="S330" s="64"/>
      <c r="T330" s="65" t="str">
        <f>IFERROR(IF(OR($N330="",$O330="",$S330=""),"",ABS($N330-$O330)*$S330*VLOOKUP($F330,'⚙️ Setelan'!$A$14:$F$20,4,FALSE)),"")</f>
        <v/>
      </c>
      <c r="U330" s="63" t="str">
        <f t="shared" si="37"/>
        <v/>
      </c>
      <c r="V330" s="65" t="str">
        <f>IFERROR(IF(OR($Q330="",$N330="",$S330=""),"",($Q330-$N330)*IF($G330="Buy",1,-1)*$S330*VLOOKUP($F330,'⚙️ Setelan'!$A$14:$F$20,4,FALSE)),"")</f>
        <v/>
      </c>
      <c r="W330" s="65" t="str">
        <f>IFERROR(IF(OR($S330="",$F330=""),"",$S330*VLOOKUP($F330,'⚙️ Setelan'!$A$14:$F$20,5,FALSE)),"")</f>
        <v/>
      </c>
      <c r="X330" s="65" t="str">
        <f t="shared" si="38"/>
        <v/>
      </c>
      <c r="Y330" s="63" t="str">
        <f t="shared" si="39"/>
        <v/>
      </c>
      <c r="Z330" s="58" t="str">
        <f t="shared" si="40"/>
        <v/>
      </c>
      <c r="AA330" s="66" t="str">
        <f t="shared" si="41"/>
        <v/>
      </c>
      <c r="AB330" s="62"/>
      <c r="AC330" s="62"/>
      <c r="AD330" s="63" t="str">
        <f>IFERROR(IF(OR($AB330="",$T330="",$T330=0),"",ROUND(ABS($N330-$AB330)*$S330*VLOOKUP($F330,'⚙️ Setelan'!$A$14:$F$20,4,FALSE)/$T330,2)),"")</f>
        <v/>
      </c>
      <c r="AE330" s="63" t="str">
        <f>IFERROR(IF(OR($AC330="",$T330="",$T330=0),"",ROUND(ABS($AC330-$N330)*$S330*VLOOKUP($F330,'⚙️ Setelan'!$A$14:$F$20,4,FALSE)/$T330,2)),"")</f>
        <v/>
      </c>
      <c r="AF330" s="61"/>
      <c r="AG330" s="61"/>
      <c r="AH330" s="61"/>
      <c r="AI330" s="61"/>
      <c r="AJ330" s="61"/>
      <c r="AK330" s="67"/>
      <c r="AL330" s="58" t="str">
        <f>IF(OR($C330="",$B330=""),"",IF(AND($Z329="Loss",$B330=$B329,MOD($C330-$D329,1)*1440&lt;'⚙️ Setelan'!$B$9),"⚠️ Revenge",""))</f>
        <v/>
      </c>
      <c r="AM330" s="68"/>
      <c r="AN330" s="58" t="str">
        <f>IF($AM330="","",IFERROR(_xlfn.IMAGE(IF(REGEXMATCH($AM330,"\.(png|jpg|jpeg|gif)$"),$AM330,"https://s3.tradingview.com/snapshots/"&amp;LOWER(MID(REGEXEXTRACT($AM330,"/x/([A-Za-z0-9]+)"),1,1))&amp;"/"&amp;REGEXEXTRACT($AM330,"/x/([A-Za-z0-9]+)")&amp;".png"),1),"⚠️ link tidak dikenali"))</f>
        <v/>
      </c>
      <c r="AO330" s="68"/>
      <c r="AP330" s="58" t="str">
        <f>IF($AO330="","",IFERROR(_xlfn.IMAGE(IF(REGEXMATCH($AO330,"\.(png|jpg|jpeg|gif)$"),$AO330,"https://s3.tradingview.com/snapshots/"&amp;LOWER(MID(REGEXEXTRACT($AO330,"/x/([A-Za-z0-9]+)"),1,1))&amp;"/"&amp;REGEXEXTRACT($AO330,"/x/([A-Za-z0-9]+)")&amp;".png"),1),"⚠️ link tidak dikenali"))</f>
        <v/>
      </c>
      <c r="AQ330" s="66">
        <f>IF($Z330="",0,IF(AND(OR('📊 Dashboard'!$B$4="(Semua)",$F330='📊 Dashboard'!$B$4),OR('📊 Dashboard'!$B$5="(Semua)",$H330='📊 Dashboard'!$B$5),OR('📊 Dashboard'!$B$6="(Semua)",$E330='📊 Dashboard'!$B$6),OR('📊 Dashboard'!$B$7="(Semua)",$AF330='📊 Dashboard'!$B$7),OR('📊 Dashboard'!$B$8="(Semua)",$AG330='📊 Dashboard'!$B$8),OR('📊 Dashboard'!$B$9="(Semua)",$K330='📊 Dashboard'!$B$9)),1,0))</f>
        <v>0</v>
      </c>
      <c r="AR330" s="69"/>
    </row>
    <row r="331" ht="58" customHeight="1" spans="1:44">
      <c r="A331" s="58" t="str">
        <f t="shared" si="35"/>
        <v/>
      </c>
      <c r="B331" s="59"/>
      <c r="C331" s="60"/>
      <c r="D331" s="60"/>
      <c r="E331" s="58" t="str">
        <f t="shared" si="36"/>
        <v/>
      </c>
      <c r="F331" s="61"/>
      <c r="G331" s="61"/>
      <c r="H331" s="61"/>
      <c r="I331" s="61"/>
      <c r="J331" s="61"/>
      <c r="K331" s="61"/>
      <c r="L331" s="61"/>
      <c r="M331" s="61"/>
      <c r="N331" s="62"/>
      <c r="O331" s="62"/>
      <c r="P331" s="62"/>
      <c r="Q331" s="62"/>
      <c r="R331" s="63" t="str">
        <f>IFERROR(IF(OR($N331="",$O331="",$F331=""),"",ROUND(('⚙️ Setelan'!$B$3*'⚙️ Setelan'!$B$4/100)/(ABS($N331-$O331)*VLOOKUP($F331,'⚙️ Setelan'!$A$14:$F$20,4,FALSE)),2)),"")</f>
        <v/>
      </c>
      <c r="S331" s="64"/>
      <c r="T331" s="65" t="str">
        <f>IFERROR(IF(OR($N331="",$O331="",$S331=""),"",ABS($N331-$O331)*$S331*VLOOKUP($F331,'⚙️ Setelan'!$A$14:$F$20,4,FALSE)),"")</f>
        <v/>
      </c>
      <c r="U331" s="63" t="str">
        <f t="shared" si="37"/>
        <v/>
      </c>
      <c r="V331" s="65" t="str">
        <f>IFERROR(IF(OR($Q331="",$N331="",$S331=""),"",($Q331-$N331)*IF($G331="Buy",1,-1)*$S331*VLOOKUP($F331,'⚙️ Setelan'!$A$14:$F$20,4,FALSE)),"")</f>
        <v/>
      </c>
      <c r="W331" s="65" t="str">
        <f>IFERROR(IF(OR($S331="",$F331=""),"",$S331*VLOOKUP($F331,'⚙️ Setelan'!$A$14:$F$20,5,FALSE)),"")</f>
        <v/>
      </c>
      <c r="X331" s="65" t="str">
        <f t="shared" si="38"/>
        <v/>
      </c>
      <c r="Y331" s="63" t="str">
        <f t="shared" si="39"/>
        <v/>
      </c>
      <c r="Z331" s="58" t="str">
        <f t="shared" si="40"/>
        <v/>
      </c>
      <c r="AA331" s="66" t="str">
        <f t="shared" si="41"/>
        <v/>
      </c>
      <c r="AB331" s="62"/>
      <c r="AC331" s="62"/>
      <c r="AD331" s="63" t="str">
        <f>IFERROR(IF(OR($AB331="",$T331="",$T331=0),"",ROUND(ABS($N331-$AB331)*$S331*VLOOKUP($F331,'⚙️ Setelan'!$A$14:$F$20,4,FALSE)/$T331,2)),"")</f>
        <v/>
      </c>
      <c r="AE331" s="63" t="str">
        <f>IFERROR(IF(OR($AC331="",$T331="",$T331=0),"",ROUND(ABS($AC331-$N331)*$S331*VLOOKUP($F331,'⚙️ Setelan'!$A$14:$F$20,4,FALSE)/$T331,2)),"")</f>
        <v/>
      </c>
      <c r="AF331" s="61"/>
      <c r="AG331" s="61"/>
      <c r="AH331" s="61"/>
      <c r="AI331" s="61"/>
      <c r="AJ331" s="61"/>
      <c r="AK331" s="67"/>
      <c r="AL331" s="58" t="str">
        <f>IF(OR($C331="",$B331=""),"",IF(AND($Z330="Loss",$B331=$B330,MOD($C331-$D330,1)*1440&lt;'⚙️ Setelan'!$B$9),"⚠️ Revenge",""))</f>
        <v/>
      </c>
      <c r="AM331" s="68"/>
      <c r="AN331" s="58" t="str">
        <f>IF($AM331="","",IFERROR(_xlfn.IMAGE(IF(REGEXMATCH($AM331,"\.(png|jpg|jpeg|gif)$"),$AM331,"https://s3.tradingview.com/snapshots/"&amp;LOWER(MID(REGEXEXTRACT($AM331,"/x/([A-Za-z0-9]+)"),1,1))&amp;"/"&amp;REGEXEXTRACT($AM331,"/x/([A-Za-z0-9]+)")&amp;".png"),1),"⚠️ link tidak dikenali"))</f>
        <v/>
      </c>
      <c r="AO331" s="68"/>
      <c r="AP331" s="58" t="str">
        <f>IF($AO331="","",IFERROR(_xlfn.IMAGE(IF(REGEXMATCH($AO331,"\.(png|jpg|jpeg|gif)$"),$AO331,"https://s3.tradingview.com/snapshots/"&amp;LOWER(MID(REGEXEXTRACT($AO331,"/x/([A-Za-z0-9]+)"),1,1))&amp;"/"&amp;REGEXEXTRACT($AO331,"/x/([A-Za-z0-9]+)")&amp;".png"),1),"⚠️ link tidak dikenali"))</f>
        <v/>
      </c>
      <c r="AQ331" s="66">
        <f>IF($Z331="",0,IF(AND(OR('📊 Dashboard'!$B$4="(Semua)",$F331='📊 Dashboard'!$B$4),OR('📊 Dashboard'!$B$5="(Semua)",$H331='📊 Dashboard'!$B$5),OR('📊 Dashboard'!$B$6="(Semua)",$E331='📊 Dashboard'!$B$6),OR('📊 Dashboard'!$B$7="(Semua)",$AF331='📊 Dashboard'!$B$7),OR('📊 Dashboard'!$B$8="(Semua)",$AG331='📊 Dashboard'!$B$8),OR('📊 Dashboard'!$B$9="(Semua)",$K331='📊 Dashboard'!$B$9)),1,0))</f>
        <v>0</v>
      </c>
      <c r="AR331" s="69"/>
    </row>
    <row r="332" ht="58" customHeight="1" spans="1:44">
      <c r="A332" s="58" t="str">
        <f t="shared" si="35"/>
        <v/>
      </c>
      <c r="B332" s="59"/>
      <c r="C332" s="60"/>
      <c r="D332" s="60"/>
      <c r="E332" s="58" t="str">
        <f t="shared" si="36"/>
        <v/>
      </c>
      <c r="F332" s="61"/>
      <c r="G332" s="61"/>
      <c r="H332" s="61"/>
      <c r="I332" s="61"/>
      <c r="J332" s="61"/>
      <c r="K332" s="61"/>
      <c r="L332" s="61"/>
      <c r="M332" s="61"/>
      <c r="N332" s="62"/>
      <c r="O332" s="62"/>
      <c r="P332" s="62"/>
      <c r="Q332" s="62"/>
      <c r="R332" s="63" t="str">
        <f>IFERROR(IF(OR($N332="",$O332="",$F332=""),"",ROUND(('⚙️ Setelan'!$B$3*'⚙️ Setelan'!$B$4/100)/(ABS($N332-$O332)*VLOOKUP($F332,'⚙️ Setelan'!$A$14:$F$20,4,FALSE)),2)),"")</f>
        <v/>
      </c>
      <c r="S332" s="64"/>
      <c r="T332" s="65" t="str">
        <f>IFERROR(IF(OR($N332="",$O332="",$S332=""),"",ABS($N332-$O332)*$S332*VLOOKUP($F332,'⚙️ Setelan'!$A$14:$F$20,4,FALSE)),"")</f>
        <v/>
      </c>
      <c r="U332" s="63" t="str">
        <f t="shared" si="37"/>
        <v/>
      </c>
      <c r="V332" s="65" t="str">
        <f>IFERROR(IF(OR($Q332="",$N332="",$S332=""),"",($Q332-$N332)*IF($G332="Buy",1,-1)*$S332*VLOOKUP($F332,'⚙️ Setelan'!$A$14:$F$20,4,FALSE)),"")</f>
        <v/>
      </c>
      <c r="W332" s="65" t="str">
        <f>IFERROR(IF(OR($S332="",$F332=""),"",$S332*VLOOKUP($F332,'⚙️ Setelan'!$A$14:$F$20,5,FALSE)),"")</f>
        <v/>
      </c>
      <c r="X332" s="65" t="str">
        <f t="shared" si="38"/>
        <v/>
      </c>
      <c r="Y332" s="63" t="str">
        <f t="shared" si="39"/>
        <v/>
      </c>
      <c r="Z332" s="58" t="str">
        <f t="shared" si="40"/>
        <v/>
      </c>
      <c r="AA332" s="66" t="str">
        <f t="shared" si="41"/>
        <v/>
      </c>
      <c r="AB332" s="62"/>
      <c r="AC332" s="62"/>
      <c r="AD332" s="63" t="str">
        <f>IFERROR(IF(OR($AB332="",$T332="",$T332=0),"",ROUND(ABS($N332-$AB332)*$S332*VLOOKUP($F332,'⚙️ Setelan'!$A$14:$F$20,4,FALSE)/$T332,2)),"")</f>
        <v/>
      </c>
      <c r="AE332" s="63" t="str">
        <f>IFERROR(IF(OR($AC332="",$T332="",$T332=0),"",ROUND(ABS($AC332-$N332)*$S332*VLOOKUP($F332,'⚙️ Setelan'!$A$14:$F$20,4,FALSE)/$T332,2)),"")</f>
        <v/>
      </c>
      <c r="AF332" s="61"/>
      <c r="AG332" s="61"/>
      <c r="AH332" s="61"/>
      <c r="AI332" s="61"/>
      <c r="AJ332" s="61"/>
      <c r="AK332" s="67"/>
      <c r="AL332" s="58" t="str">
        <f>IF(OR($C332="",$B332=""),"",IF(AND($Z331="Loss",$B332=$B331,MOD($C332-$D331,1)*1440&lt;'⚙️ Setelan'!$B$9),"⚠️ Revenge",""))</f>
        <v/>
      </c>
      <c r="AM332" s="68"/>
      <c r="AN332" s="58" t="str">
        <f>IF($AM332="","",IFERROR(_xlfn.IMAGE(IF(REGEXMATCH($AM332,"\.(png|jpg|jpeg|gif)$"),$AM332,"https://s3.tradingview.com/snapshots/"&amp;LOWER(MID(REGEXEXTRACT($AM332,"/x/([A-Za-z0-9]+)"),1,1))&amp;"/"&amp;REGEXEXTRACT($AM332,"/x/([A-Za-z0-9]+)")&amp;".png"),1),"⚠️ link tidak dikenali"))</f>
        <v/>
      </c>
      <c r="AO332" s="68"/>
      <c r="AP332" s="58" t="str">
        <f>IF($AO332="","",IFERROR(_xlfn.IMAGE(IF(REGEXMATCH($AO332,"\.(png|jpg|jpeg|gif)$"),$AO332,"https://s3.tradingview.com/snapshots/"&amp;LOWER(MID(REGEXEXTRACT($AO332,"/x/([A-Za-z0-9]+)"),1,1))&amp;"/"&amp;REGEXEXTRACT($AO332,"/x/([A-Za-z0-9]+)")&amp;".png"),1),"⚠️ link tidak dikenali"))</f>
        <v/>
      </c>
      <c r="AQ332" s="66">
        <f>IF($Z332="",0,IF(AND(OR('📊 Dashboard'!$B$4="(Semua)",$F332='📊 Dashboard'!$B$4),OR('📊 Dashboard'!$B$5="(Semua)",$H332='📊 Dashboard'!$B$5),OR('📊 Dashboard'!$B$6="(Semua)",$E332='📊 Dashboard'!$B$6),OR('📊 Dashboard'!$B$7="(Semua)",$AF332='📊 Dashboard'!$B$7),OR('📊 Dashboard'!$B$8="(Semua)",$AG332='📊 Dashboard'!$B$8),OR('📊 Dashboard'!$B$9="(Semua)",$K332='📊 Dashboard'!$B$9)),1,0))</f>
        <v>0</v>
      </c>
      <c r="AR332" s="69"/>
    </row>
    <row r="333" ht="58" customHeight="1" spans="1:44">
      <c r="A333" s="58" t="str">
        <f t="shared" si="35"/>
        <v/>
      </c>
      <c r="B333" s="59"/>
      <c r="C333" s="60"/>
      <c r="D333" s="60"/>
      <c r="E333" s="58" t="str">
        <f t="shared" si="36"/>
        <v/>
      </c>
      <c r="F333" s="61"/>
      <c r="G333" s="61"/>
      <c r="H333" s="61"/>
      <c r="I333" s="61"/>
      <c r="J333" s="61"/>
      <c r="K333" s="61"/>
      <c r="L333" s="61"/>
      <c r="M333" s="61"/>
      <c r="N333" s="62"/>
      <c r="O333" s="62"/>
      <c r="P333" s="62"/>
      <c r="Q333" s="62"/>
      <c r="R333" s="63" t="str">
        <f>IFERROR(IF(OR($N333="",$O333="",$F333=""),"",ROUND(('⚙️ Setelan'!$B$3*'⚙️ Setelan'!$B$4/100)/(ABS($N333-$O333)*VLOOKUP($F333,'⚙️ Setelan'!$A$14:$F$20,4,FALSE)),2)),"")</f>
        <v/>
      </c>
      <c r="S333" s="64"/>
      <c r="T333" s="65" t="str">
        <f>IFERROR(IF(OR($N333="",$O333="",$S333=""),"",ABS($N333-$O333)*$S333*VLOOKUP($F333,'⚙️ Setelan'!$A$14:$F$20,4,FALSE)),"")</f>
        <v/>
      </c>
      <c r="U333" s="63" t="str">
        <f t="shared" si="37"/>
        <v/>
      </c>
      <c r="V333" s="65" t="str">
        <f>IFERROR(IF(OR($Q333="",$N333="",$S333=""),"",($Q333-$N333)*IF($G333="Buy",1,-1)*$S333*VLOOKUP($F333,'⚙️ Setelan'!$A$14:$F$20,4,FALSE)),"")</f>
        <v/>
      </c>
      <c r="W333" s="65" t="str">
        <f>IFERROR(IF(OR($S333="",$F333=""),"",$S333*VLOOKUP($F333,'⚙️ Setelan'!$A$14:$F$20,5,FALSE)),"")</f>
        <v/>
      </c>
      <c r="X333" s="65" t="str">
        <f t="shared" si="38"/>
        <v/>
      </c>
      <c r="Y333" s="63" t="str">
        <f t="shared" si="39"/>
        <v/>
      </c>
      <c r="Z333" s="58" t="str">
        <f t="shared" si="40"/>
        <v/>
      </c>
      <c r="AA333" s="66" t="str">
        <f t="shared" si="41"/>
        <v/>
      </c>
      <c r="AB333" s="62"/>
      <c r="AC333" s="62"/>
      <c r="AD333" s="63" t="str">
        <f>IFERROR(IF(OR($AB333="",$T333="",$T333=0),"",ROUND(ABS($N333-$AB333)*$S333*VLOOKUP($F333,'⚙️ Setelan'!$A$14:$F$20,4,FALSE)/$T333,2)),"")</f>
        <v/>
      </c>
      <c r="AE333" s="63" t="str">
        <f>IFERROR(IF(OR($AC333="",$T333="",$T333=0),"",ROUND(ABS($AC333-$N333)*$S333*VLOOKUP($F333,'⚙️ Setelan'!$A$14:$F$20,4,FALSE)/$T333,2)),"")</f>
        <v/>
      </c>
      <c r="AF333" s="61"/>
      <c r="AG333" s="61"/>
      <c r="AH333" s="61"/>
      <c r="AI333" s="61"/>
      <c r="AJ333" s="61"/>
      <c r="AK333" s="67"/>
      <c r="AL333" s="58" t="str">
        <f>IF(OR($C333="",$B333=""),"",IF(AND($Z332="Loss",$B333=$B332,MOD($C333-$D332,1)*1440&lt;'⚙️ Setelan'!$B$9),"⚠️ Revenge",""))</f>
        <v/>
      </c>
      <c r="AM333" s="68"/>
      <c r="AN333" s="58" t="str">
        <f>IF($AM333="","",IFERROR(_xlfn.IMAGE(IF(REGEXMATCH($AM333,"\.(png|jpg|jpeg|gif)$"),$AM333,"https://s3.tradingview.com/snapshots/"&amp;LOWER(MID(REGEXEXTRACT($AM333,"/x/([A-Za-z0-9]+)"),1,1))&amp;"/"&amp;REGEXEXTRACT($AM333,"/x/([A-Za-z0-9]+)")&amp;".png"),1),"⚠️ link tidak dikenali"))</f>
        <v/>
      </c>
      <c r="AO333" s="68"/>
      <c r="AP333" s="58" t="str">
        <f>IF($AO333="","",IFERROR(_xlfn.IMAGE(IF(REGEXMATCH($AO333,"\.(png|jpg|jpeg|gif)$"),$AO333,"https://s3.tradingview.com/snapshots/"&amp;LOWER(MID(REGEXEXTRACT($AO333,"/x/([A-Za-z0-9]+)"),1,1))&amp;"/"&amp;REGEXEXTRACT($AO333,"/x/([A-Za-z0-9]+)")&amp;".png"),1),"⚠️ link tidak dikenali"))</f>
        <v/>
      </c>
      <c r="AQ333" s="66">
        <f>IF($Z333="",0,IF(AND(OR('📊 Dashboard'!$B$4="(Semua)",$F333='📊 Dashboard'!$B$4),OR('📊 Dashboard'!$B$5="(Semua)",$H333='📊 Dashboard'!$B$5),OR('📊 Dashboard'!$B$6="(Semua)",$E333='📊 Dashboard'!$B$6),OR('📊 Dashboard'!$B$7="(Semua)",$AF333='📊 Dashboard'!$B$7),OR('📊 Dashboard'!$B$8="(Semua)",$AG333='📊 Dashboard'!$B$8),OR('📊 Dashboard'!$B$9="(Semua)",$K333='📊 Dashboard'!$B$9)),1,0))</f>
        <v>0</v>
      </c>
      <c r="AR333" s="69"/>
    </row>
    <row r="334" ht="58" customHeight="1" spans="1:44">
      <c r="A334" s="58" t="str">
        <f t="shared" si="35"/>
        <v/>
      </c>
      <c r="B334" s="59"/>
      <c r="C334" s="60"/>
      <c r="D334" s="60"/>
      <c r="E334" s="58" t="str">
        <f t="shared" si="36"/>
        <v/>
      </c>
      <c r="F334" s="61"/>
      <c r="G334" s="61"/>
      <c r="H334" s="61"/>
      <c r="I334" s="61"/>
      <c r="J334" s="61"/>
      <c r="K334" s="61"/>
      <c r="L334" s="61"/>
      <c r="M334" s="61"/>
      <c r="N334" s="62"/>
      <c r="O334" s="62"/>
      <c r="P334" s="62"/>
      <c r="Q334" s="62"/>
      <c r="R334" s="63" t="str">
        <f>IFERROR(IF(OR($N334="",$O334="",$F334=""),"",ROUND(('⚙️ Setelan'!$B$3*'⚙️ Setelan'!$B$4/100)/(ABS($N334-$O334)*VLOOKUP($F334,'⚙️ Setelan'!$A$14:$F$20,4,FALSE)),2)),"")</f>
        <v/>
      </c>
      <c r="S334" s="64"/>
      <c r="T334" s="65" t="str">
        <f>IFERROR(IF(OR($N334="",$O334="",$S334=""),"",ABS($N334-$O334)*$S334*VLOOKUP($F334,'⚙️ Setelan'!$A$14:$F$20,4,FALSE)),"")</f>
        <v/>
      </c>
      <c r="U334" s="63" t="str">
        <f t="shared" si="37"/>
        <v/>
      </c>
      <c r="V334" s="65" t="str">
        <f>IFERROR(IF(OR($Q334="",$N334="",$S334=""),"",($Q334-$N334)*IF($G334="Buy",1,-1)*$S334*VLOOKUP($F334,'⚙️ Setelan'!$A$14:$F$20,4,FALSE)),"")</f>
        <v/>
      </c>
      <c r="W334" s="65" t="str">
        <f>IFERROR(IF(OR($S334="",$F334=""),"",$S334*VLOOKUP($F334,'⚙️ Setelan'!$A$14:$F$20,5,FALSE)),"")</f>
        <v/>
      </c>
      <c r="X334" s="65" t="str">
        <f t="shared" si="38"/>
        <v/>
      </c>
      <c r="Y334" s="63" t="str">
        <f t="shared" si="39"/>
        <v/>
      </c>
      <c r="Z334" s="58" t="str">
        <f t="shared" si="40"/>
        <v/>
      </c>
      <c r="AA334" s="66" t="str">
        <f t="shared" si="41"/>
        <v/>
      </c>
      <c r="AB334" s="62"/>
      <c r="AC334" s="62"/>
      <c r="AD334" s="63" t="str">
        <f>IFERROR(IF(OR($AB334="",$T334="",$T334=0),"",ROUND(ABS($N334-$AB334)*$S334*VLOOKUP($F334,'⚙️ Setelan'!$A$14:$F$20,4,FALSE)/$T334,2)),"")</f>
        <v/>
      </c>
      <c r="AE334" s="63" t="str">
        <f>IFERROR(IF(OR($AC334="",$T334="",$T334=0),"",ROUND(ABS($AC334-$N334)*$S334*VLOOKUP($F334,'⚙️ Setelan'!$A$14:$F$20,4,FALSE)/$T334,2)),"")</f>
        <v/>
      </c>
      <c r="AF334" s="61"/>
      <c r="AG334" s="61"/>
      <c r="AH334" s="61"/>
      <c r="AI334" s="61"/>
      <c r="AJ334" s="61"/>
      <c r="AK334" s="67"/>
      <c r="AL334" s="58" t="str">
        <f>IF(OR($C334="",$B334=""),"",IF(AND($Z333="Loss",$B334=$B333,MOD($C334-$D333,1)*1440&lt;'⚙️ Setelan'!$B$9),"⚠️ Revenge",""))</f>
        <v/>
      </c>
      <c r="AM334" s="68"/>
      <c r="AN334" s="58" t="str">
        <f>IF($AM334="","",IFERROR(_xlfn.IMAGE(IF(REGEXMATCH($AM334,"\.(png|jpg|jpeg|gif)$"),$AM334,"https://s3.tradingview.com/snapshots/"&amp;LOWER(MID(REGEXEXTRACT($AM334,"/x/([A-Za-z0-9]+)"),1,1))&amp;"/"&amp;REGEXEXTRACT($AM334,"/x/([A-Za-z0-9]+)")&amp;".png"),1),"⚠️ link tidak dikenali"))</f>
        <v/>
      </c>
      <c r="AO334" s="68"/>
      <c r="AP334" s="58" t="str">
        <f>IF($AO334="","",IFERROR(_xlfn.IMAGE(IF(REGEXMATCH($AO334,"\.(png|jpg|jpeg|gif)$"),$AO334,"https://s3.tradingview.com/snapshots/"&amp;LOWER(MID(REGEXEXTRACT($AO334,"/x/([A-Za-z0-9]+)"),1,1))&amp;"/"&amp;REGEXEXTRACT($AO334,"/x/([A-Za-z0-9]+)")&amp;".png"),1),"⚠️ link tidak dikenali"))</f>
        <v/>
      </c>
      <c r="AQ334" s="66">
        <f>IF($Z334="",0,IF(AND(OR('📊 Dashboard'!$B$4="(Semua)",$F334='📊 Dashboard'!$B$4),OR('📊 Dashboard'!$B$5="(Semua)",$H334='📊 Dashboard'!$B$5),OR('📊 Dashboard'!$B$6="(Semua)",$E334='📊 Dashboard'!$B$6),OR('📊 Dashboard'!$B$7="(Semua)",$AF334='📊 Dashboard'!$B$7),OR('📊 Dashboard'!$B$8="(Semua)",$AG334='📊 Dashboard'!$B$8),OR('📊 Dashboard'!$B$9="(Semua)",$K334='📊 Dashboard'!$B$9)),1,0))</f>
        <v>0</v>
      </c>
      <c r="AR334" s="69"/>
    </row>
    <row r="335" ht="58" customHeight="1" spans="1:44">
      <c r="A335" s="58" t="str">
        <f t="shared" si="35"/>
        <v/>
      </c>
      <c r="B335" s="59"/>
      <c r="C335" s="60"/>
      <c r="D335" s="60"/>
      <c r="E335" s="58" t="str">
        <f t="shared" si="36"/>
        <v/>
      </c>
      <c r="F335" s="61"/>
      <c r="G335" s="61"/>
      <c r="H335" s="61"/>
      <c r="I335" s="61"/>
      <c r="J335" s="61"/>
      <c r="K335" s="61"/>
      <c r="L335" s="61"/>
      <c r="M335" s="61"/>
      <c r="N335" s="62"/>
      <c r="O335" s="62"/>
      <c r="P335" s="62"/>
      <c r="Q335" s="62"/>
      <c r="R335" s="63" t="str">
        <f>IFERROR(IF(OR($N335="",$O335="",$F335=""),"",ROUND(('⚙️ Setelan'!$B$3*'⚙️ Setelan'!$B$4/100)/(ABS($N335-$O335)*VLOOKUP($F335,'⚙️ Setelan'!$A$14:$F$20,4,FALSE)),2)),"")</f>
        <v/>
      </c>
      <c r="S335" s="64"/>
      <c r="T335" s="65" t="str">
        <f>IFERROR(IF(OR($N335="",$O335="",$S335=""),"",ABS($N335-$O335)*$S335*VLOOKUP($F335,'⚙️ Setelan'!$A$14:$F$20,4,FALSE)),"")</f>
        <v/>
      </c>
      <c r="U335" s="63" t="str">
        <f t="shared" si="37"/>
        <v/>
      </c>
      <c r="V335" s="65" t="str">
        <f>IFERROR(IF(OR($Q335="",$N335="",$S335=""),"",($Q335-$N335)*IF($G335="Buy",1,-1)*$S335*VLOOKUP($F335,'⚙️ Setelan'!$A$14:$F$20,4,FALSE)),"")</f>
        <v/>
      </c>
      <c r="W335" s="65" t="str">
        <f>IFERROR(IF(OR($S335="",$F335=""),"",$S335*VLOOKUP($F335,'⚙️ Setelan'!$A$14:$F$20,5,FALSE)),"")</f>
        <v/>
      </c>
      <c r="X335" s="65" t="str">
        <f t="shared" si="38"/>
        <v/>
      </c>
      <c r="Y335" s="63" t="str">
        <f t="shared" si="39"/>
        <v/>
      </c>
      <c r="Z335" s="58" t="str">
        <f t="shared" si="40"/>
        <v/>
      </c>
      <c r="AA335" s="66" t="str">
        <f t="shared" si="41"/>
        <v/>
      </c>
      <c r="AB335" s="62"/>
      <c r="AC335" s="62"/>
      <c r="AD335" s="63" t="str">
        <f>IFERROR(IF(OR($AB335="",$T335="",$T335=0),"",ROUND(ABS($N335-$AB335)*$S335*VLOOKUP($F335,'⚙️ Setelan'!$A$14:$F$20,4,FALSE)/$T335,2)),"")</f>
        <v/>
      </c>
      <c r="AE335" s="63" t="str">
        <f>IFERROR(IF(OR($AC335="",$T335="",$T335=0),"",ROUND(ABS($AC335-$N335)*$S335*VLOOKUP($F335,'⚙️ Setelan'!$A$14:$F$20,4,FALSE)/$T335,2)),"")</f>
        <v/>
      </c>
      <c r="AF335" s="61"/>
      <c r="AG335" s="61"/>
      <c r="AH335" s="61"/>
      <c r="AI335" s="61"/>
      <c r="AJ335" s="61"/>
      <c r="AK335" s="67"/>
      <c r="AL335" s="58" t="str">
        <f>IF(OR($C335="",$B335=""),"",IF(AND($Z334="Loss",$B335=$B334,MOD($C335-$D334,1)*1440&lt;'⚙️ Setelan'!$B$9),"⚠️ Revenge",""))</f>
        <v/>
      </c>
      <c r="AM335" s="68"/>
      <c r="AN335" s="58" t="str">
        <f>IF($AM335="","",IFERROR(_xlfn.IMAGE(IF(REGEXMATCH($AM335,"\.(png|jpg|jpeg|gif)$"),$AM335,"https://s3.tradingview.com/snapshots/"&amp;LOWER(MID(REGEXEXTRACT($AM335,"/x/([A-Za-z0-9]+)"),1,1))&amp;"/"&amp;REGEXEXTRACT($AM335,"/x/([A-Za-z0-9]+)")&amp;".png"),1),"⚠️ link tidak dikenali"))</f>
        <v/>
      </c>
      <c r="AO335" s="68"/>
      <c r="AP335" s="58" t="str">
        <f>IF($AO335="","",IFERROR(_xlfn.IMAGE(IF(REGEXMATCH($AO335,"\.(png|jpg|jpeg|gif)$"),$AO335,"https://s3.tradingview.com/snapshots/"&amp;LOWER(MID(REGEXEXTRACT($AO335,"/x/([A-Za-z0-9]+)"),1,1))&amp;"/"&amp;REGEXEXTRACT($AO335,"/x/([A-Za-z0-9]+)")&amp;".png"),1),"⚠️ link tidak dikenali"))</f>
        <v/>
      </c>
      <c r="AQ335" s="66">
        <f>IF($Z335="",0,IF(AND(OR('📊 Dashboard'!$B$4="(Semua)",$F335='📊 Dashboard'!$B$4),OR('📊 Dashboard'!$B$5="(Semua)",$H335='📊 Dashboard'!$B$5),OR('📊 Dashboard'!$B$6="(Semua)",$E335='📊 Dashboard'!$B$6),OR('📊 Dashboard'!$B$7="(Semua)",$AF335='📊 Dashboard'!$B$7),OR('📊 Dashboard'!$B$8="(Semua)",$AG335='📊 Dashboard'!$B$8),OR('📊 Dashboard'!$B$9="(Semua)",$K335='📊 Dashboard'!$B$9)),1,0))</f>
        <v>0</v>
      </c>
      <c r="AR335" s="69"/>
    </row>
    <row r="336" ht="58" customHeight="1" spans="1:44">
      <c r="A336" s="58" t="str">
        <f t="shared" si="35"/>
        <v/>
      </c>
      <c r="B336" s="59"/>
      <c r="C336" s="60"/>
      <c r="D336" s="60"/>
      <c r="E336" s="58" t="str">
        <f t="shared" si="36"/>
        <v/>
      </c>
      <c r="F336" s="61"/>
      <c r="G336" s="61"/>
      <c r="H336" s="61"/>
      <c r="I336" s="61"/>
      <c r="J336" s="61"/>
      <c r="K336" s="61"/>
      <c r="L336" s="61"/>
      <c r="M336" s="61"/>
      <c r="N336" s="62"/>
      <c r="O336" s="62"/>
      <c r="P336" s="62"/>
      <c r="Q336" s="62"/>
      <c r="R336" s="63" t="str">
        <f>IFERROR(IF(OR($N336="",$O336="",$F336=""),"",ROUND(('⚙️ Setelan'!$B$3*'⚙️ Setelan'!$B$4/100)/(ABS($N336-$O336)*VLOOKUP($F336,'⚙️ Setelan'!$A$14:$F$20,4,FALSE)),2)),"")</f>
        <v/>
      </c>
      <c r="S336" s="64"/>
      <c r="T336" s="65" t="str">
        <f>IFERROR(IF(OR($N336="",$O336="",$S336=""),"",ABS($N336-$O336)*$S336*VLOOKUP($F336,'⚙️ Setelan'!$A$14:$F$20,4,FALSE)),"")</f>
        <v/>
      </c>
      <c r="U336" s="63" t="str">
        <f t="shared" si="37"/>
        <v/>
      </c>
      <c r="V336" s="65" t="str">
        <f>IFERROR(IF(OR($Q336="",$N336="",$S336=""),"",($Q336-$N336)*IF($G336="Buy",1,-1)*$S336*VLOOKUP($F336,'⚙️ Setelan'!$A$14:$F$20,4,FALSE)),"")</f>
        <v/>
      </c>
      <c r="W336" s="65" t="str">
        <f>IFERROR(IF(OR($S336="",$F336=""),"",$S336*VLOOKUP($F336,'⚙️ Setelan'!$A$14:$F$20,5,FALSE)),"")</f>
        <v/>
      </c>
      <c r="X336" s="65" t="str">
        <f t="shared" si="38"/>
        <v/>
      </c>
      <c r="Y336" s="63" t="str">
        <f t="shared" si="39"/>
        <v/>
      </c>
      <c r="Z336" s="58" t="str">
        <f t="shared" si="40"/>
        <v/>
      </c>
      <c r="AA336" s="66" t="str">
        <f t="shared" si="41"/>
        <v/>
      </c>
      <c r="AB336" s="62"/>
      <c r="AC336" s="62"/>
      <c r="AD336" s="63" t="str">
        <f>IFERROR(IF(OR($AB336="",$T336="",$T336=0),"",ROUND(ABS($N336-$AB336)*$S336*VLOOKUP($F336,'⚙️ Setelan'!$A$14:$F$20,4,FALSE)/$T336,2)),"")</f>
        <v/>
      </c>
      <c r="AE336" s="63" t="str">
        <f>IFERROR(IF(OR($AC336="",$T336="",$T336=0),"",ROUND(ABS($AC336-$N336)*$S336*VLOOKUP($F336,'⚙️ Setelan'!$A$14:$F$20,4,FALSE)/$T336,2)),"")</f>
        <v/>
      </c>
      <c r="AF336" s="61"/>
      <c r="AG336" s="61"/>
      <c r="AH336" s="61"/>
      <c r="AI336" s="61"/>
      <c r="AJ336" s="61"/>
      <c r="AK336" s="67"/>
      <c r="AL336" s="58" t="str">
        <f>IF(OR($C336="",$B336=""),"",IF(AND($Z335="Loss",$B336=$B335,MOD($C336-$D335,1)*1440&lt;'⚙️ Setelan'!$B$9),"⚠️ Revenge",""))</f>
        <v/>
      </c>
      <c r="AM336" s="68"/>
      <c r="AN336" s="58" t="str">
        <f>IF($AM336="","",IFERROR(_xlfn.IMAGE(IF(REGEXMATCH($AM336,"\.(png|jpg|jpeg|gif)$"),$AM336,"https://s3.tradingview.com/snapshots/"&amp;LOWER(MID(REGEXEXTRACT($AM336,"/x/([A-Za-z0-9]+)"),1,1))&amp;"/"&amp;REGEXEXTRACT($AM336,"/x/([A-Za-z0-9]+)")&amp;".png"),1),"⚠️ link tidak dikenali"))</f>
        <v/>
      </c>
      <c r="AO336" s="68"/>
      <c r="AP336" s="58" t="str">
        <f>IF($AO336="","",IFERROR(_xlfn.IMAGE(IF(REGEXMATCH($AO336,"\.(png|jpg|jpeg|gif)$"),$AO336,"https://s3.tradingview.com/snapshots/"&amp;LOWER(MID(REGEXEXTRACT($AO336,"/x/([A-Za-z0-9]+)"),1,1))&amp;"/"&amp;REGEXEXTRACT($AO336,"/x/([A-Za-z0-9]+)")&amp;".png"),1),"⚠️ link tidak dikenali"))</f>
        <v/>
      </c>
      <c r="AQ336" s="66">
        <f>IF($Z336="",0,IF(AND(OR('📊 Dashboard'!$B$4="(Semua)",$F336='📊 Dashboard'!$B$4),OR('📊 Dashboard'!$B$5="(Semua)",$H336='📊 Dashboard'!$B$5),OR('📊 Dashboard'!$B$6="(Semua)",$E336='📊 Dashboard'!$B$6),OR('📊 Dashboard'!$B$7="(Semua)",$AF336='📊 Dashboard'!$B$7),OR('📊 Dashboard'!$B$8="(Semua)",$AG336='📊 Dashboard'!$B$8),OR('📊 Dashboard'!$B$9="(Semua)",$K336='📊 Dashboard'!$B$9)),1,0))</f>
        <v>0</v>
      </c>
      <c r="AR336" s="69"/>
    </row>
    <row r="337" ht="58" customHeight="1" spans="1:44">
      <c r="A337" s="58" t="str">
        <f t="shared" si="35"/>
        <v/>
      </c>
      <c r="B337" s="59"/>
      <c r="C337" s="60"/>
      <c r="D337" s="60"/>
      <c r="E337" s="58" t="str">
        <f t="shared" si="36"/>
        <v/>
      </c>
      <c r="F337" s="61"/>
      <c r="G337" s="61"/>
      <c r="H337" s="61"/>
      <c r="I337" s="61"/>
      <c r="J337" s="61"/>
      <c r="K337" s="61"/>
      <c r="L337" s="61"/>
      <c r="M337" s="61"/>
      <c r="N337" s="62"/>
      <c r="O337" s="62"/>
      <c r="P337" s="62"/>
      <c r="Q337" s="62"/>
      <c r="R337" s="63" t="str">
        <f>IFERROR(IF(OR($N337="",$O337="",$F337=""),"",ROUND(('⚙️ Setelan'!$B$3*'⚙️ Setelan'!$B$4/100)/(ABS($N337-$O337)*VLOOKUP($F337,'⚙️ Setelan'!$A$14:$F$20,4,FALSE)),2)),"")</f>
        <v/>
      </c>
      <c r="S337" s="64"/>
      <c r="T337" s="65" t="str">
        <f>IFERROR(IF(OR($N337="",$O337="",$S337=""),"",ABS($N337-$O337)*$S337*VLOOKUP($F337,'⚙️ Setelan'!$A$14:$F$20,4,FALSE)),"")</f>
        <v/>
      </c>
      <c r="U337" s="63" t="str">
        <f t="shared" si="37"/>
        <v/>
      </c>
      <c r="V337" s="65" t="str">
        <f>IFERROR(IF(OR($Q337="",$N337="",$S337=""),"",($Q337-$N337)*IF($G337="Buy",1,-1)*$S337*VLOOKUP($F337,'⚙️ Setelan'!$A$14:$F$20,4,FALSE)),"")</f>
        <v/>
      </c>
      <c r="W337" s="65" t="str">
        <f>IFERROR(IF(OR($S337="",$F337=""),"",$S337*VLOOKUP($F337,'⚙️ Setelan'!$A$14:$F$20,5,FALSE)),"")</f>
        <v/>
      </c>
      <c r="X337" s="65" t="str">
        <f t="shared" si="38"/>
        <v/>
      </c>
      <c r="Y337" s="63" t="str">
        <f t="shared" si="39"/>
        <v/>
      </c>
      <c r="Z337" s="58" t="str">
        <f t="shared" si="40"/>
        <v/>
      </c>
      <c r="AA337" s="66" t="str">
        <f t="shared" si="41"/>
        <v/>
      </c>
      <c r="AB337" s="62"/>
      <c r="AC337" s="62"/>
      <c r="AD337" s="63" t="str">
        <f>IFERROR(IF(OR($AB337="",$T337="",$T337=0),"",ROUND(ABS($N337-$AB337)*$S337*VLOOKUP($F337,'⚙️ Setelan'!$A$14:$F$20,4,FALSE)/$T337,2)),"")</f>
        <v/>
      </c>
      <c r="AE337" s="63" t="str">
        <f>IFERROR(IF(OR($AC337="",$T337="",$T337=0),"",ROUND(ABS($AC337-$N337)*$S337*VLOOKUP($F337,'⚙️ Setelan'!$A$14:$F$20,4,FALSE)/$T337,2)),"")</f>
        <v/>
      </c>
      <c r="AF337" s="61"/>
      <c r="AG337" s="61"/>
      <c r="AH337" s="61"/>
      <c r="AI337" s="61"/>
      <c r="AJ337" s="61"/>
      <c r="AK337" s="67"/>
      <c r="AL337" s="58" t="str">
        <f>IF(OR($C337="",$B337=""),"",IF(AND($Z336="Loss",$B337=$B336,MOD($C337-$D336,1)*1440&lt;'⚙️ Setelan'!$B$9),"⚠️ Revenge",""))</f>
        <v/>
      </c>
      <c r="AM337" s="68"/>
      <c r="AN337" s="58" t="str">
        <f>IF($AM337="","",IFERROR(_xlfn.IMAGE(IF(REGEXMATCH($AM337,"\.(png|jpg|jpeg|gif)$"),$AM337,"https://s3.tradingview.com/snapshots/"&amp;LOWER(MID(REGEXEXTRACT($AM337,"/x/([A-Za-z0-9]+)"),1,1))&amp;"/"&amp;REGEXEXTRACT($AM337,"/x/([A-Za-z0-9]+)")&amp;".png"),1),"⚠️ link tidak dikenali"))</f>
        <v/>
      </c>
      <c r="AO337" s="68"/>
      <c r="AP337" s="58" t="str">
        <f>IF($AO337="","",IFERROR(_xlfn.IMAGE(IF(REGEXMATCH($AO337,"\.(png|jpg|jpeg|gif)$"),$AO337,"https://s3.tradingview.com/snapshots/"&amp;LOWER(MID(REGEXEXTRACT($AO337,"/x/([A-Za-z0-9]+)"),1,1))&amp;"/"&amp;REGEXEXTRACT($AO337,"/x/([A-Za-z0-9]+)")&amp;".png"),1),"⚠️ link tidak dikenali"))</f>
        <v/>
      </c>
      <c r="AQ337" s="66">
        <f>IF($Z337="",0,IF(AND(OR('📊 Dashboard'!$B$4="(Semua)",$F337='📊 Dashboard'!$B$4),OR('📊 Dashboard'!$B$5="(Semua)",$H337='📊 Dashboard'!$B$5),OR('📊 Dashboard'!$B$6="(Semua)",$E337='📊 Dashboard'!$B$6),OR('📊 Dashboard'!$B$7="(Semua)",$AF337='📊 Dashboard'!$B$7),OR('📊 Dashboard'!$B$8="(Semua)",$AG337='📊 Dashboard'!$B$8),OR('📊 Dashboard'!$B$9="(Semua)",$K337='📊 Dashboard'!$B$9)),1,0))</f>
        <v>0</v>
      </c>
      <c r="AR337" s="69"/>
    </row>
    <row r="338" ht="58" customHeight="1" spans="1:44">
      <c r="A338" s="58" t="str">
        <f t="shared" si="35"/>
        <v/>
      </c>
      <c r="B338" s="59"/>
      <c r="C338" s="60"/>
      <c r="D338" s="60"/>
      <c r="E338" s="58" t="str">
        <f t="shared" si="36"/>
        <v/>
      </c>
      <c r="F338" s="61"/>
      <c r="G338" s="61"/>
      <c r="H338" s="61"/>
      <c r="I338" s="61"/>
      <c r="J338" s="61"/>
      <c r="K338" s="61"/>
      <c r="L338" s="61"/>
      <c r="M338" s="61"/>
      <c r="N338" s="62"/>
      <c r="O338" s="62"/>
      <c r="P338" s="62"/>
      <c r="Q338" s="62"/>
      <c r="R338" s="63" t="str">
        <f>IFERROR(IF(OR($N338="",$O338="",$F338=""),"",ROUND(('⚙️ Setelan'!$B$3*'⚙️ Setelan'!$B$4/100)/(ABS($N338-$O338)*VLOOKUP($F338,'⚙️ Setelan'!$A$14:$F$20,4,FALSE)),2)),"")</f>
        <v/>
      </c>
      <c r="S338" s="64"/>
      <c r="T338" s="65" t="str">
        <f>IFERROR(IF(OR($N338="",$O338="",$S338=""),"",ABS($N338-$O338)*$S338*VLOOKUP($F338,'⚙️ Setelan'!$A$14:$F$20,4,FALSE)),"")</f>
        <v/>
      </c>
      <c r="U338" s="63" t="str">
        <f t="shared" si="37"/>
        <v/>
      </c>
      <c r="V338" s="65" t="str">
        <f>IFERROR(IF(OR($Q338="",$N338="",$S338=""),"",($Q338-$N338)*IF($G338="Buy",1,-1)*$S338*VLOOKUP($F338,'⚙️ Setelan'!$A$14:$F$20,4,FALSE)),"")</f>
        <v/>
      </c>
      <c r="W338" s="65" t="str">
        <f>IFERROR(IF(OR($S338="",$F338=""),"",$S338*VLOOKUP($F338,'⚙️ Setelan'!$A$14:$F$20,5,FALSE)),"")</f>
        <v/>
      </c>
      <c r="X338" s="65" t="str">
        <f t="shared" si="38"/>
        <v/>
      </c>
      <c r="Y338" s="63" t="str">
        <f t="shared" si="39"/>
        <v/>
      </c>
      <c r="Z338" s="58" t="str">
        <f t="shared" si="40"/>
        <v/>
      </c>
      <c r="AA338" s="66" t="str">
        <f t="shared" si="41"/>
        <v/>
      </c>
      <c r="AB338" s="62"/>
      <c r="AC338" s="62"/>
      <c r="AD338" s="63" t="str">
        <f>IFERROR(IF(OR($AB338="",$T338="",$T338=0),"",ROUND(ABS($N338-$AB338)*$S338*VLOOKUP($F338,'⚙️ Setelan'!$A$14:$F$20,4,FALSE)/$T338,2)),"")</f>
        <v/>
      </c>
      <c r="AE338" s="63" t="str">
        <f>IFERROR(IF(OR($AC338="",$T338="",$T338=0),"",ROUND(ABS($AC338-$N338)*$S338*VLOOKUP($F338,'⚙️ Setelan'!$A$14:$F$20,4,FALSE)/$T338,2)),"")</f>
        <v/>
      </c>
      <c r="AF338" s="61"/>
      <c r="AG338" s="61"/>
      <c r="AH338" s="61"/>
      <c r="AI338" s="61"/>
      <c r="AJ338" s="61"/>
      <c r="AK338" s="67"/>
      <c r="AL338" s="58" t="str">
        <f>IF(OR($C338="",$B338=""),"",IF(AND($Z337="Loss",$B338=$B337,MOD($C338-$D337,1)*1440&lt;'⚙️ Setelan'!$B$9),"⚠️ Revenge",""))</f>
        <v/>
      </c>
      <c r="AM338" s="68"/>
      <c r="AN338" s="58" t="str">
        <f>IF($AM338="","",IFERROR(_xlfn.IMAGE(IF(REGEXMATCH($AM338,"\.(png|jpg|jpeg|gif)$"),$AM338,"https://s3.tradingview.com/snapshots/"&amp;LOWER(MID(REGEXEXTRACT($AM338,"/x/([A-Za-z0-9]+)"),1,1))&amp;"/"&amp;REGEXEXTRACT($AM338,"/x/([A-Za-z0-9]+)")&amp;".png"),1),"⚠️ link tidak dikenali"))</f>
        <v/>
      </c>
      <c r="AO338" s="68"/>
      <c r="AP338" s="58" t="str">
        <f>IF($AO338="","",IFERROR(_xlfn.IMAGE(IF(REGEXMATCH($AO338,"\.(png|jpg|jpeg|gif)$"),$AO338,"https://s3.tradingview.com/snapshots/"&amp;LOWER(MID(REGEXEXTRACT($AO338,"/x/([A-Za-z0-9]+)"),1,1))&amp;"/"&amp;REGEXEXTRACT($AO338,"/x/([A-Za-z0-9]+)")&amp;".png"),1),"⚠️ link tidak dikenali"))</f>
        <v/>
      </c>
      <c r="AQ338" s="66">
        <f>IF($Z338="",0,IF(AND(OR('📊 Dashboard'!$B$4="(Semua)",$F338='📊 Dashboard'!$B$4),OR('📊 Dashboard'!$B$5="(Semua)",$H338='📊 Dashboard'!$B$5),OR('📊 Dashboard'!$B$6="(Semua)",$E338='📊 Dashboard'!$B$6),OR('📊 Dashboard'!$B$7="(Semua)",$AF338='📊 Dashboard'!$B$7),OR('📊 Dashboard'!$B$8="(Semua)",$AG338='📊 Dashboard'!$B$8),OR('📊 Dashboard'!$B$9="(Semua)",$K338='📊 Dashboard'!$B$9)),1,0))</f>
        <v>0</v>
      </c>
      <c r="AR338" s="69"/>
    </row>
    <row r="339" ht="58" customHeight="1" spans="1:44">
      <c r="A339" s="58" t="str">
        <f t="shared" si="35"/>
        <v/>
      </c>
      <c r="B339" s="59"/>
      <c r="C339" s="60"/>
      <c r="D339" s="60"/>
      <c r="E339" s="58" t="str">
        <f t="shared" si="36"/>
        <v/>
      </c>
      <c r="F339" s="61"/>
      <c r="G339" s="61"/>
      <c r="H339" s="61"/>
      <c r="I339" s="61"/>
      <c r="J339" s="61"/>
      <c r="K339" s="61"/>
      <c r="L339" s="61"/>
      <c r="M339" s="61"/>
      <c r="N339" s="62"/>
      <c r="O339" s="62"/>
      <c r="P339" s="62"/>
      <c r="Q339" s="62"/>
      <c r="R339" s="63" t="str">
        <f>IFERROR(IF(OR($N339="",$O339="",$F339=""),"",ROUND(('⚙️ Setelan'!$B$3*'⚙️ Setelan'!$B$4/100)/(ABS($N339-$O339)*VLOOKUP($F339,'⚙️ Setelan'!$A$14:$F$20,4,FALSE)),2)),"")</f>
        <v/>
      </c>
      <c r="S339" s="64"/>
      <c r="T339" s="65" t="str">
        <f>IFERROR(IF(OR($N339="",$O339="",$S339=""),"",ABS($N339-$O339)*$S339*VLOOKUP($F339,'⚙️ Setelan'!$A$14:$F$20,4,FALSE)),"")</f>
        <v/>
      </c>
      <c r="U339" s="63" t="str">
        <f t="shared" si="37"/>
        <v/>
      </c>
      <c r="V339" s="65" t="str">
        <f>IFERROR(IF(OR($Q339="",$N339="",$S339=""),"",($Q339-$N339)*IF($G339="Buy",1,-1)*$S339*VLOOKUP($F339,'⚙️ Setelan'!$A$14:$F$20,4,FALSE)),"")</f>
        <v/>
      </c>
      <c r="W339" s="65" t="str">
        <f>IFERROR(IF(OR($S339="",$F339=""),"",$S339*VLOOKUP($F339,'⚙️ Setelan'!$A$14:$F$20,5,FALSE)),"")</f>
        <v/>
      </c>
      <c r="X339" s="65" t="str">
        <f t="shared" si="38"/>
        <v/>
      </c>
      <c r="Y339" s="63" t="str">
        <f t="shared" si="39"/>
        <v/>
      </c>
      <c r="Z339" s="58" t="str">
        <f t="shared" si="40"/>
        <v/>
      </c>
      <c r="AA339" s="66" t="str">
        <f t="shared" si="41"/>
        <v/>
      </c>
      <c r="AB339" s="62"/>
      <c r="AC339" s="62"/>
      <c r="AD339" s="63" t="str">
        <f>IFERROR(IF(OR($AB339="",$T339="",$T339=0),"",ROUND(ABS($N339-$AB339)*$S339*VLOOKUP($F339,'⚙️ Setelan'!$A$14:$F$20,4,FALSE)/$T339,2)),"")</f>
        <v/>
      </c>
      <c r="AE339" s="63" t="str">
        <f>IFERROR(IF(OR($AC339="",$T339="",$T339=0),"",ROUND(ABS($AC339-$N339)*$S339*VLOOKUP($F339,'⚙️ Setelan'!$A$14:$F$20,4,FALSE)/$T339,2)),"")</f>
        <v/>
      </c>
      <c r="AF339" s="61"/>
      <c r="AG339" s="61"/>
      <c r="AH339" s="61"/>
      <c r="AI339" s="61"/>
      <c r="AJ339" s="61"/>
      <c r="AK339" s="67"/>
      <c r="AL339" s="58" t="str">
        <f>IF(OR($C339="",$B339=""),"",IF(AND($Z338="Loss",$B339=$B338,MOD($C339-$D338,1)*1440&lt;'⚙️ Setelan'!$B$9),"⚠️ Revenge",""))</f>
        <v/>
      </c>
      <c r="AM339" s="68"/>
      <c r="AN339" s="58" t="str">
        <f>IF($AM339="","",IFERROR(_xlfn.IMAGE(IF(REGEXMATCH($AM339,"\.(png|jpg|jpeg|gif)$"),$AM339,"https://s3.tradingview.com/snapshots/"&amp;LOWER(MID(REGEXEXTRACT($AM339,"/x/([A-Za-z0-9]+)"),1,1))&amp;"/"&amp;REGEXEXTRACT($AM339,"/x/([A-Za-z0-9]+)")&amp;".png"),1),"⚠️ link tidak dikenali"))</f>
        <v/>
      </c>
      <c r="AO339" s="68"/>
      <c r="AP339" s="58" t="str">
        <f>IF($AO339="","",IFERROR(_xlfn.IMAGE(IF(REGEXMATCH($AO339,"\.(png|jpg|jpeg|gif)$"),$AO339,"https://s3.tradingview.com/snapshots/"&amp;LOWER(MID(REGEXEXTRACT($AO339,"/x/([A-Za-z0-9]+)"),1,1))&amp;"/"&amp;REGEXEXTRACT($AO339,"/x/([A-Za-z0-9]+)")&amp;".png"),1),"⚠️ link tidak dikenali"))</f>
        <v/>
      </c>
      <c r="AQ339" s="66">
        <f>IF($Z339="",0,IF(AND(OR('📊 Dashboard'!$B$4="(Semua)",$F339='📊 Dashboard'!$B$4),OR('📊 Dashboard'!$B$5="(Semua)",$H339='📊 Dashboard'!$B$5),OR('📊 Dashboard'!$B$6="(Semua)",$E339='📊 Dashboard'!$B$6),OR('📊 Dashboard'!$B$7="(Semua)",$AF339='📊 Dashboard'!$B$7),OR('📊 Dashboard'!$B$8="(Semua)",$AG339='📊 Dashboard'!$B$8),OR('📊 Dashboard'!$B$9="(Semua)",$K339='📊 Dashboard'!$B$9)),1,0))</f>
        <v>0</v>
      </c>
      <c r="AR339" s="69"/>
    </row>
    <row r="340" ht="58" customHeight="1" spans="1:44">
      <c r="A340" s="58" t="str">
        <f t="shared" si="35"/>
        <v/>
      </c>
      <c r="B340" s="59"/>
      <c r="C340" s="60"/>
      <c r="D340" s="60"/>
      <c r="E340" s="58" t="str">
        <f t="shared" si="36"/>
        <v/>
      </c>
      <c r="F340" s="61"/>
      <c r="G340" s="61"/>
      <c r="H340" s="61"/>
      <c r="I340" s="61"/>
      <c r="J340" s="61"/>
      <c r="K340" s="61"/>
      <c r="L340" s="61"/>
      <c r="M340" s="61"/>
      <c r="N340" s="62"/>
      <c r="O340" s="62"/>
      <c r="P340" s="62"/>
      <c r="Q340" s="62"/>
      <c r="R340" s="63" t="str">
        <f>IFERROR(IF(OR($N340="",$O340="",$F340=""),"",ROUND(('⚙️ Setelan'!$B$3*'⚙️ Setelan'!$B$4/100)/(ABS($N340-$O340)*VLOOKUP($F340,'⚙️ Setelan'!$A$14:$F$20,4,FALSE)),2)),"")</f>
        <v/>
      </c>
      <c r="S340" s="64"/>
      <c r="T340" s="65" t="str">
        <f>IFERROR(IF(OR($N340="",$O340="",$S340=""),"",ABS($N340-$O340)*$S340*VLOOKUP($F340,'⚙️ Setelan'!$A$14:$F$20,4,FALSE)),"")</f>
        <v/>
      </c>
      <c r="U340" s="63" t="str">
        <f t="shared" si="37"/>
        <v/>
      </c>
      <c r="V340" s="65" t="str">
        <f>IFERROR(IF(OR($Q340="",$N340="",$S340=""),"",($Q340-$N340)*IF($G340="Buy",1,-1)*$S340*VLOOKUP($F340,'⚙️ Setelan'!$A$14:$F$20,4,FALSE)),"")</f>
        <v/>
      </c>
      <c r="W340" s="65" t="str">
        <f>IFERROR(IF(OR($S340="",$F340=""),"",$S340*VLOOKUP($F340,'⚙️ Setelan'!$A$14:$F$20,5,FALSE)),"")</f>
        <v/>
      </c>
      <c r="X340" s="65" t="str">
        <f t="shared" si="38"/>
        <v/>
      </c>
      <c r="Y340" s="63" t="str">
        <f t="shared" si="39"/>
        <v/>
      </c>
      <c r="Z340" s="58" t="str">
        <f t="shared" si="40"/>
        <v/>
      </c>
      <c r="AA340" s="66" t="str">
        <f t="shared" si="41"/>
        <v/>
      </c>
      <c r="AB340" s="62"/>
      <c r="AC340" s="62"/>
      <c r="AD340" s="63" t="str">
        <f>IFERROR(IF(OR($AB340="",$T340="",$T340=0),"",ROUND(ABS($N340-$AB340)*$S340*VLOOKUP($F340,'⚙️ Setelan'!$A$14:$F$20,4,FALSE)/$T340,2)),"")</f>
        <v/>
      </c>
      <c r="AE340" s="63" t="str">
        <f>IFERROR(IF(OR($AC340="",$T340="",$T340=0),"",ROUND(ABS($AC340-$N340)*$S340*VLOOKUP($F340,'⚙️ Setelan'!$A$14:$F$20,4,FALSE)/$T340,2)),"")</f>
        <v/>
      </c>
      <c r="AF340" s="61"/>
      <c r="AG340" s="61"/>
      <c r="AH340" s="61"/>
      <c r="AI340" s="61"/>
      <c r="AJ340" s="61"/>
      <c r="AK340" s="67"/>
      <c r="AL340" s="58" t="str">
        <f>IF(OR($C340="",$B340=""),"",IF(AND($Z339="Loss",$B340=$B339,MOD($C340-$D339,1)*1440&lt;'⚙️ Setelan'!$B$9),"⚠️ Revenge",""))</f>
        <v/>
      </c>
      <c r="AM340" s="68"/>
      <c r="AN340" s="58" t="str">
        <f>IF($AM340="","",IFERROR(_xlfn.IMAGE(IF(REGEXMATCH($AM340,"\.(png|jpg|jpeg|gif)$"),$AM340,"https://s3.tradingview.com/snapshots/"&amp;LOWER(MID(REGEXEXTRACT($AM340,"/x/([A-Za-z0-9]+)"),1,1))&amp;"/"&amp;REGEXEXTRACT($AM340,"/x/([A-Za-z0-9]+)")&amp;".png"),1),"⚠️ link tidak dikenali"))</f>
        <v/>
      </c>
      <c r="AO340" s="68"/>
      <c r="AP340" s="58" t="str">
        <f>IF($AO340="","",IFERROR(_xlfn.IMAGE(IF(REGEXMATCH($AO340,"\.(png|jpg|jpeg|gif)$"),$AO340,"https://s3.tradingview.com/snapshots/"&amp;LOWER(MID(REGEXEXTRACT($AO340,"/x/([A-Za-z0-9]+)"),1,1))&amp;"/"&amp;REGEXEXTRACT($AO340,"/x/([A-Za-z0-9]+)")&amp;".png"),1),"⚠️ link tidak dikenali"))</f>
        <v/>
      </c>
      <c r="AQ340" s="66">
        <f>IF($Z340="",0,IF(AND(OR('📊 Dashboard'!$B$4="(Semua)",$F340='📊 Dashboard'!$B$4),OR('📊 Dashboard'!$B$5="(Semua)",$H340='📊 Dashboard'!$B$5),OR('📊 Dashboard'!$B$6="(Semua)",$E340='📊 Dashboard'!$B$6),OR('📊 Dashboard'!$B$7="(Semua)",$AF340='📊 Dashboard'!$B$7),OR('📊 Dashboard'!$B$8="(Semua)",$AG340='📊 Dashboard'!$B$8),OR('📊 Dashboard'!$B$9="(Semua)",$K340='📊 Dashboard'!$B$9)),1,0))</f>
        <v>0</v>
      </c>
      <c r="AR340" s="69"/>
    </row>
    <row r="341" ht="58" customHeight="1" spans="1:44">
      <c r="A341" s="58" t="str">
        <f t="shared" si="35"/>
        <v/>
      </c>
      <c r="B341" s="59"/>
      <c r="C341" s="60"/>
      <c r="D341" s="60"/>
      <c r="E341" s="58" t="str">
        <f t="shared" si="36"/>
        <v/>
      </c>
      <c r="F341" s="61"/>
      <c r="G341" s="61"/>
      <c r="H341" s="61"/>
      <c r="I341" s="61"/>
      <c r="J341" s="61"/>
      <c r="K341" s="61"/>
      <c r="L341" s="61"/>
      <c r="M341" s="61"/>
      <c r="N341" s="62"/>
      <c r="O341" s="62"/>
      <c r="P341" s="62"/>
      <c r="Q341" s="62"/>
      <c r="R341" s="63" t="str">
        <f>IFERROR(IF(OR($N341="",$O341="",$F341=""),"",ROUND(('⚙️ Setelan'!$B$3*'⚙️ Setelan'!$B$4/100)/(ABS($N341-$O341)*VLOOKUP($F341,'⚙️ Setelan'!$A$14:$F$20,4,FALSE)),2)),"")</f>
        <v/>
      </c>
      <c r="S341" s="64"/>
      <c r="T341" s="65" t="str">
        <f>IFERROR(IF(OR($N341="",$O341="",$S341=""),"",ABS($N341-$O341)*$S341*VLOOKUP($F341,'⚙️ Setelan'!$A$14:$F$20,4,FALSE)),"")</f>
        <v/>
      </c>
      <c r="U341" s="63" t="str">
        <f t="shared" si="37"/>
        <v/>
      </c>
      <c r="V341" s="65" t="str">
        <f>IFERROR(IF(OR($Q341="",$N341="",$S341=""),"",($Q341-$N341)*IF($G341="Buy",1,-1)*$S341*VLOOKUP($F341,'⚙️ Setelan'!$A$14:$F$20,4,FALSE)),"")</f>
        <v/>
      </c>
      <c r="W341" s="65" t="str">
        <f>IFERROR(IF(OR($S341="",$F341=""),"",$S341*VLOOKUP($F341,'⚙️ Setelan'!$A$14:$F$20,5,FALSE)),"")</f>
        <v/>
      </c>
      <c r="X341" s="65" t="str">
        <f t="shared" si="38"/>
        <v/>
      </c>
      <c r="Y341" s="63" t="str">
        <f t="shared" si="39"/>
        <v/>
      </c>
      <c r="Z341" s="58" t="str">
        <f t="shared" si="40"/>
        <v/>
      </c>
      <c r="AA341" s="66" t="str">
        <f t="shared" si="41"/>
        <v/>
      </c>
      <c r="AB341" s="62"/>
      <c r="AC341" s="62"/>
      <c r="AD341" s="63" t="str">
        <f>IFERROR(IF(OR($AB341="",$T341="",$T341=0),"",ROUND(ABS($N341-$AB341)*$S341*VLOOKUP($F341,'⚙️ Setelan'!$A$14:$F$20,4,FALSE)/$T341,2)),"")</f>
        <v/>
      </c>
      <c r="AE341" s="63" t="str">
        <f>IFERROR(IF(OR($AC341="",$T341="",$T341=0),"",ROUND(ABS($AC341-$N341)*$S341*VLOOKUP($F341,'⚙️ Setelan'!$A$14:$F$20,4,FALSE)/$T341,2)),"")</f>
        <v/>
      </c>
      <c r="AF341" s="61"/>
      <c r="AG341" s="61"/>
      <c r="AH341" s="61"/>
      <c r="AI341" s="61"/>
      <c r="AJ341" s="61"/>
      <c r="AK341" s="67"/>
      <c r="AL341" s="58" t="str">
        <f>IF(OR($C341="",$B341=""),"",IF(AND($Z340="Loss",$B341=$B340,MOD($C341-$D340,1)*1440&lt;'⚙️ Setelan'!$B$9),"⚠️ Revenge",""))</f>
        <v/>
      </c>
      <c r="AM341" s="68"/>
      <c r="AN341" s="58" t="str">
        <f>IF($AM341="","",IFERROR(_xlfn.IMAGE(IF(REGEXMATCH($AM341,"\.(png|jpg|jpeg|gif)$"),$AM341,"https://s3.tradingview.com/snapshots/"&amp;LOWER(MID(REGEXEXTRACT($AM341,"/x/([A-Za-z0-9]+)"),1,1))&amp;"/"&amp;REGEXEXTRACT($AM341,"/x/([A-Za-z0-9]+)")&amp;".png"),1),"⚠️ link tidak dikenali"))</f>
        <v/>
      </c>
      <c r="AO341" s="68"/>
      <c r="AP341" s="58" t="str">
        <f>IF($AO341="","",IFERROR(_xlfn.IMAGE(IF(REGEXMATCH($AO341,"\.(png|jpg|jpeg|gif)$"),$AO341,"https://s3.tradingview.com/snapshots/"&amp;LOWER(MID(REGEXEXTRACT($AO341,"/x/([A-Za-z0-9]+)"),1,1))&amp;"/"&amp;REGEXEXTRACT($AO341,"/x/([A-Za-z0-9]+)")&amp;".png"),1),"⚠️ link tidak dikenali"))</f>
        <v/>
      </c>
      <c r="AQ341" s="66">
        <f>IF($Z341="",0,IF(AND(OR('📊 Dashboard'!$B$4="(Semua)",$F341='📊 Dashboard'!$B$4),OR('📊 Dashboard'!$B$5="(Semua)",$H341='📊 Dashboard'!$B$5),OR('📊 Dashboard'!$B$6="(Semua)",$E341='📊 Dashboard'!$B$6),OR('📊 Dashboard'!$B$7="(Semua)",$AF341='📊 Dashboard'!$B$7),OR('📊 Dashboard'!$B$8="(Semua)",$AG341='📊 Dashboard'!$B$8),OR('📊 Dashboard'!$B$9="(Semua)",$K341='📊 Dashboard'!$B$9)),1,0))</f>
        <v>0</v>
      </c>
      <c r="AR341" s="69"/>
    </row>
    <row r="342" ht="58" customHeight="1" spans="1:44">
      <c r="A342" s="58" t="str">
        <f t="shared" si="35"/>
        <v/>
      </c>
      <c r="B342" s="59"/>
      <c r="C342" s="60"/>
      <c r="D342" s="60"/>
      <c r="E342" s="58" t="str">
        <f t="shared" si="36"/>
        <v/>
      </c>
      <c r="F342" s="61"/>
      <c r="G342" s="61"/>
      <c r="H342" s="61"/>
      <c r="I342" s="61"/>
      <c r="J342" s="61"/>
      <c r="K342" s="61"/>
      <c r="L342" s="61"/>
      <c r="M342" s="61"/>
      <c r="N342" s="62"/>
      <c r="O342" s="62"/>
      <c r="P342" s="62"/>
      <c r="Q342" s="62"/>
      <c r="R342" s="63" t="str">
        <f>IFERROR(IF(OR($N342="",$O342="",$F342=""),"",ROUND(('⚙️ Setelan'!$B$3*'⚙️ Setelan'!$B$4/100)/(ABS($N342-$O342)*VLOOKUP($F342,'⚙️ Setelan'!$A$14:$F$20,4,FALSE)),2)),"")</f>
        <v/>
      </c>
      <c r="S342" s="64"/>
      <c r="T342" s="65" t="str">
        <f>IFERROR(IF(OR($N342="",$O342="",$S342=""),"",ABS($N342-$O342)*$S342*VLOOKUP($F342,'⚙️ Setelan'!$A$14:$F$20,4,FALSE)),"")</f>
        <v/>
      </c>
      <c r="U342" s="63" t="str">
        <f t="shared" si="37"/>
        <v/>
      </c>
      <c r="V342" s="65" t="str">
        <f>IFERROR(IF(OR($Q342="",$N342="",$S342=""),"",($Q342-$N342)*IF($G342="Buy",1,-1)*$S342*VLOOKUP($F342,'⚙️ Setelan'!$A$14:$F$20,4,FALSE)),"")</f>
        <v/>
      </c>
      <c r="W342" s="65" t="str">
        <f>IFERROR(IF(OR($S342="",$F342=""),"",$S342*VLOOKUP($F342,'⚙️ Setelan'!$A$14:$F$20,5,FALSE)),"")</f>
        <v/>
      </c>
      <c r="X342" s="65" t="str">
        <f t="shared" si="38"/>
        <v/>
      </c>
      <c r="Y342" s="63" t="str">
        <f t="shared" si="39"/>
        <v/>
      </c>
      <c r="Z342" s="58" t="str">
        <f t="shared" si="40"/>
        <v/>
      </c>
      <c r="AA342" s="66" t="str">
        <f t="shared" si="41"/>
        <v/>
      </c>
      <c r="AB342" s="62"/>
      <c r="AC342" s="62"/>
      <c r="AD342" s="63" t="str">
        <f>IFERROR(IF(OR($AB342="",$T342="",$T342=0),"",ROUND(ABS($N342-$AB342)*$S342*VLOOKUP($F342,'⚙️ Setelan'!$A$14:$F$20,4,FALSE)/$T342,2)),"")</f>
        <v/>
      </c>
      <c r="AE342" s="63" t="str">
        <f>IFERROR(IF(OR($AC342="",$T342="",$T342=0),"",ROUND(ABS($AC342-$N342)*$S342*VLOOKUP($F342,'⚙️ Setelan'!$A$14:$F$20,4,FALSE)/$T342,2)),"")</f>
        <v/>
      </c>
      <c r="AF342" s="61"/>
      <c r="AG342" s="61"/>
      <c r="AH342" s="61"/>
      <c r="AI342" s="61"/>
      <c r="AJ342" s="61"/>
      <c r="AK342" s="67"/>
      <c r="AL342" s="58" t="str">
        <f>IF(OR($C342="",$B342=""),"",IF(AND($Z341="Loss",$B342=$B341,MOD($C342-$D341,1)*1440&lt;'⚙️ Setelan'!$B$9),"⚠️ Revenge",""))</f>
        <v/>
      </c>
      <c r="AM342" s="68"/>
      <c r="AN342" s="58" t="str">
        <f>IF($AM342="","",IFERROR(_xlfn.IMAGE(IF(REGEXMATCH($AM342,"\.(png|jpg|jpeg|gif)$"),$AM342,"https://s3.tradingview.com/snapshots/"&amp;LOWER(MID(REGEXEXTRACT($AM342,"/x/([A-Za-z0-9]+)"),1,1))&amp;"/"&amp;REGEXEXTRACT($AM342,"/x/([A-Za-z0-9]+)")&amp;".png"),1),"⚠️ link tidak dikenali"))</f>
        <v/>
      </c>
      <c r="AO342" s="68"/>
      <c r="AP342" s="58" t="str">
        <f>IF($AO342="","",IFERROR(_xlfn.IMAGE(IF(REGEXMATCH($AO342,"\.(png|jpg|jpeg|gif)$"),$AO342,"https://s3.tradingview.com/snapshots/"&amp;LOWER(MID(REGEXEXTRACT($AO342,"/x/([A-Za-z0-9]+)"),1,1))&amp;"/"&amp;REGEXEXTRACT($AO342,"/x/([A-Za-z0-9]+)")&amp;".png"),1),"⚠️ link tidak dikenali"))</f>
        <v/>
      </c>
      <c r="AQ342" s="66">
        <f>IF($Z342="",0,IF(AND(OR('📊 Dashboard'!$B$4="(Semua)",$F342='📊 Dashboard'!$B$4),OR('📊 Dashboard'!$B$5="(Semua)",$H342='📊 Dashboard'!$B$5),OR('📊 Dashboard'!$B$6="(Semua)",$E342='📊 Dashboard'!$B$6),OR('📊 Dashboard'!$B$7="(Semua)",$AF342='📊 Dashboard'!$B$7),OR('📊 Dashboard'!$B$8="(Semua)",$AG342='📊 Dashboard'!$B$8),OR('📊 Dashboard'!$B$9="(Semua)",$K342='📊 Dashboard'!$B$9)),1,0))</f>
        <v>0</v>
      </c>
      <c r="AR342" s="69"/>
    </row>
    <row r="343" ht="58" customHeight="1" spans="1:44">
      <c r="A343" s="58" t="str">
        <f t="shared" si="35"/>
        <v/>
      </c>
      <c r="B343" s="59"/>
      <c r="C343" s="60"/>
      <c r="D343" s="60"/>
      <c r="E343" s="58" t="str">
        <f t="shared" si="36"/>
        <v/>
      </c>
      <c r="F343" s="61"/>
      <c r="G343" s="61"/>
      <c r="H343" s="61"/>
      <c r="I343" s="61"/>
      <c r="J343" s="61"/>
      <c r="K343" s="61"/>
      <c r="L343" s="61"/>
      <c r="M343" s="61"/>
      <c r="N343" s="62"/>
      <c r="O343" s="62"/>
      <c r="P343" s="62"/>
      <c r="Q343" s="62"/>
      <c r="R343" s="63" t="str">
        <f>IFERROR(IF(OR($N343="",$O343="",$F343=""),"",ROUND(('⚙️ Setelan'!$B$3*'⚙️ Setelan'!$B$4/100)/(ABS($N343-$O343)*VLOOKUP($F343,'⚙️ Setelan'!$A$14:$F$20,4,FALSE)),2)),"")</f>
        <v/>
      </c>
      <c r="S343" s="64"/>
      <c r="T343" s="65" t="str">
        <f>IFERROR(IF(OR($N343="",$O343="",$S343=""),"",ABS($N343-$O343)*$S343*VLOOKUP($F343,'⚙️ Setelan'!$A$14:$F$20,4,FALSE)),"")</f>
        <v/>
      </c>
      <c r="U343" s="63" t="str">
        <f t="shared" si="37"/>
        <v/>
      </c>
      <c r="V343" s="65" t="str">
        <f>IFERROR(IF(OR($Q343="",$N343="",$S343=""),"",($Q343-$N343)*IF($G343="Buy",1,-1)*$S343*VLOOKUP($F343,'⚙️ Setelan'!$A$14:$F$20,4,FALSE)),"")</f>
        <v/>
      </c>
      <c r="W343" s="65" t="str">
        <f>IFERROR(IF(OR($S343="",$F343=""),"",$S343*VLOOKUP($F343,'⚙️ Setelan'!$A$14:$F$20,5,FALSE)),"")</f>
        <v/>
      </c>
      <c r="X343" s="65" t="str">
        <f t="shared" si="38"/>
        <v/>
      </c>
      <c r="Y343" s="63" t="str">
        <f t="shared" si="39"/>
        <v/>
      </c>
      <c r="Z343" s="58" t="str">
        <f t="shared" si="40"/>
        <v/>
      </c>
      <c r="AA343" s="66" t="str">
        <f t="shared" si="41"/>
        <v/>
      </c>
      <c r="AB343" s="62"/>
      <c r="AC343" s="62"/>
      <c r="AD343" s="63" t="str">
        <f>IFERROR(IF(OR($AB343="",$T343="",$T343=0),"",ROUND(ABS($N343-$AB343)*$S343*VLOOKUP($F343,'⚙️ Setelan'!$A$14:$F$20,4,FALSE)/$T343,2)),"")</f>
        <v/>
      </c>
      <c r="AE343" s="63" t="str">
        <f>IFERROR(IF(OR($AC343="",$T343="",$T343=0),"",ROUND(ABS($AC343-$N343)*$S343*VLOOKUP($F343,'⚙️ Setelan'!$A$14:$F$20,4,FALSE)/$T343,2)),"")</f>
        <v/>
      </c>
      <c r="AF343" s="61"/>
      <c r="AG343" s="61"/>
      <c r="AH343" s="61"/>
      <c r="AI343" s="61"/>
      <c r="AJ343" s="61"/>
      <c r="AK343" s="67"/>
      <c r="AL343" s="58" t="str">
        <f>IF(OR($C343="",$B343=""),"",IF(AND($Z342="Loss",$B343=$B342,MOD($C343-$D342,1)*1440&lt;'⚙️ Setelan'!$B$9),"⚠️ Revenge",""))</f>
        <v/>
      </c>
      <c r="AM343" s="68"/>
      <c r="AN343" s="58" t="str">
        <f>IF($AM343="","",IFERROR(_xlfn.IMAGE(IF(REGEXMATCH($AM343,"\.(png|jpg|jpeg|gif)$"),$AM343,"https://s3.tradingview.com/snapshots/"&amp;LOWER(MID(REGEXEXTRACT($AM343,"/x/([A-Za-z0-9]+)"),1,1))&amp;"/"&amp;REGEXEXTRACT($AM343,"/x/([A-Za-z0-9]+)")&amp;".png"),1),"⚠️ link tidak dikenali"))</f>
        <v/>
      </c>
      <c r="AO343" s="68"/>
      <c r="AP343" s="58" t="str">
        <f>IF($AO343="","",IFERROR(_xlfn.IMAGE(IF(REGEXMATCH($AO343,"\.(png|jpg|jpeg|gif)$"),$AO343,"https://s3.tradingview.com/snapshots/"&amp;LOWER(MID(REGEXEXTRACT($AO343,"/x/([A-Za-z0-9]+)"),1,1))&amp;"/"&amp;REGEXEXTRACT($AO343,"/x/([A-Za-z0-9]+)")&amp;".png"),1),"⚠️ link tidak dikenali"))</f>
        <v/>
      </c>
      <c r="AQ343" s="66">
        <f>IF($Z343="",0,IF(AND(OR('📊 Dashboard'!$B$4="(Semua)",$F343='📊 Dashboard'!$B$4),OR('📊 Dashboard'!$B$5="(Semua)",$H343='📊 Dashboard'!$B$5),OR('📊 Dashboard'!$B$6="(Semua)",$E343='📊 Dashboard'!$B$6),OR('📊 Dashboard'!$B$7="(Semua)",$AF343='📊 Dashboard'!$B$7),OR('📊 Dashboard'!$B$8="(Semua)",$AG343='📊 Dashboard'!$B$8),OR('📊 Dashboard'!$B$9="(Semua)",$K343='📊 Dashboard'!$B$9)),1,0))</f>
        <v>0</v>
      </c>
      <c r="AR343" s="69"/>
    </row>
    <row r="344" ht="58" customHeight="1" spans="1:44">
      <c r="A344" s="58" t="str">
        <f t="shared" si="35"/>
        <v/>
      </c>
      <c r="B344" s="59"/>
      <c r="C344" s="60"/>
      <c r="D344" s="60"/>
      <c r="E344" s="58" t="str">
        <f t="shared" si="36"/>
        <v/>
      </c>
      <c r="F344" s="61"/>
      <c r="G344" s="61"/>
      <c r="H344" s="61"/>
      <c r="I344" s="61"/>
      <c r="J344" s="61"/>
      <c r="K344" s="61"/>
      <c r="L344" s="61"/>
      <c r="M344" s="61"/>
      <c r="N344" s="62"/>
      <c r="O344" s="62"/>
      <c r="P344" s="62"/>
      <c r="Q344" s="62"/>
      <c r="R344" s="63" t="str">
        <f>IFERROR(IF(OR($N344="",$O344="",$F344=""),"",ROUND(('⚙️ Setelan'!$B$3*'⚙️ Setelan'!$B$4/100)/(ABS($N344-$O344)*VLOOKUP($F344,'⚙️ Setelan'!$A$14:$F$20,4,FALSE)),2)),"")</f>
        <v/>
      </c>
      <c r="S344" s="64"/>
      <c r="T344" s="65" t="str">
        <f>IFERROR(IF(OR($N344="",$O344="",$S344=""),"",ABS($N344-$O344)*$S344*VLOOKUP($F344,'⚙️ Setelan'!$A$14:$F$20,4,FALSE)),"")</f>
        <v/>
      </c>
      <c r="U344" s="63" t="str">
        <f t="shared" si="37"/>
        <v/>
      </c>
      <c r="V344" s="65" t="str">
        <f>IFERROR(IF(OR($Q344="",$N344="",$S344=""),"",($Q344-$N344)*IF($G344="Buy",1,-1)*$S344*VLOOKUP($F344,'⚙️ Setelan'!$A$14:$F$20,4,FALSE)),"")</f>
        <v/>
      </c>
      <c r="W344" s="65" t="str">
        <f>IFERROR(IF(OR($S344="",$F344=""),"",$S344*VLOOKUP($F344,'⚙️ Setelan'!$A$14:$F$20,5,FALSE)),"")</f>
        <v/>
      </c>
      <c r="X344" s="65" t="str">
        <f t="shared" si="38"/>
        <v/>
      </c>
      <c r="Y344" s="63" t="str">
        <f t="shared" si="39"/>
        <v/>
      </c>
      <c r="Z344" s="58" t="str">
        <f t="shared" si="40"/>
        <v/>
      </c>
      <c r="AA344" s="66" t="str">
        <f t="shared" si="41"/>
        <v/>
      </c>
      <c r="AB344" s="62"/>
      <c r="AC344" s="62"/>
      <c r="AD344" s="63" t="str">
        <f>IFERROR(IF(OR($AB344="",$T344="",$T344=0),"",ROUND(ABS($N344-$AB344)*$S344*VLOOKUP($F344,'⚙️ Setelan'!$A$14:$F$20,4,FALSE)/$T344,2)),"")</f>
        <v/>
      </c>
      <c r="AE344" s="63" t="str">
        <f>IFERROR(IF(OR($AC344="",$T344="",$T344=0),"",ROUND(ABS($AC344-$N344)*$S344*VLOOKUP($F344,'⚙️ Setelan'!$A$14:$F$20,4,FALSE)/$T344,2)),"")</f>
        <v/>
      </c>
      <c r="AF344" s="61"/>
      <c r="AG344" s="61"/>
      <c r="AH344" s="61"/>
      <c r="AI344" s="61"/>
      <c r="AJ344" s="61"/>
      <c r="AK344" s="67"/>
      <c r="AL344" s="58" t="str">
        <f>IF(OR($C344="",$B344=""),"",IF(AND($Z343="Loss",$B344=$B343,MOD($C344-$D343,1)*1440&lt;'⚙️ Setelan'!$B$9),"⚠️ Revenge",""))</f>
        <v/>
      </c>
      <c r="AM344" s="68"/>
      <c r="AN344" s="58" t="str">
        <f>IF($AM344="","",IFERROR(_xlfn.IMAGE(IF(REGEXMATCH($AM344,"\.(png|jpg|jpeg|gif)$"),$AM344,"https://s3.tradingview.com/snapshots/"&amp;LOWER(MID(REGEXEXTRACT($AM344,"/x/([A-Za-z0-9]+)"),1,1))&amp;"/"&amp;REGEXEXTRACT($AM344,"/x/([A-Za-z0-9]+)")&amp;".png"),1),"⚠️ link tidak dikenali"))</f>
        <v/>
      </c>
      <c r="AO344" s="68"/>
      <c r="AP344" s="58" t="str">
        <f>IF($AO344="","",IFERROR(_xlfn.IMAGE(IF(REGEXMATCH($AO344,"\.(png|jpg|jpeg|gif)$"),$AO344,"https://s3.tradingview.com/snapshots/"&amp;LOWER(MID(REGEXEXTRACT($AO344,"/x/([A-Za-z0-9]+)"),1,1))&amp;"/"&amp;REGEXEXTRACT($AO344,"/x/([A-Za-z0-9]+)")&amp;".png"),1),"⚠️ link tidak dikenali"))</f>
        <v/>
      </c>
      <c r="AQ344" s="66">
        <f>IF($Z344="",0,IF(AND(OR('📊 Dashboard'!$B$4="(Semua)",$F344='📊 Dashboard'!$B$4),OR('📊 Dashboard'!$B$5="(Semua)",$H344='📊 Dashboard'!$B$5),OR('📊 Dashboard'!$B$6="(Semua)",$E344='📊 Dashboard'!$B$6),OR('📊 Dashboard'!$B$7="(Semua)",$AF344='📊 Dashboard'!$B$7),OR('📊 Dashboard'!$B$8="(Semua)",$AG344='📊 Dashboard'!$B$8),OR('📊 Dashboard'!$B$9="(Semua)",$K344='📊 Dashboard'!$B$9)),1,0))</f>
        <v>0</v>
      </c>
      <c r="AR344" s="69"/>
    </row>
    <row r="345" ht="58" customHeight="1" spans="1:44">
      <c r="A345" s="58" t="str">
        <f t="shared" si="35"/>
        <v/>
      </c>
      <c r="B345" s="59"/>
      <c r="C345" s="60"/>
      <c r="D345" s="60"/>
      <c r="E345" s="58" t="str">
        <f t="shared" si="36"/>
        <v/>
      </c>
      <c r="F345" s="61"/>
      <c r="G345" s="61"/>
      <c r="H345" s="61"/>
      <c r="I345" s="61"/>
      <c r="J345" s="61"/>
      <c r="K345" s="61"/>
      <c r="L345" s="61"/>
      <c r="M345" s="61"/>
      <c r="N345" s="62"/>
      <c r="O345" s="62"/>
      <c r="P345" s="62"/>
      <c r="Q345" s="62"/>
      <c r="R345" s="63" t="str">
        <f>IFERROR(IF(OR($N345="",$O345="",$F345=""),"",ROUND(('⚙️ Setelan'!$B$3*'⚙️ Setelan'!$B$4/100)/(ABS($N345-$O345)*VLOOKUP($F345,'⚙️ Setelan'!$A$14:$F$20,4,FALSE)),2)),"")</f>
        <v/>
      </c>
      <c r="S345" s="64"/>
      <c r="T345" s="65" t="str">
        <f>IFERROR(IF(OR($N345="",$O345="",$S345=""),"",ABS($N345-$O345)*$S345*VLOOKUP($F345,'⚙️ Setelan'!$A$14:$F$20,4,FALSE)),"")</f>
        <v/>
      </c>
      <c r="U345" s="63" t="str">
        <f t="shared" si="37"/>
        <v/>
      </c>
      <c r="V345" s="65" t="str">
        <f>IFERROR(IF(OR($Q345="",$N345="",$S345=""),"",($Q345-$N345)*IF($G345="Buy",1,-1)*$S345*VLOOKUP($F345,'⚙️ Setelan'!$A$14:$F$20,4,FALSE)),"")</f>
        <v/>
      </c>
      <c r="W345" s="65" t="str">
        <f>IFERROR(IF(OR($S345="",$F345=""),"",$S345*VLOOKUP($F345,'⚙️ Setelan'!$A$14:$F$20,5,FALSE)),"")</f>
        <v/>
      </c>
      <c r="X345" s="65" t="str">
        <f t="shared" si="38"/>
        <v/>
      </c>
      <c r="Y345" s="63" t="str">
        <f t="shared" si="39"/>
        <v/>
      </c>
      <c r="Z345" s="58" t="str">
        <f t="shared" si="40"/>
        <v/>
      </c>
      <c r="AA345" s="66" t="str">
        <f t="shared" si="41"/>
        <v/>
      </c>
      <c r="AB345" s="62"/>
      <c r="AC345" s="62"/>
      <c r="AD345" s="63" t="str">
        <f>IFERROR(IF(OR($AB345="",$T345="",$T345=0),"",ROUND(ABS($N345-$AB345)*$S345*VLOOKUP($F345,'⚙️ Setelan'!$A$14:$F$20,4,FALSE)/$T345,2)),"")</f>
        <v/>
      </c>
      <c r="AE345" s="63" t="str">
        <f>IFERROR(IF(OR($AC345="",$T345="",$T345=0),"",ROUND(ABS($AC345-$N345)*$S345*VLOOKUP($F345,'⚙️ Setelan'!$A$14:$F$20,4,FALSE)/$T345,2)),"")</f>
        <v/>
      </c>
      <c r="AF345" s="61"/>
      <c r="AG345" s="61"/>
      <c r="AH345" s="61"/>
      <c r="AI345" s="61"/>
      <c r="AJ345" s="61"/>
      <c r="AK345" s="67"/>
      <c r="AL345" s="58" t="str">
        <f>IF(OR($C345="",$B345=""),"",IF(AND($Z344="Loss",$B345=$B344,MOD($C345-$D344,1)*1440&lt;'⚙️ Setelan'!$B$9),"⚠️ Revenge",""))</f>
        <v/>
      </c>
      <c r="AM345" s="68"/>
      <c r="AN345" s="58" t="str">
        <f>IF($AM345="","",IFERROR(_xlfn.IMAGE(IF(REGEXMATCH($AM345,"\.(png|jpg|jpeg|gif)$"),$AM345,"https://s3.tradingview.com/snapshots/"&amp;LOWER(MID(REGEXEXTRACT($AM345,"/x/([A-Za-z0-9]+)"),1,1))&amp;"/"&amp;REGEXEXTRACT($AM345,"/x/([A-Za-z0-9]+)")&amp;".png"),1),"⚠️ link tidak dikenali"))</f>
        <v/>
      </c>
      <c r="AO345" s="68"/>
      <c r="AP345" s="58" t="str">
        <f>IF($AO345="","",IFERROR(_xlfn.IMAGE(IF(REGEXMATCH($AO345,"\.(png|jpg|jpeg|gif)$"),$AO345,"https://s3.tradingview.com/snapshots/"&amp;LOWER(MID(REGEXEXTRACT($AO345,"/x/([A-Za-z0-9]+)"),1,1))&amp;"/"&amp;REGEXEXTRACT($AO345,"/x/([A-Za-z0-9]+)")&amp;".png"),1),"⚠️ link tidak dikenali"))</f>
        <v/>
      </c>
      <c r="AQ345" s="66">
        <f>IF($Z345="",0,IF(AND(OR('📊 Dashboard'!$B$4="(Semua)",$F345='📊 Dashboard'!$B$4),OR('📊 Dashboard'!$B$5="(Semua)",$H345='📊 Dashboard'!$B$5),OR('📊 Dashboard'!$B$6="(Semua)",$E345='📊 Dashboard'!$B$6),OR('📊 Dashboard'!$B$7="(Semua)",$AF345='📊 Dashboard'!$B$7),OR('📊 Dashboard'!$B$8="(Semua)",$AG345='📊 Dashboard'!$B$8),OR('📊 Dashboard'!$B$9="(Semua)",$K345='📊 Dashboard'!$B$9)),1,0))</f>
        <v>0</v>
      </c>
      <c r="AR345" s="69"/>
    </row>
    <row r="346" ht="58" customHeight="1" spans="1:44">
      <c r="A346" s="58" t="str">
        <f t="shared" si="35"/>
        <v/>
      </c>
      <c r="B346" s="59"/>
      <c r="C346" s="60"/>
      <c r="D346" s="60"/>
      <c r="E346" s="58" t="str">
        <f t="shared" si="36"/>
        <v/>
      </c>
      <c r="F346" s="61"/>
      <c r="G346" s="61"/>
      <c r="H346" s="61"/>
      <c r="I346" s="61"/>
      <c r="J346" s="61"/>
      <c r="K346" s="61"/>
      <c r="L346" s="61"/>
      <c r="M346" s="61"/>
      <c r="N346" s="62"/>
      <c r="O346" s="62"/>
      <c r="P346" s="62"/>
      <c r="Q346" s="62"/>
      <c r="R346" s="63" t="str">
        <f>IFERROR(IF(OR($N346="",$O346="",$F346=""),"",ROUND(('⚙️ Setelan'!$B$3*'⚙️ Setelan'!$B$4/100)/(ABS($N346-$O346)*VLOOKUP($F346,'⚙️ Setelan'!$A$14:$F$20,4,FALSE)),2)),"")</f>
        <v/>
      </c>
      <c r="S346" s="64"/>
      <c r="T346" s="65" t="str">
        <f>IFERROR(IF(OR($N346="",$O346="",$S346=""),"",ABS($N346-$O346)*$S346*VLOOKUP($F346,'⚙️ Setelan'!$A$14:$F$20,4,FALSE)),"")</f>
        <v/>
      </c>
      <c r="U346" s="63" t="str">
        <f t="shared" si="37"/>
        <v/>
      </c>
      <c r="V346" s="65" t="str">
        <f>IFERROR(IF(OR($Q346="",$N346="",$S346=""),"",($Q346-$N346)*IF($G346="Buy",1,-1)*$S346*VLOOKUP($F346,'⚙️ Setelan'!$A$14:$F$20,4,FALSE)),"")</f>
        <v/>
      </c>
      <c r="W346" s="65" t="str">
        <f>IFERROR(IF(OR($S346="",$F346=""),"",$S346*VLOOKUP($F346,'⚙️ Setelan'!$A$14:$F$20,5,FALSE)),"")</f>
        <v/>
      </c>
      <c r="X346" s="65" t="str">
        <f t="shared" si="38"/>
        <v/>
      </c>
      <c r="Y346" s="63" t="str">
        <f t="shared" si="39"/>
        <v/>
      </c>
      <c r="Z346" s="58" t="str">
        <f t="shared" si="40"/>
        <v/>
      </c>
      <c r="AA346" s="66" t="str">
        <f t="shared" si="41"/>
        <v/>
      </c>
      <c r="AB346" s="62"/>
      <c r="AC346" s="62"/>
      <c r="AD346" s="63" t="str">
        <f>IFERROR(IF(OR($AB346="",$T346="",$T346=0),"",ROUND(ABS($N346-$AB346)*$S346*VLOOKUP($F346,'⚙️ Setelan'!$A$14:$F$20,4,FALSE)/$T346,2)),"")</f>
        <v/>
      </c>
      <c r="AE346" s="63" t="str">
        <f>IFERROR(IF(OR($AC346="",$T346="",$T346=0),"",ROUND(ABS($AC346-$N346)*$S346*VLOOKUP($F346,'⚙️ Setelan'!$A$14:$F$20,4,FALSE)/$T346,2)),"")</f>
        <v/>
      </c>
      <c r="AF346" s="61"/>
      <c r="AG346" s="61"/>
      <c r="AH346" s="61"/>
      <c r="AI346" s="61"/>
      <c r="AJ346" s="61"/>
      <c r="AK346" s="67"/>
      <c r="AL346" s="58" t="str">
        <f>IF(OR($C346="",$B346=""),"",IF(AND($Z345="Loss",$B346=$B345,MOD($C346-$D345,1)*1440&lt;'⚙️ Setelan'!$B$9),"⚠️ Revenge",""))</f>
        <v/>
      </c>
      <c r="AM346" s="68"/>
      <c r="AN346" s="58" t="str">
        <f>IF($AM346="","",IFERROR(_xlfn.IMAGE(IF(REGEXMATCH($AM346,"\.(png|jpg|jpeg|gif)$"),$AM346,"https://s3.tradingview.com/snapshots/"&amp;LOWER(MID(REGEXEXTRACT($AM346,"/x/([A-Za-z0-9]+)"),1,1))&amp;"/"&amp;REGEXEXTRACT($AM346,"/x/([A-Za-z0-9]+)")&amp;".png"),1),"⚠️ link tidak dikenali"))</f>
        <v/>
      </c>
      <c r="AO346" s="68"/>
      <c r="AP346" s="58" t="str">
        <f>IF($AO346="","",IFERROR(_xlfn.IMAGE(IF(REGEXMATCH($AO346,"\.(png|jpg|jpeg|gif)$"),$AO346,"https://s3.tradingview.com/snapshots/"&amp;LOWER(MID(REGEXEXTRACT($AO346,"/x/([A-Za-z0-9]+)"),1,1))&amp;"/"&amp;REGEXEXTRACT($AO346,"/x/([A-Za-z0-9]+)")&amp;".png"),1),"⚠️ link tidak dikenali"))</f>
        <v/>
      </c>
      <c r="AQ346" s="66">
        <f>IF($Z346="",0,IF(AND(OR('📊 Dashboard'!$B$4="(Semua)",$F346='📊 Dashboard'!$B$4),OR('📊 Dashboard'!$B$5="(Semua)",$H346='📊 Dashboard'!$B$5),OR('📊 Dashboard'!$B$6="(Semua)",$E346='📊 Dashboard'!$B$6),OR('📊 Dashboard'!$B$7="(Semua)",$AF346='📊 Dashboard'!$B$7),OR('📊 Dashboard'!$B$8="(Semua)",$AG346='📊 Dashboard'!$B$8),OR('📊 Dashboard'!$B$9="(Semua)",$K346='📊 Dashboard'!$B$9)),1,0))</f>
        <v>0</v>
      </c>
      <c r="AR346" s="69"/>
    </row>
    <row r="347" ht="58" customHeight="1" spans="1:44">
      <c r="A347" s="58" t="str">
        <f t="shared" si="35"/>
        <v/>
      </c>
      <c r="B347" s="59"/>
      <c r="C347" s="60"/>
      <c r="D347" s="60"/>
      <c r="E347" s="58" t="str">
        <f t="shared" si="36"/>
        <v/>
      </c>
      <c r="F347" s="61"/>
      <c r="G347" s="61"/>
      <c r="H347" s="61"/>
      <c r="I347" s="61"/>
      <c r="J347" s="61"/>
      <c r="K347" s="61"/>
      <c r="L347" s="61"/>
      <c r="M347" s="61"/>
      <c r="N347" s="62"/>
      <c r="O347" s="62"/>
      <c r="P347" s="62"/>
      <c r="Q347" s="62"/>
      <c r="R347" s="63" t="str">
        <f>IFERROR(IF(OR($N347="",$O347="",$F347=""),"",ROUND(('⚙️ Setelan'!$B$3*'⚙️ Setelan'!$B$4/100)/(ABS($N347-$O347)*VLOOKUP($F347,'⚙️ Setelan'!$A$14:$F$20,4,FALSE)),2)),"")</f>
        <v/>
      </c>
      <c r="S347" s="64"/>
      <c r="T347" s="65" t="str">
        <f>IFERROR(IF(OR($N347="",$O347="",$S347=""),"",ABS($N347-$O347)*$S347*VLOOKUP($F347,'⚙️ Setelan'!$A$14:$F$20,4,FALSE)),"")</f>
        <v/>
      </c>
      <c r="U347" s="63" t="str">
        <f t="shared" si="37"/>
        <v/>
      </c>
      <c r="V347" s="65" t="str">
        <f>IFERROR(IF(OR($Q347="",$N347="",$S347=""),"",($Q347-$N347)*IF($G347="Buy",1,-1)*$S347*VLOOKUP($F347,'⚙️ Setelan'!$A$14:$F$20,4,FALSE)),"")</f>
        <v/>
      </c>
      <c r="W347" s="65" t="str">
        <f>IFERROR(IF(OR($S347="",$F347=""),"",$S347*VLOOKUP($F347,'⚙️ Setelan'!$A$14:$F$20,5,FALSE)),"")</f>
        <v/>
      </c>
      <c r="X347" s="65" t="str">
        <f t="shared" si="38"/>
        <v/>
      </c>
      <c r="Y347" s="63" t="str">
        <f t="shared" si="39"/>
        <v/>
      </c>
      <c r="Z347" s="58" t="str">
        <f t="shared" si="40"/>
        <v/>
      </c>
      <c r="AA347" s="66" t="str">
        <f t="shared" si="41"/>
        <v/>
      </c>
      <c r="AB347" s="62"/>
      <c r="AC347" s="62"/>
      <c r="AD347" s="63" t="str">
        <f>IFERROR(IF(OR($AB347="",$T347="",$T347=0),"",ROUND(ABS($N347-$AB347)*$S347*VLOOKUP($F347,'⚙️ Setelan'!$A$14:$F$20,4,FALSE)/$T347,2)),"")</f>
        <v/>
      </c>
      <c r="AE347" s="63" t="str">
        <f>IFERROR(IF(OR($AC347="",$T347="",$T347=0),"",ROUND(ABS($AC347-$N347)*$S347*VLOOKUP($F347,'⚙️ Setelan'!$A$14:$F$20,4,FALSE)/$T347,2)),"")</f>
        <v/>
      </c>
      <c r="AF347" s="61"/>
      <c r="AG347" s="61"/>
      <c r="AH347" s="61"/>
      <c r="AI347" s="61"/>
      <c r="AJ347" s="61"/>
      <c r="AK347" s="67"/>
      <c r="AL347" s="58" t="str">
        <f>IF(OR($C347="",$B347=""),"",IF(AND($Z346="Loss",$B347=$B346,MOD($C347-$D346,1)*1440&lt;'⚙️ Setelan'!$B$9),"⚠️ Revenge",""))</f>
        <v/>
      </c>
      <c r="AM347" s="68"/>
      <c r="AN347" s="58" t="str">
        <f>IF($AM347="","",IFERROR(_xlfn.IMAGE(IF(REGEXMATCH($AM347,"\.(png|jpg|jpeg|gif)$"),$AM347,"https://s3.tradingview.com/snapshots/"&amp;LOWER(MID(REGEXEXTRACT($AM347,"/x/([A-Za-z0-9]+)"),1,1))&amp;"/"&amp;REGEXEXTRACT($AM347,"/x/([A-Za-z0-9]+)")&amp;".png"),1),"⚠️ link tidak dikenali"))</f>
        <v/>
      </c>
      <c r="AO347" s="68"/>
      <c r="AP347" s="58" t="str">
        <f>IF($AO347="","",IFERROR(_xlfn.IMAGE(IF(REGEXMATCH($AO347,"\.(png|jpg|jpeg|gif)$"),$AO347,"https://s3.tradingview.com/snapshots/"&amp;LOWER(MID(REGEXEXTRACT($AO347,"/x/([A-Za-z0-9]+)"),1,1))&amp;"/"&amp;REGEXEXTRACT($AO347,"/x/([A-Za-z0-9]+)")&amp;".png"),1),"⚠️ link tidak dikenali"))</f>
        <v/>
      </c>
      <c r="AQ347" s="66">
        <f>IF($Z347="",0,IF(AND(OR('📊 Dashboard'!$B$4="(Semua)",$F347='📊 Dashboard'!$B$4),OR('📊 Dashboard'!$B$5="(Semua)",$H347='📊 Dashboard'!$B$5),OR('📊 Dashboard'!$B$6="(Semua)",$E347='📊 Dashboard'!$B$6),OR('📊 Dashboard'!$B$7="(Semua)",$AF347='📊 Dashboard'!$B$7),OR('📊 Dashboard'!$B$8="(Semua)",$AG347='📊 Dashboard'!$B$8),OR('📊 Dashboard'!$B$9="(Semua)",$K347='📊 Dashboard'!$B$9)),1,0))</f>
        <v>0</v>
      </c>
      <c r="AR347" s="69"/>
    </row>
    <row r="348" ht="58" customHeight="1" spans="1:44">
      <c r="A348" s="58" t="str">
        <f t="shared" si="35"/>
        <v/>
      </c>
      <c r="B348" s="59"/>
      <c r="C348" s="60"/>
      <c r="D348" s="60"/>
      <c r="E348" s="58" t="str">
        <f t="shared" si="36"/>
        <v/>
      </c>
      <c r="F348" s="61"/>
      <c r="G348" s="61"/>
      <c r="H348" s="61"/>
      <c r="I348" s="61"/>
      <c r="J348" s="61"/>
      <c r="K348" s="61"/>
      <c r="L348" s="61"/>
      <c r="M348" s="61"/>
      <c r="N348" s="62"/>
      <c r="O348" s="62"/>
      <c r="P348" s="62"/>
      <c r="Q348" s="62"/>
      <c r="R348" s="63" t="str">
        <f>IFERROR(IF(OR($N348="",$O348="",$F348=""),"",ROUND(('⚙️ Setelan'!$B$3*'⚙️ Setelan'!$B$4/100)/(ABS($N348-$O348)*VLOOKUP($F348,'⚙️ Setelan'!$A$14:$F$20,4,FALSE)),2)),"")</f>
        <v/>
      </c>
      <c r="S348" s="64"/>
      <c r="T348" s="65" t="str">
        <f>IFERROR(IF(OR($N348="",$O348="",$S348=""),"",ABS($N348-$O348)*$S348*VLOOKUP($F348,'⚙️ Setelan'!$A$14:$F$20,4,FALSE)),"")</f>
        <v/>
      </c>
      <c r="U348" s="63" t="str">
        <f t="shared" si="37"/>
        <v/>
      </c>
      <c r="V348" s="65" t="str">
        <f>IFERROR(IF(OR($Q348="",$N348="",$S348=""),"",($Q348-$N348)*IF($G348="Buy",1,-1)*$S348*VLOOKUP($F348,'⚙️ Setelan'!$A$14:$F$20,4,FALSE)),"")</f>
        <v/>
      </c>
      <c r="W348" s="65" t="str">
        <f>IFERROR(IF(OR($S348="",$F348=""),"",$S348*VLOOKUP($F348,'⚙️ Setelan'!$A$14:$F$20,5,FALSE)),"")</f>
        <v/>
      </c>
      <c r="X348" s="65" t="str">
        <f t="shared" si="38"/>
        <v/>
      </c>
      <c r="Y348" s="63" t="str">
        <f t="shared" si="39"/>
        <v/>
      </c>
      <c r="Z348" s="58" t="str">
        <f t="shared" si="40"/>
        <v/>
      </c>
      <c r="AA348" s="66" t="str">
        <f t="shared" si="41"/>
        <v/>
      </c>
      <c r="AB348" s="62"/>
      <c r="AC348" s="62"/>
      <c r="AD348" s="63" t="str">
        <f>IFERROR(IF(OR($AB348="",$T348="",$T348=0),"",ROUND(ABS($N348-$AB348)*$S348*VLOOKUP($F348,'⚙️ Setelan'!$A$14:$F$20,4,FALSE)/$T348,2)),"")</f>
        <v/>
      </c>
      <c r="AE348" s="63" t="str">
        <f>IFERROR(IF(OR($AC348="",$T348="",$T348=0),"",ROUND(ABS($AC348-$N348)*$S348*VLOOKUP($F348,'⚙️ Setelan'!$A$14:$F$20,4,FALSE)/$T348,2)),"")</f>
        <v/>
      </c>
      <c r="AF348" s="61"/>
      <c r="AG348" s="61"/>
      <c r="AH348" s="61"/>
      <c r="AI348" s="61"/>
      <c r="AJ348" s="61"/>
      <c r="AK348" s="67"/>
      <c r="AL348" s="58" t="str">
        <f>IF(OR($C348="",$B348=""),"",IF(AND($Z347="Loss",$B348=$B347,MOD($C348-$D347,1)*1440&lt;'⚙️ Setelan'!$B$9),"⚠️ Revenge",""))</f>
        <v/>
      </c>
      <c r="AM348" s="68"/>
      <c r="AN348" s="58" t="str">
        <f>IF($AM348="","",IFERROR(_xlfn.IMAGE(IF(REGEXMATCH($AM348,"\.(png|jpg|jpeg|gif)$"),$AM348,"https://s3.tradingview.com/snapshots/"&amp;LOWER(MID(REGEXEXTRACT($AM348,"/x/([A-Za-z0-9]+)"),1,1))&amp;"/"&amp;REGEXEXTRACT($AM348,"/x/([A-Za-z0-9]+)")&amp;".png"),1),"⚠️ link tidak dikenali"))</f>
        <v/>
      </c>
      <c r="AO348" s="68"/>
      <c r="AP348" s="58" t="str">
        <f>IF($AO348="","",IFERROR(_xlfn.IMAGE(IF(REGEXMATCH($AO348,"\.(png|jpg|jpeg|gif)$"),$AO348,"https://s3.tradingview.com/snapshots/"&amp;LOWER(MID(REGEXEXTRACT($AO348,"/x/([A-Za-z0-9]+)"),1,1))&amp;"/"&amp;REGEXEXTRACT($AO348,"/x/([A-Za-z0-9]+)")&amp;".png"),1),"⚠️ link tidak dikenali"))</f>
        <v/>
      </c>
      <c r="AQ348" s="66">
        <f>IF($Z348="",0,IF(AND(OR('📊 Dashboard'!$B$4="(Semua)",$F348='📊 Dashboard'!$B$4),OR('📊 Dashboard'!$B$5="(Semua)",$H348='📊 Dashboard'!$B$5),OR('📊 Dashboard'!$B$6="(Semua)",$E348='📊 Dashboard'!$B$6),OR('📊 Dashboard'!$B$7="(Semua)",$AF348='📊 Dashboard'!$B$7),OR('📊 Dashboard'!$B$8="(Semua)",$AG348='📊 Dashboard'!$B$8),OR('📊 Dashboard'!$B$9="(Semua)",$K348='📊 Dashboard'!$B$9)),1,0))</f>
        <v>0</v>
      </c>
      <c r="AR348" s="69"/>
    </row>
    <row r="349" ht="58" customHeight="1" spans="1:44">
      <c r="A349" s="58" t="str">
        <f t="shared" si="35"/>
        <v/>
      </c>
      <c r="B349" s="59"/>
      <c r="C349" s="60"/>
      <c r="D349" s="60"/>
      <c r="E349" s="58" t="str">
        <f t="shared" si="36"/>
        <v/>
      </c>
      <c r="F349" s="61"/>
      <c r="G349" s="61"/>
      <c r="H349" s="61"/>
      <c r="I349" s="61"/>
      <c r="J349" s="61"/>
      <c r="K349" s="61"/>
      <c r="L349" s="61"/>
      <c r="M349" s="61"/>
      <c r="N349" s="62"/>
      <c r="O349" s="62"/>
      <c r="P349" s="62"/>
      <c r="Q349" s="62"/>
      <c r="R349" s="63" t="str">
        <f>IFERROR(IF(OR($N349="",$O349="",$F349=""),"",ROUND(('⚙️ Setelan'!$B$3*'⚙️ Setelan'!$B$4/100)/(ABS($N349-$O349)*VLOOKUP($F349,'⚙️ Setelan'!$A$14:$F$20,4,FALSE)),2)),"")</f>
        <v/>
      </c>
      <c r="S349" s="64"/>
      <c r="T349" s="65" t="str">
        <f>IFERROR(IF(OR($N349="",$O349="",$S349=""),"",ABS($N349-$O349)*$S349*VLOOKUP($F349,'⚙️ Setelan'!$A$14:$F$20,4,FALSE)),"")</f>
        <v/>
      </c>
      <c r="U349" s="63" t="str">
        <f t="shared" si="37"/>
        <v/>
      </c>
      <c r="V349" s="65" t="str">
        <f>IFERROR(IF(OR($Q349="",$N349="",$S349=""),"",($Q349-$N349)*IF($G349="Buy",1,-1)*$S349*VLOOKUP($F349,'⚙️ Setelan'!$A$14:$F$20,4,FALSE)),"")</f>
        <v/>
      </c>
      <c r="W349" s="65" t="str">
        <f>IFERROR(IF(OR($S349="",$F349=""),"",$S349*VLOOKUP($F349,'⚙️ Setelan'!$A$14:$F$20,5,FALSE)),"")</f>
        <v/>
      </c>
      <c r="X349" s="65" t="str">
        <f t="shared" si="38"/>
        <v/>
      </c>
      <c r="Y349" s="63" t="str">
        <f t="shared" si="39"/>
        <v/>
      </c>
      <c r="Z349" s="58" t="str">
        <f t="shared" si="40"/>
        <v/>
      </c>
      <c r="AA349" s="66" t="str">
        <f t="shared" si="41"/>
        <v/>
      </c>
      <c r="AB349" s="62"/>
      <c r="AC349" s="62"/>
      <c r="AD349" s="63" t="str">
        <f>IFERROR(IF(OR($AB349="",$T349="",$T349=0),"",ROUND(ABS($N349-$AB349)*$S349*VLOOKUP($F349,'⚙️ Setelan'!$A$14:$F$20,4,FALSE)/$T349,2)),"")</f>
        <v/>
      </c>
      <c r="AE349" s="63" t="str">
        <f>IFERROR(IF(OR($AC349="",$T349="",$T349=0),"",ROUND(ABS($AC349-$N349)*$S349*VLOOKUP($F349,'⚙️ Setelan'!$A$14:$F$20,4,FALSE)/$T349,2)),"")</f>
        <v/>
      </c>
      <c r="AF349" s="61"/>
      <c r="AG349" s="61"/>
      <c r="AH349" s="61"/>
      <c r="AI349" s="61"/>
      <c r="AJ349" s="61"/>
      <c r="AK349" s="67"/>
      <c r="AL349" s="58" t="str">
        <f>IF(OR($C349="",$B349=""),"",IF(AND($Z348="Loss",$B349=$B348,MOD($C349-$D348,1)*1440&lt;'⚙️ Setelan'!$B$9),"⚠️ Revenge",""))</f>
        <v/>
      </c>
      <c r="AM349" s="68"/>
      <c r="AN349" s="58" t="str">
        <f>IF($AM349="","",IFERROR(_xlfn.IMAGE(IF(REGEXMATCH($AM349,"\.(png|jpg|jpeg|gif)$"),$AM349,"https://s3.tradingview.com/snapshots/"&amp;LOWER(MID(REGEXEXTRACT($AM349,"/x/([A-Za-z0-9]+)"),1,1))&amp;"/"&amp;REGEXEXTRACT($AM349,"/x/([A-Za-z0-9]+)")&amp;".png"),1),"⚠️ link tidak dikenali"))</f>
        <v/>
      </c>
      <c r="AO349" s="68"/>
      <c r="AP349" s="58" t="str">
        <f>IF($AO349="","",IFERROR(_xlfn.IMAGE(IF(REGEXMATCH($AO349,"\.(png|jpg|jpeg|gif)$"),$AO349,"https://s3.tradingview.com/snapshots/"&amp;LOWER(MID(REGEXEXTRACT($AO349,"/x/([A-Za-z0-9]+)"),1,1))&amp;"/"&amp;REGEXEXTRACT($AO349,"/x/([A-Za-z0-9]+)")&amp;".png"),1),"⚠️ link tidak dikenali"))</f>
        <v/>
      </c>
      <c r="AQ349" s="66">
        <f>IF($Z349="",0,IF(AND(OR('📊 Dashboard'!$B$4="(Semua)",$F349='📊 Dashboard'!$B$4),OR('📊 Dashboard'!$B$5="(Semua)",$H349='📊 Dashboard'!$B$5),OR('📊 Dashboard'!$B$6="(Semua)",$E349='📊 Dashboard'!$B$6),OR('📊 Dashboard'!$B$7="(Semua)",$AF349='📊 Dashboard'!$B$7),OR('📊 Dashboard'!$B$8="(Semua)",$AG349='📊 Dashboard'!$B$8),OR('📊 Dashboard'!$B$9="(Semua)",$K349='📊 Dashboard'!$B$9)),1,0))</f>
        <v>0</v>
      </c>
      <c r="AR349" s="69"/>
    </row>
    <row r="350" ht="58" customHeight="1" spans="1:44">
      <c r="A350" s="58" t="str">
        <f t="shared" si="35"/>
        <v/>
      </c>
      <c r="B350" s="59"/>
      <c r="C350" s="60"/>
      <c r="D350" s="60"/>
      <c r="E350" s="58" t="str">
        <f t="shared" si="36"/>
        <v/>
      </c>
      <c r="F350" s="61"/>
      <c r="G350" s="61"/>
      <c r="H350" s="61"/>
      <c r="I350" s="61"/>
      <c r="J350" s="61"/>
      <c r="K350" s="61"/>
      <c r="L350" s="61"/>
      <c r="M350" s="61"/>
      <c r="N350" s="62"/>
      <c r="O350" s="62"/>
      <c r="P350" s="62"/>
      <c r="Q350" s="62"/>
      <c r="R350" s="63" t="str">
        <f>IFERROR(IF(OR($N350="",$O350="",$F350=""),"",ROUND(('⚙️ Setelan'!$B$3*'⚙️ Setelan'!$B$4/100)/(ABS($N350-$O350)*VLOOKUP($F350,'⚙️ Setelan'!$A$14:$F$20,4,FALSE)),2)),"")</f>
        <v/>
      </c>
      <c r="S350" s="64"/>
      <c r="T350" s="65" t="str">
        <f>IFERROR(IF(OR($N350="",$O350="",$S350=""),"",ABS($N350-$O350)*$S350*VLOOKUP($F350,'⚙️ Setelan'!$A$14:$F$20,4,FALSE)),"")</f>
        <v/>
      </c>
      <c r="U350" s="63" t="str">
        <f t="shared" si="37"/>
        <v/>
      </c>
      <c r="V350" s="65" t="str">
        <f>IFERROR(IF(OR($Q350="",$N350="",$S350=""),"",($Q350-$N350)*IF($G350="Buy",1,-1)*$S350*VLOOKUP($F350,'⚙️ Setelan'!$A$14:$F$20,4,FALSE)),"")</f>
        <v/>
      </c>
      <c r="W350" s="65" t="str">
        <f>IFERROR(IF(OR($S350="",$F350=""),"",$S350*VLOOKUP($F350,'⚙️ Setelan'!$A$14:$F$20,5,FALSE)),"")</f>
        <v/>
      </c>
      <c r="X350" s="65" t="str">
        <f t="shared" si="38"/>
        <v/>
      </c>
      <c r="Y350" s="63" t="str">
        <f t="shared" si="39"/>
        <v/>
      </c>
      <c r="Z350" s="58" t="str">
        <f t="shared" si="40"/>
        <v/>
      </c>
      <c r="AA350" s="66" t="str">
        <f t="shared" si="41"/>
        <v/>
      </c>
      <c r="AB350" s="62"/>
      <c r="AC350" s="62"/>
      <c r="AD350" s="63" t="str">
        <f>IFERROR(IF(OR($AB350="",$T350="",$T350=0),"",ROUND(ABS($N350-$AB350)*$S350*VLOOKUP($F350,'⚙️ Setelan'!$A$14:$F$20,4,FALSE)/$T350,2)),"")</f>
        <v/>
      </c>
      <c r="AE350" s="63" t="str">
        <f>IFERROR(IF(OR($AC350="",$T350="",$T350=0),"",ROUND(ABS($AC350-$N350)*$S350*VLOOKUP($F350,'⚙️ Setelan'!$A$14:$F$20,4,FALSE)/$T350,2)),"")</f>
        <v/>
      </c>
      <c r="AF350" s="61"/>
      <c r="AG350" s="61"/>
      <c r="AH350" s="61"/>
      <c r="AI350" s="61"/>
      <c r="AJ350" s="61"/>
      <c r="AK350" s="67"/>
      <c r="AL350" s="58" t="str">
        <f>IF(OR($C350="",$B350=""),"",IF(AND($Z349="Loss",$B350=$B349,MOD($C350-$D349,1)*1440&lt;'⚙️ Setelan'!$B$9),"⚠️ Revenge",""))</f>
        <v/>
      </c>
      <c r="AM350" s="68"/>
      <c r="AN350" s="58" t="str">
        <f>IF($AM350="","",IFERROR(_xlfn.IMAGE(IF(REGEXMATCH($AM350,"\.(png|jpg|jpeg|gif)$"),$AM350,"https://s3.tradingview.com/snapshots/"&amp;LOWER(MID(REGEXEXTRACT($AM350,"/x/([A-Za-z0-9]+)"),1,1))&amp;"/"&amp;REGEXEXTRACT($AM350,"/x/([A-Za-z0-9]+)")&amp;".png"),1),"⚠️ link tidak dikenali"))</f>
        <v/>
      </c>
      <c r="AO350" s="68"/>
      <c r="AP350" s="58" t="str">
        <f>IF($AO350="","",IFERROR(_xlfn.IMAGE(IF(REGEXMATCH($AO350,"\.(png|jpg|jpeg|gif)$"),$AO350,"https://s3.tradingview.com/snapshots/"&amp;LOWER(MID(REGEXEXTRACT($AO350,"/x/([A-Za-z0-9]+)"),1,1))&amp;"/"&amp;REGEXEXTRACT($AO350,"/x/([A-Za-z0-9]+)")&amp;".png"),1),"⚠️ link tidak dikenali"))</f>
        <v/>
      </c>
      <c r="AQ350" s="66">
        <f>IF($Z350="",0,IF(AND(OR('📊 Dashboard'!$B$4="(Semua)",$F350='📊 Dashboard'!$B$4),OR('📊 Dashboard'!$B$5="(Semua)",$H350='📊 Dashboard'!$B$5),OR('📊 Dashboard'!$B$6="(Semua)",$E350='📊 Dashboard'!$B$6),OR('📊 Dashboard'!$B$7="(Semua)",$AF350='📊 Dashboard'!$B$7),OR('📊 Dashboard'!$B$8="(Semua)",$AG350='📊 Dashboard'!$B$8),OR('📊 Dashboard'!$B$9="(Semua)",$K350='📊 Dashboard'!$B$9)),1,0))</f>
        <v>0</v>
      </c>
      <c r="AR350" s="69"/>
    </row>
    <row r="351" ht="58" customHeight="1" spans="1:44">
      <c r="A351" s="58" t="str">
        <f t="shared" si="35"/>
        <v/>
      </c>
      <c r="B351" s="59"/>
      <c r="C351" s="60"/>
      <c r="D351" s="60"/>
      <c r="E351" s="58" t="str">
        <f t="shared" si="36"/>
        <v/>
      </c>
      <c r="F351" s="61"/>
      <c r="G351" s="61"/>
      <c r="H351" s="61"/>
      <c r="I351" s="61"/>
      <c r="J351" s="61"/>
      <c r="K351" s="61"/>
      <c r="L351" s="61"/>
      <c r="M351" s="61"/>
      <c r="N351" s="62"/>
      <c r="O351" s="62"/>
      <c r="P351" s="62"/>
      <c r="Q351" s="62"/>
      <c r="R351" s="63" t="str">
        <f>IFERROR(IF(OR($N351="",$O351="",$F351=""),"",ROUND(('⚙️ Setelan'!$B$3*'⚙️ Setelan'!$B$4/100)/(ABS($N351-$O351)*VLOOKUP($F351,'⚙️ Setelan'!$A$14:$F$20,4,FALSE)),2)),"")</f>
        <v/>
      </c>
      <c r="S351" s="64"/>
      <c r="T351" s="65" t="str">
        <f>IFERROR(IF(OR($N351="",$O351="",$S351=""),"",ABS($N351-$O351)*$S351*VLOOKUP($F351,'⚙️ Setelan'!$A$14:$F$20,4,FALSE)),"")</f>
        <v/>
      </c>
      <c r="U351" s="63" t="str">
        <f t="shared" si="37"/>
        <v/>
      </c>
      <c r="V351" s="65" t="str">
        <f>IFERROR(IF(OR($Q351="",$N351="",$S351=""),"",($Q351-$N351)*IF($G351="Buy",1,-1)*$S351*VLOOKUP($F351,'⚙️ Setelan'!$A$14:$F$20,4,FALSE)),"")</f>
        <v/>
      </c>
      <c r="W351" s="65" t="str">
        <f>IFERROR(IF(OR($S351="",$F351=""),"",$S351*VLOOKUP($F351,'⚙️ Setelan'!$A$14:$F$20,5,FALSE)),"")</f>
        <v/>
      </c>
      <c r="X351" s="65" t="str">
        <f t="shared" si="38"/>
        <v/>
      </c>
      <c r="Y351" s="63" t="str">
        <f t="shared" si="39"/>
        <v/>
      </c>
      <c r="Z351" s="58" t="str">
        <f t="shared" si="40"/>
        <v/>
      </c>
      <c r="AA351" s="66" t="str">
        <f t="shared" si="41"/>
        <v/>
      </c>
      <c r="AB351" s="62"/>
      <c r="AC351" s="62"/>
      <c r="AD351" s="63" t="str">
        <f>IFERROR(IF(OR($AB351="",$T351="",$T351=0),"",ROUND(ABS($N351-$AB351)*$S351*VLOOKUP($F351,'⚙️ Setelan'!$A$14:$F$20,4,FALSE)/$T351,2)),"")</f>
        <v/>
      </c>
      <c r="AE351" s="63" t="str">
        <f>IFERROR(IF(OR($AC351="",$T351="",$T351=0),"",ROUND(ABS($AC351-$N351)*$S351*VLOOKUP($F351,'⚙️ Setelan'!$A$14:$F$20,4,FALSE)/$T351,2)),"")</f>
        <v/>
      </c>
      <c r="AF351" s="61"/>
      <c r="AG351" s="61"/>
      <c r="AH351" s="61"/>
      <c r="AI351" s="61"/>
      <c r="AJ351" s="61"/>
      <c r="AK351" s="67"/>
      <c r="AL351" s="58" t="str">
        <f>IF(OR($C351="",$B351=""),"",IF(AND($Z350="Loss",$B351=$B350,MOD($C351-$D350,1)*1440&lt;'⚙️ Setelan'!$B$9),"⚠️ Revenge",""))</f>
        <v/>
      </c>
      <c r="AM351" s="68"/>
      <c r="AN351" s="58" t="str">
        <f>IF($AM351="","",IFERROR(_xlfn.IMAGE(IF(REGEXMATCH($AM351,"\.(png|jpg|jpeg|gif)$"),$AM351,"https://s3.tradingview.com/snapshots/"&amp;LOWER(MID(REGEXEXTRACT($AM351,"/x/([A-Za-z0-9]+)"),1,1))&amp;"/"&amp;REGEXEXTRACT($AM351,"/x/([A-Za-z0-9]+)")&amp;".png"),1),"⚠️ link tidak dikenali"))</f>
        <v/>
      </c>
      <c r="AO351" s="68"/>
      <c r="AP351" s="58" t="str">
        <f>IF($AO351="","",IFERROR(_xlfn.IMAGE(IF(REGEXMATCH($AO351,"\.(png|jpg|jpeg|gif)$"),$AO351,"https://s3.tradingview.com/snapshots/"&amp;LOWER(MID(REGEXEXTRACT($AO351,"/x/([A-Za-z0-9]+)"),1,1))&amp;"/"&amp;REGEXEXTRACT($AO351,"/x/([A-Za-z0-9]+)")&amp;".png"),1),"⚠️ link tidak dikenali"))</f>
        <v/>
      </c>
      <c r="AQ351" s="66">
        <f>IF($Z351="",0,IF(AND(OR('📊 Dashboard'!$B$4="(Semua)",$F351='📊 Dashboard'!$B$4),OR('📊 Dashboard'!$B$5="(Semua)",$H351='📊 Dashboard'!$B$5),OR('📊 Dashboard'!$B$6="(Semua)",$E351='📊 Dashboard'!$B$6),OR('📊 Dashboard'!$B$7="(Semua)",$AF351='📊 Dashboard'!$B$7),OR('📊 Dashboard'!$B$8="(Semua)",$AG351='📊 Dashboard'!$B$8),OR('📊 Dashboard'!$B$9="(Semua)",$K351='📊 Dashboard'!$B$9)),1,0))</f>
        <v>0</v>
      </c>
      <c r="AR351" s="69"/>
    </row>
    <row r="352" ht="58" customHeight="1" spans="1:44">
      <c r="A352" s="58" t="str">
        <f t="shared" si="35"/>
        <v/>
      </c>
      <c r="B352" s="59"/>
      <c r="C352" s="60"/>
      <c r="D352" s="60"/>
      <c r="E352" s="58" t="str">
        <f t="shared" si="36"/>
        <v/>
      </c>
      <c r="F352" s="61"/>
      <c r="G352" s="61"/>
      <c r="H352" s="61"/>
      <c r="I352" s="61"/>
      <c r="J352" s="61"/>
      <c r="K352" s="61"/>
      <c r="L352" s="61"/>
      <c r="M352" s="61"/>
      <c r="N352" s="62"/>
      <c r="O352" s="62"/>
      <c r="P352" s="62"/>
      <c r="Q352" s="62"/>
      <c r="R352" s="63" t="str">
        <f>IFERROR(IF(OR($N352="",$O352="",$F352=""),"",ROUND(('⚙️ Setelan'!$B$3*'⚙️ Setelan'!$B$4/100)/(ABS($N352-$O352)*VLOOKUP($F352,'⚙️ Setelan'!$A$14:$F$20,4,FALSE)),2)),"")</f>
        <v/>
      </c>
      <c r="S352" s="64"/>
      <c r="T352" s="65" t="str">
        <f>IFERROR(IF(OR($N352="",$O352="",$S352=""),"",ABS($N352-$O352)*$S352*VLOOKUP($F352,'⚙️ Setelan'!$A$14:$F$20,4,FALSE)),"")</f>
        <v/>
      </c>
      <c r="U352" s="63" t="str">
        <f t="shared" si="37"/>
        <v/>
      </c>
      <c r="V352" s="65" t="str">
        <f>IFERROR(IF(OR($Q352="",$N352="",$S352=""),"",($Q352-$N352)*IF($G352="Buy",1,-1)*$S352*VLOOKUP($F352,'⚙️ Setelan'!$A$14:$F$20,4,FALSE)),"")</f>
        <v/>
      </c>
      <c r="W352" s="65" t="str">
        <f>IFERROR(IF(OR($S352="",$F352=""),"",$S352*VLOOKUP($F352,'⚙️ Setelan'!$A$14:$F$20,5,FALSE)),"")</f>
        <v/>
      </c>
      <c r="X352" s="65" t="str">
        <f t="shared" si="38"/>
        <v/>
      </c>
      <c r="Y352" s="63" t="str">
        <f t="shared" si="39"/>
        <v/>
      </c>
      <c r="Z352" s="58" t="str">
        <f t="shared" si="40"/>
        <v/>
      </c>
      <c r="AA352" s="66" t="str">
        <f t="shared" si="41"/>
        <v/>
      </c>
      <c r="AB352" s="62"/>
      <c r="AC352" s="62"/>
      <c r="AD352" s="63" t="str">
        <f>IFERROR(IF(OR($AB352="",$T352="",$T352=0),"",ROUND(ABS($N352-$AB352)*$S352*VLOOKUP($F352,'⚙️ Setelan'!$A$14:$F$20,4,FALSE)/$T352,2)),"")</f>
        <v/>
      </c>
      <c r="AE352" s="63" t="str">
        <f>IFERROR(IF(OR($AC352="",$T352="",$T352=0),"",ROUND(ABS($AC352-$N352)*$S352*VLOOKUP($F352,'⚙️ Setelan'!$A$14:$F$20,4,FALSE)/$T352,2)),"")</f>
        <v/>
      </c>
      <c r="AF352" s="61"/>
      <c r="AG352" s="61"/>
      <c r="AH352" s="61"/>
      <c r="AI352" s="61"/>
      <c r="AJ352" s="61"/>
      <c r="AK352" s="67"/>
      <c r="AL352" s="58" t="str">
        <f>IF(OR($C352="",$B352=""),"",IF(AND($Z351="Loss",$B352=$B351,MOD($C352-$D351,1)*1440&lt;'⚙️ Setelan'!$B$9),"⚠️ Revenge",""))</f>
        <v/>
      </c>
      <c r="AM352" s="68"/>
      <c r="AN352" s="58" t="str">
        <f>IF($AM352="","",IFERROR(_xlfn.IMAGE(IF(REGEXMATCH($AM352,"\.(png|jpg|jpeg|gif)$"),$AM352,"https://s3.tradingview.com/snapshots/"&amp;LOWER(MID(REGEXEXTRACT($AM352,"/x/([A-Za-z0-9]+)"),1,1))&amp;"/"&amp;REGEXEXTRACT($AM352,"/x/([A-Za-z0-9]+)")&amp;".png"),1),"⚠️ link tidak dikenali"))</f>
        <v/>
      </c>
      <c r="AO352" s="68"/>
      <c r="AP352" s="58" t="str">
        <f>IF($AO352="","",IFERROR(_xlfn.IMAGE(IF(REGEXMATCH($AO352,"\.(png|jpg|jpeg|gif)$"),$AO352,"https://s3.tradingview.com/snapshots/"&amp;LOWER(MID(REGEXEXTRACT($AO352,"/x/([A-Za-z0-9]+)"),1,1))&amp;"/"&amp;REGEXEXTRACT($AO352,"/x/([A-Za-z0-9]+)")&amp;".png"),1),"⚠️ link tidak dikenali"))</f>
        <v/>
      </c>
      <c r="AQ352" s="66">
        <f>IF($Z352="",0,IF(AND(OR('📊 Dashboard'!$B$4="(Semua)",$F352='📊 Dashboard'!$B$4),OR('📊 Dashboard'!$B$5="(Semua)",$H352='📊 Dashboard'!$B$5),OR('📊 Dashboard'!$B$6="(Semua)",$E352='📊 Dashboard'!$B$6),OR('📊 Dashboard'!$B$7="(Semua)",$AF352='📊 Dashboard'!$B$7),OR('📊 Dashboard'!$B$8="(Semua)",$AG352='📊 Dashboard'!$B$8),OR('📊 Dashboard'!$B$9="(Semua)",$K352='📊 Dashboard'!$B$9)),1,0))</f>
        <v>0</v>
      </c>
      <c r="AR352" s="69"/>
    </row>
    <row r="353" ht="58" customHeight="1" spans="1:44">
      <c r="A353" s="58" t="str">
        <f t="shared" si="35"/>
        <v/>
      </c>
      <c r="B353" s="59"/>
      <c r="C353" s="60"/>
      <c r="D353" s="60"/>
      <c r="E353" s="58" t="str">
        <f t="shared" si="36"/>
        <v/>
      </c>
      <c r="F353" s="61"/>
      <c r="G353" s="61"/>
      <c r="H353" s="61"/>
      <c r="I353" s="61"/>
      <c r="J353" s="61"/>
      <c r="K353" s="61"/>
      <c r="L353" s="61"/>
      <c r="M353" s="61"/>
      <c r="N353" s="62"/>
      <c r="O353" s="62"/>
      <c r="P353" s="62"/>
      <c r="Q353" s="62"/>
      <c r="R353" s="63" t="str">
        <f>IFERROR(IF(OR($N353="",$O353="",$F353=""),"",ROUND(('⚙️ Setelan'!$B$3*'⚙️ Setelan'!$B$4/100)/(ABS($N353-$O353)*VLOOKUP($F353,'⚙️ Setelan'!$A$14:$F$20,4,FALSE)),2)),"")</f>
        <v/>
      </c>
      <c r="S353" s="64"/>
      <c r="T353" s="65" t="str">
        <f>IFERROR(IF(OR($N353="",$O353="",$S353=""),"",ABS($N353-$O353)*$S353*VLOOKUP($F353,'⚙️ Setelan'!$A$14:$F$20,4,FALSE)),"")</f>
        <v/>
      </c>
      <c r="U353" s="63" t="str">
        <f t="shared" si="37"/>
        <v/>
      </c>
      <c r="V353" s="65" t="str">
        <f>IFERROR(IF(OR($Q353="",$N353="",$S353=""),"",($Q353-$N353)*IF($G353="Buy",1,-1)*$S353*VLOOKUP($F353,'⚙️ Setelan'!$A$14:$F$20,4,FALSE)),"")</f>
        <v/>
      </c>
      <c r="W353" s="65" t="str">
        <f>IFERROR(IF(OR($S353="",$F353=""),"",$S353*VLOOKUP($F353,'⚙️ Setelan'!$A$14:$F$20,5,FALSE)),"")</f>
        <v/>
      </c>
      <c r="X353" s="65" t="str">
        <f t="shared" si="38"/>
        <v/>
      </c>
      <c r="Y353" s="63" t="str">
        <f t="shared" si="39"/>
        <v/>
      </c>
      <c r="Z353" s="58" t="str">
        <f t="shared" si="40"/>
        <v/>
      </c>
      <c r="AA353" s="66" t="str">
        <f t="shared" si="41"/>
        <v/>
      </c>
      <c r="AB353" s="62"/>
      <c r="AC353" s="62"/>
      <c r="AD353" s="63" t="str">
        <f>IFERROR(IF(OR($AB353="",$T353="",$T353=0),"",ROUND(ABS($N353-$AB353)*$S353*VLOOKUP($F353,'⚙️ Setelan'!$A$14:$F$20,4,FALSE)/$T353,2)),"")</f>
        <v/>
      </c>
      <c r="AE353" s="63" t="str">
        <f>IFERROR(IF(OR($AC353="",$T353="",$T353=0),"",ROUND(ABS($AC353-$N353)*$S353*VLOOKUP($F353,'⚙️ Setelan'!$A$14:$F$20,4,FALSE)/$T353,2)),"")</f>
        <v/>
      </c>
      <c r="AF353" s="61"/>
      <c r="AG353" s="61"/>
      <c r="AH353" s="61"/>
      <c r="AI353" s="61"/>
      <c r="AJ353" s="61"/>
      <c r="AK353" s="67"/>
      <c r="AL353" s="58" t="str">
        <f>IF(OR($C353="",$B353=""),"",IF(AND($Z352="Loss",$B353=$B352,MOD($C353-$D352,1)*1440&lt;'⚙️ Setelan'!$B$9),"⚠️ Revenge",""))</f>
        <v/>
      </c>
      <c r="AM353" s="68"/>
      <c r="AN353" s="58" t="str">
        <f>IF($AM353="","",IFERROR(_xlfn.IMAGE(IF(REGEXMATCH($AM353,"\.(png|jpg|jpeg|gif)$"),$AM353,"https://s3.tradingview.com/snapshots/"&amp;LOWER(MID(REGEXEXTRACT($AM353,"/x/([A-Za-z0-9]+)"),1,1))&amp;"/"&amp;REGEXEXTRACT($AM353,"/x/([A-Za-z0-9]+)")&amp;".png"),1),"⚠️ link tidak dikenali"))</f>
        <v/>
      </c>
      <c r="AO353" s="68"/>
      <c r="AP353" s="58" t="str">
        <f>IF($AO353="","",IFERROR(_xlfn.IMAGE(IF(REGEXMATCH($AO353,"\.(png|jpg|jpeg|gif)$"),$AO353,"https://s3.tradingview.com/snapshots/"&amp;LOWER(MID(REGEXEXTRACT($AO353,"/x/([A-Za-z0-9]+)"),1,1))&amp;"/"&amp;REGEXEXTRACT($AO353,"/x/([A-Za-z0-9]+)")&amp;".png"),1),"⚠️ link tidak dikenali"))</f>
        <v/>
      </c>
      <c r="AQ353" s="66">
        <f>IF($Z353="",0,IF(AND(OR('📊 Dashboard'!$B$4="(Semua)",$F353='📊 Dashboard'!$B$4),OR('📊 Dashboard'!$B$5="(Semua)",$H353='📊 Dashboard'!$B$5),OR('📊 Dashboard'!$B$6="(Semua)",$E353='📊 Dashboard'!$B$6),OR('📊 Dashboard'!$B$7="(Semua)",$AF353='📊 Dashboard'!$B$7),OR('📊 Dashboard'!$B$8="(Semua)",$AG353='📊 Dashboard'!$B$8),OR('📊 Dashboard'!$B$9="(Semua)",$K353='📊 Dashboard'!$B$9)),1,0))</f>
        <v>0</v>
      </c>
      <c r="AR353" s="69"/>
    </row>
    <row r="354" ht="58" customHeight="1" spans="1:44">
      <c r="A354" s="58" t="str">
        <f t="shared" si="35"/>
        <v/>
      </c>
      <c r="B354" s="59"/>
      <c r="C354" s="60"/>
      <c r="D354" s="60"/>
      <c r="E354" s="58" t="str">
        <f t="shared" si="36"/>
        <v/>
      </c>
      <c r="F354" s="61"/>
      <c r="G354" s="61"/>
      <c r="H354" s="61"/>
      <c r="I354" s="61"/>
      <c r="J354" s="61"/>
      <c r="K354" s="61"/>
      <c r="L354" s="61"/>
      <c r="M354" s="61"/>
      <c r="N354" s="62"/>
      <c r="O354" s="62"/>
      <c r="P354" s="62"/>
      <c r="Q354" s="62"/>
      <c r="R354" s="63" t="str">
        <f>IFERROR(IF(OR($N354="",$O354="",$F354=""),"",ROUND(('⚙️ Setelan'!$B$3*'⚙️ Setelan'!$B$4/100)/(ABS($N354-$O354)*VLOOKUP($F354,'⚙️ Setelan'!$A$14:$F$20,4,FALSE)),2)),"")</f>
        <v/>
      </c>
      <c r="S354" s="64"/>
      <c r="T354" s="65" t="str">
        <f>IFERROR(IF(OR($N354="",$O354="",$S354=""),"",ABS($N354-$O354)*$S354*VLOOKUP($F354,'⚙️ Setelan'!$A$14:$F$20,4,FALSE)),"")</f>
        <v/>
      </c>
      <c r="U354" s="63" t="str">
        <f t="shared" si="37"/>
        <v/>
      </c>
      <c r="V354" s="65" t="str">
        <f>IFERROR(IF(OR($Q354="",$N354="",$S354=""),"",($Q354-$N354)*IF($G354="Buy",1,-1)*$S354*VLOOKUP($F354,'⚙️ Setelan'!$A$14:$F$20,4,FALSE)),"")</f>
        <v/>
      </c>
      <c r="W354" s="65" t="str">
        <f>IFERROR(IF(OR($S354="",$F354=""),"",$S354*VLOOKUP($F354,'⚙️ Setelan'!$A$14:$F$20,5,FALSE)),"")</f>
        <v/>
      </c>
      <c r="X354" s="65" t="str">
        <f t="shared" si="38"/>
        <v/>
      </c>
      <c r="Y354" s="63" t="str">
        <f t="shared" si="39"/>
        <v/>
      </c>
      <c r="Z354" s="58" t="str">
        <f t="shared" si="40"/>
        <v/>
      </c>
      <c r="AA354" s="66" t="str">
        <f t="shared" si="41"/>
        <v/>
      </c>
      <c r="AB354" s="62"/>
      <c r="AC354" s="62"/>
      <c r="AD354" s="63" t="str">
        <f>IFERROR(IF(OR($AB354="",$T354="",$T354=0),"",ROUND(ABS($N354-$AB354)*$S354*VLOOKUP($F354,'⚙️ Setelan'!$A$14:$F$20,4,FALSE)/$T354,2)),"")</f>
        <v/>
      </c>
      <c r="AE354" s="63" t="str">
        <f>IFERROR(IF(OR($AC354="",$T354="",$T354=0),"",ROUND(ABS($AC354-$N354)*$S354*VLOOKUP($F354,'⚙️ Setelan'!$A$14:$F$20,4,FALSE)/$T354,2)),"")</f>
        <v/>
      </c>
      <c r="AF354" s="61"/>
      <c r="AG354" s="61"/>
      <c r="AH354" s="61"/>
      <c r="AI354" s="61"/>
      <c r="AJ354" s="61"/>
      <c r="AK354" s="67"/>
      <c r="AL354" s="58" t="str">
        <f>IF(OR($C354="",$B354=""),"",IF(AND($Z353="Loss",$B354=$B353,MOD($C354-$D353,1)*1440&lt;'⚙️ Setelan'!$B$9),"⚠️ Revenge",""))</f>
        <v/>
      </c>
      <c r="AM354" s="68"/>
      <c r="AN354" s="58" t="str">
        <f>IF($AM354="","",IFERROR(_xlfn.IMAGE(IF(REGEXMATCH($AM354,"\.(png|jpg|jpeg|gif)$"),$AM354,"https://s3.tradingview.com/snapshots/"&amp;LOWER(MID(REGEXEXTRACT($AM354,"/x/([A-Za-z0-9]+)"),1,1))&amp;"/"&amp;REGEXEXTRACT($AM354,"/x/([A-Za-z0-9]+)")&amp;".png"),1),"⚠️ link tidak dikenali"))</f>
        <v/>
      </c>
      <c r="AO354" s="68"/>
      <c r="AP354" s="58" t="str">
        <f>IF($AO354="","",IFERROR(_xlfn.IMAGE(IF(REGEXMATCH($AO354,"\.(png|jpg|jpeg|gif)$"),$AO354,"https://s3.tradingview.com/snapshots/"&amp;LOWER(MID(REGEXEXTRACT($AO354,"/x/([A-Za-z0-9]+)"),1,1))&amp;"/"&amp;REGEXEXTRACT($AO354,"/x/([A-Za-z0-9]+)")&amp;".png"),1),"⚠️ link tidak dikenali"))</f>
        <v/>
      </c>
      <c r="AQ354" s="66">
        <f>IF($Z354="",0,IF(AND(OR('📊 Dashboard'!$B$4="(Semua)",$F354='📊 Dashboard'!$B$4),OR('📊 Dashboard'!$B$5="(Semua)",$H354='📊 Dashboard'!$B$5),OR('📊 Dashboard'!$B$6="(Semua)",$E354='📊 Dashboard'!$B$6),OR('📊 Dashboard'!$B$7="(Semua)",$AF354='📊 Dashboard'!$B$7),OR('📊 Dashboard'!$B$8="(Semua)",$AG354='📊 Dashboard'!$B$8),OR('📊 Dashboard'!$B$9="(Semua)",$K354='📊 Dashboard'!$B$9)),1,0))</f>
        <v>0</v>
      </c>
      <c r="AR354" s="69"/>
    </row>
    <row r="355" ht="58" customHeight="1" spans="1:44">
      <c r="A355" s="58" t="str">
        <f t="shared" si="35"/>
        <v/>
      </c>
      <c r="B355" s="59"/>
      <c r="C355" s="60"/>
      <c r="D355" s="60"/>
      <c r="E355" s="58" t="str">
        <f t="shared" si="36"/>
        <v/>
      </c>
      <c r="F355" s="61"/>
      <c r="G355" s="61"/>
      <c r="H355" s="61"/>
      <c r="I355" s="61"/>
      <c r="J355" s="61"/>
      <c r="K355" s="61"/>
      <c r="L355" s="61"/>
      <c r="M355" s="61"/>
      <c r="N355" s="62"/>
      <c r="O355" s="62"/>
      <c r="P355" s="62"/>
      <c r="Q355" s="62"/>
      <c r="R355" s="63" t="str">
        <f>IFERROR(IF(OR($N355="",$O355="",$F355=""),"",ROUND(('⚙️ Setelan'!$B$3*'⚙️ Setelan'!$B$4/100)/(ABS($N355-$O355)*VLOOKUP($F355,'⚙️ Setelan'!$A$14:$F$20,4,FALSE)),2)),"")</f>
        <v/>
      </c>
      <c r="S355" s="64"/>
      <c r="T355" s="65" t="str">
        <f>IFERROR(IF(OR($N355="",$O355="",$S355=""),"",ABS($N355-$O355)*$S355*VLOOKUP($F355,'⚙️ Setelan'!$A$14:$F$20,4,FALSE)),"")</f>
        <v/>
      </c>
      <c r="U355" s="63" t="str">
        <f t="shared" si="37"/>
        <v/>
      </c>
      <c r="V355" s="65" t="str">
        <f>IFERROR(IF(OR($Q355="",$N355="",$S355=""),"",($Q355-$N355)*IF($G355="Buy",1,-1)*$S355*VLOOKUP($F355,'⚙️ Setelan'!$A$14:$F$20,4,FALSE)),"")</f>
        <v/>
      </c>
      <c r="W355" s="65" t="str">
        <f>IFERROR(IF(OR($S355="",$F355=""),"",$S355*VLOOKUP($F355,'⚙️ Setelan'!$A$14:$F$20,5,FALSE)),"")</f>
        <v/>
      </c>
      <c r="X355" s="65" t="str">
        <f t="shared" si="38"/>
        <v/>
      </c>
      <c r="Y355" s="63" t="str">
        <f t="shared" si="39"/>
        <v/>
      </c>
      <c r="Z355" s="58" t="str">
        <f t="shared" si="40"/>
        <v/>
      </c>
      <c r="AA355" s="66" t="str">
        <f t="shared" si="41"/>
        <v/>
      </c>
      <c r="AB355" s="62"/>
      <c r="AC355" s="62"/>
      <c r="AD355" s="63" t="str">
        <f>IFERROR(IF(OR($AB355="",$T355="",$T355=0),"",ROUND(ABS($N355-$AB355)*$S355*VLOOKUP($F355,'⚙️ Setelan'!$A$14:$F$20,4,FALSE)/$T355,2)),"")</f>
        <v/>
      </c>
      <c r="AE355" s="63" t="str">
        <f>IFERROR(IF(OR($AC355="",$T355="",$T355=0),"",ROUND(ABS($AC355-$N355)*$S355*VLOOKUP($F355,'⚙️ Setelan'!$A$14:$F$20,4,FALSE)/$T355,2)),"")</f>
        <v/>
      </c>
      <c r="AF355" s="61"/>
      <c r="AG355" s="61"/>
      <c r="AH355" s="61"/>
      <c r="AI355" s="61"/>
      <c r="AJ355" s="61"/>
      <c r="AK355" s="67"/>
      <c r="AL355" s="58" t="str">
        <f>IF(OR($C355="",$B355=""),"",IF(AND($Z354="Loss",$B355=$B354,MOD($C355-$D354,1)*1440&lt;'⚙️ Setelan'!$B$9),"⚠️ Revenge",""))</f>
        <v/>
      </c>
      <c r="AM355" s="68"/>
      <c r="AN355" s="58" t="str">
        <f>IF($AM355="","",IFERROR(_xlfn.IMAGE(IF(REGEXMATCH($AM355,"\.(png|jpg|jpeg|gif)$"),$AM355,"https://s3.tradingview.com/snapshots/"&amp;LOWER(MID(REGEXEXTRACT($AM355,"/x/([A-Za-z0-9]+)"),1,1))&amp;"/"&amp;REGEXEXTRACT($AM355,"/x/([A-Za-z0-9]+)")&amp;".png"),1),"⚠️ link tidak dikenali"))</f>
        <v/>
      </c>
      <c r="AO355" s="68"/>
      <c r="AP355" s="58" t="str">
        <f>IF($AO355="","",IFERROR(_xlfn.IMAGE(IF(REGEXMATCH($AO355,"\.(png|jpg|jpeg|gif)$"),$AO355,"https://s3.tradingview.com/snapshots/"&amp;LOWER(MID(REGEXEXTRACT($AO355,"/x/([A-Za-z0-9]+)"),1,1))&amp;"/"&amp;REGEXEXTRACT($AO355,"/x/([A-Za-z0-9]+)")&amp;".png"),1),"⚠️ link tidak dikenali"))</f>
        <v/>
      </c>
      <c r="AQ355" s="66">
        <f>IF($Z355="",0,IF(AND(OR('📊 Dashboard'!$B$4="(Semua)",$F355='📊 Dashboard'!$B$4),OR('📊 Dashboard'!$B$5="(Semua)",$H355='📊 Dashboard'!$B$5),OR('📊 Dashboard'!$B$6="(Semua)",$E355='📊 Dashboard'!$B$6),OR('📊 Dashboard'!$B$7="(Semua)",$AF355='📊 Dashboard'!$B$7),OR('📊 Dashboard'!$B$8="(Semua)",$AG355='📊 Dashboard'!$B$8),OR('📊 Dashboard'!$B$9="(Semua)",$K355='📊 Dashboard'!$B$9)),1,0))</f>
        <v>0</v>
      </c>
      <c r="AR355" s="69"/>
    </row>
    <row r="356" ht="58" customHeight="1" spans="1:44">
      <c r="A356" s="58" t="str">
        <f t="shared" si="35"/>
        <v/>
      </c>
      <c r="B356" s="59"/>
      <c r="C356" s="60"/>
      <c r="D356" s="60"/>
      <c r="E356" s="58" t="str">
        <f t="shared" si="36"/>
        <v/>
      </c>
      <c r="F356" s="61"/>
      <c r="G356" s="61"/>
      <c r="H356" s="61"/>
      <c r="I356" s="61"/>
      <c r="J356" s="61"/>
      <c r="K356" s="61"/>
      <c r="L356" s="61"/>
      <c r="M356" s="61"/>
      <c r="N356" s="62"/>
      <c r="O356" s="62"/>
      <c r="P356" s="62"/>
      <c r="Q356" s="62"/>
      <c r="R356" s="63" t="str">
        <f>IFERROR(IF(OR($N356="",$O356="",$F356=""),"",ROUND(('⚙️ Setelan'!$B$3*'⚙️ Setelan'!$B$4/100)/(ABS($N356-$O356)*VLOOKUP($F356,'⚙️ Setelan'!$A$14:$F$20,4,FALSE)),2)),"")</f>
        <v/>
      </c>
      <c r="S356" s="64"/>
      <c r="T356" s="65" t="str">
        <f>IFERROR(IF(OR($N356="",$O356="",$S356=""),"",ABS($N356-$O356)*$S356*VLOOKUP($F356,'⚙️ Setelan'!$A$14:$F$20,4,FALSE)),"")</f>
        <v/>
      </c>
      <c r="U356" s="63" t="str">
        <f t="shared" si="37"/>
        <v/>
      </c>
      <c r="V356" s="65" t="str">
        <f>IFERROR(IF(OR($Q356="",$N356="",$S356=""),"",($Q356-$N356)*IF($G356="Buy",1,-1)*$S356*VLOOKUP($F356,'⚙️ Setelan'!$A$14:$F$20,4,FALSE)),"")</f>
        <v/>
      </c>
      <c r="W356" s="65" t="str">
        <f>IFERROR(IF(OR($S356="",$F356=""),"",$S356*VLOOKUP($F356,'⚙️ Setelan'!$A$14:$F$20,5,FALSE)),"")</f>
        <v/>
      </c>
      <c r="X356" s="65" t="str">
        <f t="shared" si="38"/>
        <v/>
      </c>
      <c r="Y356" s="63" t="str">
        <f t="shared" si="39"/>
        <v/>
      </c>
      <c r="Z356" s="58" t="str">
        <f t="shared" si="40"/>
        <v/>
      </c>
      <c r="AA356" s="66" t="str">
        <f t="shared" si="41"/>
        <v/>
      </c>
      <c r="AB356" s="62"/>
      <c r="AC356" s="62"/>
      <c r="AD356" s="63" t="str">
        <f>IFERROR(IF(OR($AB356="",$T356="",$T356=0),"",ROUND(ABS($N356-$AB356)*$S356*VLOOKUP($F356,'⚙️ Setelan'!$A$14:$F$20,4,FALSE)/$T356,2)),"")</f>
        <v/>
      </c>
      <c r="AE356" s="63" t="str">
        <f>IFERROR(IF(OR($AC356="",$T356="",$T356=0),"",ROUND(ABS($AC356-$N356)*$S356*VLOOKUP($F356,'⚙️ Setelan'!$A$14:$F$20,4,FALSE)/$T356,2)),"")</f>
        <v/>
      </c>
      <c r="AF356" s="61"/>
      <c r="AG356" s="61"/>
      <c r="AH356" s="61"/>
      <c r="AI356" s="61"/>
      <c r="AJ356" s="61"/>
      <c r="AK356" s="67"/>
      <c r="AL356" s="58" t="str">
        <f>IF(OR($C356="",$B356=""),"",IF(AND($Z355="Loss",$B356=$B355,MOD($C356-$D355,1)*1440&lt;'⚙️ Setelan'!$B$9),"⚠️ Revenge",""))</f>
        <v/>
      </c>
      <c r="AM356" s="68"/>
      <c r="AN356" s="58" t="str">
        <f>IF($AM356="","",IFERROR(_xlfn.IMAGE(IF(REGEXMATCH($AM356,"\.(png|jpg|jpeg|gif)$"),$AM356,"https://s3.tradingview.com/snapshots/"&amp;LOWER(MID(REGEXEXTRACT($AM356,"/x/([A-Za-z0-9]+)"),1,1))&amp;"/"&amp;REGEXEXTRACT($AM356,"/x/([A-Za-z0-9]+)")&amp;".png"),1),"⚠️ link tidak dikenali"))</f>
        <v/>
      </c>
      <c r="AO356" s="68"/>
      <c r="AP356" s="58" t="str">
        <f>IF($AO356="","",IFERROR(_xlfn.IMAGE(IF(REGEXMATCH($AO356,"\.(png|jpg|jpeg|gif)$"),$AO356,"https://s3.tradingview.com/snapshots/"&amp;LOWER(MID(REGEXEXTRACT($AO356,"/x/([A-Za-z0-9]+)"),1,1))&amp;"/"&amp;REGEXEXTRACT($AO356,"/x/([A-Za-z0-9]+)")&amp;".png"),1),"⚠️ link tidak dikenali"))</f>
        <v/>
      </c>
      <c r="AQ356" s="66">
        <f>IF($Z356="",0,IF(AND(OR('📊 Dashboard'!$B$4="(Semua)",$F356='📊 Dashboard'!$B$4),OR('📊 Dashboard'!$B$5="(Semua)",$H356='📊 Dashboard'!$B$5),OR('📊 Dashboard'!$B$6="(Semua)",$E356='📊 Dashboard'!$B$6),OR('📊 Dashboard'!$B$7="(Semua)",$AF356='📊 Dashboard'!$B$7),OR('📊 Dashboard'!$B$8="(Semua)",$AG356='📊 Dashboard'!$B$8),OR('📊 Dashboard'!$B$9="(Semua)",$K356='📊 Dashboard'!$B$9)),1,0))</f>
        <v>0</v>
      </c>
      <c r="AR356" s="69"/>
    </row>
    <row r="357" ht="58" customHeight="1" spans="1:44">
      <c r="A357" s="58" t="str">
        <f t="shared" si="35"/>
        <v/>
      </c>
      <c r="B357" s="59"/>
      <c r="C357" s="60"/>
      <c r="D357" s="60"/>
      <c r="E357" s="58" t="str">
        <f t="shared" si="36"/>
        <v/>
      </c>
      <c r="F357" s="61"/>
      <c r="G357" s="61"/>
      <c r="H357" s="61"/>
      <c r="I357" s="61"/>
      <c r="J357" s="61"/>
      <c r="K357" s="61"/>
      <c r="L357" s="61"/>
      <c r="M357" s="61"/>
      <c r="N357" s="62"/>
      <c r="O357" s="62"/>
      <c r="P357" s="62"/>
      <c r="Q357" s="62"/>
      <c r="R357" s="63" t="str">
        <f>IFERROR(IF(OR($N357="",$O357="",$F357=""),"",ROUND(('⚙️ Setelan'!$B$3*'⚙️ Setelan'!$B$4/100)/(ABS($N357-$O357)*VLOOKUP($F357,'⚙️ Setelan'!$A$14:$F$20,4,FALSE)),2)),"")</f>
        <v/>
      </c>
      <c r="S357" s="64"/>
      <c r="T357" s="65" t="str">
        <f>IFERROR(IF(OR($N357="",$O357="",$S357=""),"",ABS($N357-$O357)*$S357*VLOOKUP($F357,'⚙️ Setelan'!$A$14:$F$20,4,FALSE)),"")</f>
        <v/>
      </c>
      <c r="U357" s="63" t="str">
        <f t="shared" si="37"/>
        <v/>
      </c>
      <c r="V357" s="65" t="str">
        <f>IFERROR(IF(OR($Q357="",$N357="",$S357=""),"",($Q357-$N357)*IF($G357="Buy",1,-1)*$S357*VLOOKUP($F357,'⚙️ Setelan'!$A$14:$F$20,4,FALSE)),"")</f>
        <v/>
      </c>
      <c r="W357" s="65" t="str">
        <f>IFERROR(IF(OR($S357="",$F357=""),"",$S357*VLOOKUP($F357,'⚙️ Setelan'!$A$14:$F$20,5,FALSE)),"")</f>
        <v/>
      </c>
      <c r="X357" s="65" t="str">
        <f t="shared" si="38"/>
        <v/>
      </c>
      <c r="Y357" s="63" t="str">
        <f t="shared" si="39"/>
        <v/>
      </c>
      <c r="Z357" s="58" t="str">
        <f t="shared" si="40"/>
        <v/>
      </c>
      <c r="AA357" s="66" t="str">
        <f t="shared" si="41"/>
        <v/>
      </c>
      <c r="AB357" s="62"/>
      <c r="AC357" s="62"/>
      <c r="AD357" s="63" t="str">
        <f>IFERROR(IF(OR($AB357="",$T357="",$T357=0),"",ROUND(ABS($N357-$AB357)*$S357*VLOOKUP($F357,'⚙️ Setelan'!$A$14:$F$20,4,FALSE)/$T357,2)),"")</f>
        <v/>
      </c>
      <c r="AE357" s="63" t="str">
        <f>IFERROR(IF(OR($AC357="",$T357="",$T357=0),"",ROUND(ABS($AC357-$N357)*$S357*VLOOKUP($F357,'⚙️ Setelan'!$A$14:$F$20,4,FALSE)/$T357,2)),"")</f>
        <v/>
      </c>
      <c r="AF357" s="61"/>
      <c r="AG357" s="61"/>
      <c r="AH357" s="61"/>
      <c r="AI357" s="61"/>
      <c r="AJ357" s="61"/>
      <c r="AK357" s="67"/>
      <c r="AL357" s="58" t="str">
        <f>IF(OR($C357="",$B357=""),"",IF(AND($Z356="Loss",$B357=$B356,MOD($C357-$D356,1)*1440&lt;'⚙️ Setelan'!$B$9),"⚠️ Revenge",""))</f>
        <v/>
      </c>
      <c r="AM357" s="68"/>
      <c r="AN357" s="58" t="str">
        <f>IF($AM357="","",IFERROR(_xlfn.IMAGE(IF(REGEXMATCH($AM357,"\.(png|jpg|jpeg|gif)$"),$AM357,"https://s3.tradingview.com/snapshots/"&amp;LOWER(MID(REGEXEXTRACT($AM357,"/x/([A-Za-z0-9]+)"),1,1))&amp;"/"&amp;REGEXEXTRACT($AM357,"/x/([A-Za-z0-9]+)")&amp;".png"),1),"⚠️ link tidak dikenali"))</f>
        <v/>
      </c>
      <c r="AO357" s="68"/>
      <c r="AP357" s="58" t="str">
        <f>IF($AO357="","",IFERROR(_xlfn.IMAGE(IF(REGEXMATCH($AO357,"\.(png|jpg|jpeg|gif)$"),$AO357,"https://s3.tradingview.com/snapshots/"&amp;LOWER(MID(REGEXEXTRACT($AO357,"/x/([A-Za-z0-9]+)"),1,1))&amp;"/"&amp;REGEXEXTRACT($AO357,"/x/([A-Za-z0-9]+)")&amp;".png"),1),"⚠️ link tidak dikenali"))</f>
        <v/>
      </c>
      <c r="AQ357" s="66">
        <f>IF($Z357="",0,IF(AND(OR('📊 Dashboard'!$B$4="(Semua)",$F357='📊 Dashboard'!$B$4),OR('📊 Dashboard'!$B$5="(Semua)",$H357='📊 Dashboard'!$B$5),OR('📊 Dashboard'!$B$6="(Semua)",$E357='📊 Dashboard'!$B$6),OR('📊 Dashboard'!$B$7="(Semua)",$AF357='📊 Dashboard'!$B$7),OR('📊 Dashboard'!$B$8="(Semua)",$AG357='📊 Dashboard'!$B$8),OR('📊 Dashboard'!$B$9="(Semua)",$K357='📊 Dashboard'!$B$9)),1,0))</f>
        <v>0</v>
      </c>
      <c r="AR357" s="69"/>
    </row>
    <row r="358" ht="58" customHeight="1" spans="1:44">
      <c r="A358" s="58" t="str">
        <f t="shared" si="35"/>
        <v/>
      </c>
      <c r="B358" s="59"/>
      <c r="C358" s="60"/>
      <c r="D358" s="60"/>
      <c r="E358" s="58" t="str">
        <f t="shared" si="36"/>
        <v/>
      </c>
      <c r="F358" s="61"/>
      <c r="G358" s="61"/>
      <c r="H358" s="61"/>
      <c r="I358" s="61"/>
      <c r="J358" s="61"/>
      <c r="K358" s="61"/>
      <c r="L358" s="61"/>
      <c r="M358" s="61"/>
      <c r="N358" s="62"/>
      <c r="O358" s="62"/>
      <c r="P358" s="62"/>
      <c r="Q358" s="62"/>
      <c r="R358" s="63" t="str">
        <f>IFERROR(IF(OR($N358="",$O358="",$F358=""),"",ROUND(('⚙️ Setelan'!$B$3*'⚙️ Setelan'!$B$4/100)/(ABS($N358-$O358)*VLOOKUP($F358,'⚙️ Setelan'!$A$14:$F$20,4,FALSE)),2)),"")</f>
        <v/>
      </c>
      <c r="S358" s="64"/>
      <c r="T358" s="65" t="str">
        <f>IFERROR(IF(OR($N358="",$O358="",$S358=""),"",ABS($N358-$O358)*$S358*VLOOKUP($F358,'⚙️ Setelan'!$A$14:$F$20,4,FALSE)),"")</f>
        <v/>
      </c>
      <c r="U358" s="63" t="str">
        <f t="shared" si="37"/>
        <v/>
      </c>
      <c r="V358" s="65" t="str">
        <f>IFERROR(IF(OR($Q358="",$N358="",$S358=""),"",($Q358-$N358)*IF($G358="Buy",1,-1)*$S358*VLOOKUP($F358,'⚙️ Setelan'!$A$14:$F$20,4,FALSE)),"")</f>
        <v/>
      </c>
      <c r="W358" s="65" t="str">
        <f>IFERROR(IF(OR($S358="",$F358=""),"",$S358*VLOOKUP($F358,'⚙️ Setelan'!$A$14:$F$20,5,FALSE)),"")</f>
        <v/>
      </c>
      <c r="X358" s="65" t="str">
        <f t="shared" si="38"/>
        <v/>
      </c>
      <c r="Y358" s="63" t="str">
        <f t="shared" si="39"/>
        <v/>
      </c>
      <c r="Z358" s="58" t="str">
        <f t="shared" si="40"/>
        <v/>
      </c>
      <c r="AA358" s="66" t="str">
        <f t="shared" si="41"/>
        <v/>
      </c>
      <c r="AB358" s="62"/>
      <c r="AC358" s="62"/>
      <c r="AD358" s="63" t="str">
        <f>IFERROR(IF(OR($AB358="",$T358="",$T358=0),"",ROUND(ABS($N358-$AB358)*$S358*VLOOKUP($F358,'⚙️ Setelan'!$A$14:$F$20,4,FALSE)/$T358,2)),"")</f>
        <v/>
      </c>
      <c r="AE358" s="63" t="str">
        <f>IFERROR(IF(OR($AC358="",$T358="",$T358=0),"",ROUND(ABS($AC358-$N358)*$S358*VLOOKUP($F358,'⚙️ Setelan'!$A$14:$F$20,4,FALSE)/$T358,2)),"")</f>
        <v/>
      </c>
      <c r="AF358" s="61"/>
      <c r="AG358" s="61"/>
      <c r="AH358" s="61"/>
      <c r="AI358" s="61"/>
      <c r="AJ358" s="61"/>
      <c r="AK358" s="67"/>
      <c r="AL358" s="58" t="str">
        <f>IF(OR($C358="",$B358=""),"",IF(AND($Z357="Loss",$B358=$B357,MOD($C358-$D357,1)*1440&lt;'⚙️ Setelan'!$B$9),"⚠️ Revenge",""))</f>
        <v/>
      </c>
      <c r="AM358" s="68"/>
      <c r="AN358" s="58" t="str">
        <f>IF($AM358="","",IFERROR(_xlfn.IMAGE(IF(REGEXMATCH($AM358,"\.(png|jpg|jpeg|gif)$"),$AM358,"https://s3.tradingview.com/snapshots/"&amp;LOWER(MID(REGEXEXTRACT($AM358,"/x/([A-Za-z0-9]+)"),1,1))&amp;"/"&amp;REGEXEXTRACT($AM358,"/x/([A-Za-z0-9]+)")&amp;".png"),1),"⚠️ link tidak dikenali"))</f>
        <v/>
      </c>
      <c r="AO358" s="68"/>
      <c r="AP358" s="58" t="str">
        <f>IF($AO358="","",IFERROR(_xlfn.IMAGE(IF(REGEXMATCH($AO358,"\.(png|jpg|jpeg|gif)$"),$AO358,"https://s3.tradingview.com/snapshots/"&amp;LOWER(MID(REGEXEXTRACT($AO358,"/x/([A-Za-z0-9]+)"),1,1))&amp;"/"&amp;REGEXEXTRACT($AO358,"/x/([A-Za-z0-9]+)")&amp;".png"),1),"⚠️ link tidak dikenali"))</f>
        <v/>
      </c>
      <c r="AQ358" s="66">
        <f>IF($Z358="",0,IF(AND(OR('📊 Dashboard'!$B$4="(Semua)",$F358='📊 Dashboard'!$B$4),OR('📊 Dashboard'!$B$5="(Semua)",$H358='📊 Dashboard'!$B$5),OR('📊 Dashboard'!$B$6="(Semua)",$E358='📊 Dashboard'!$B$6),OR('📊 Dashboard'!$B$7="(Semua)",$AF358='📊 Dashboard'!$B$7),OR('📊 Dashboard'!$B$8="(Semua)",$AG358='📊 Dashboard'!$B$8),OR('📊 Dashboard'!$B$9="(Semua)",$K358='📊 Dashboard'!$B$9)),1,0))</f>
        <v>0</v>
      </c>
      <c r="AR358" s="69"/>
    </row>
    <row r="359" ht="58" customHeight="1" spans="1:44">
      <c r="A359" s="58" t="str">
        <f t="shared" si="35"/>
        <v/>
      </c>
      <c r="B359" s="59"/>
      <c r="C359" s="60"/>
      <c r="D359" s="60"/>
      <c r="E359" s="58" t="str">
        <f t="shared" si="36"/>
        <v/>
      </c>
      <c r="F359" s="61"/>
      <c r="G359" s="61"/>
      <c r="H359" s="61"/>
      <c r="I359" s="61"/>
      <c r="J359" s="61"/>
      <c r="K359" s="61"/>
      <c r="L359" s="61"/>
      <c r="M359" s="61"/>
      <c r="N359" s="62"/>
      <c r="O359" s="62"/>
      <c r="P359" s="62"/>
      <c r="Q359" s="62"/>
      <c r="R359" s="63" t="str">
        <f>IFERROR(IF(OR($N359="",$O359="",$F359=""),"",ROUND(('⚙️ Setelan'!$B$3*'⚙️ Setelan'!$B$4/100)/(ABS($N359-$O359)*VLOOKUP($F359,'⚙️ Setelan'!$A$14:$F$20,4,FALSE)),2)),"")</f>
        <v/>
      </c>
      <c r="S359" s="64"/>
      <c r="T359" s="65" t="str">
        <f>IFERROR(IF(OR($N359="",$O359="",$S359=""),"",ABS($N359-$O359)*$S359*VLOOKUP($F359,'⚙️ Setelan'!$A$14:$F$20,4,FALSE)),"")</f>
        <v/>
      </c>
      <c r="U359" s="63" t="str">
        <f t="shared" si="37"/>
        <v/>
      </c>
      <c r="V359" s="65" t="str">
        <f>IFERROR(IF(OR($Q359="",$N359="",$S359=""),"",($Q359-$N359)*IF($G359="Buy",1,-1)*$S359*VLOOKUP($F359,'⚙️ Setelan'!$A$14:$F$20,4,FALSE)),"")</f>
        <v/>
      </c>
      <c r="W359" s="65" t="str">
        <f>IFERROR(IF(OR($S359="",$F359=""),"",$S359*VLOOKUP($F359,'⚙️ Setelan'!$A$14:$F$20,5,FALSE)),"")</f>
        <v/>
      </c>
      <c r="X359" s="65" t="str">
        <f t="shared" si="38"/>
        <v/>
      </c>
      <c r="Y359" s="63" t="str">
        <f t="shared" si="39"/>
        <v/>
      </c>
      <c r="Z359" s="58" t="str">
        <f t="shared" si="40"/>
        <v/>
      </c>
      <c r="AA359" s="66" t="str">
        <f t="shared" si="41"/>
        <v/>
      </c>
      <c r="AB359" s="62"/>
      <c r="AC359" s="62"/>
      <c r="AD359" s="63" t="str">
        <f>IFERROR(IF(OR($AB359="",$T359="",$T359=0),"",ROUND(ABS($N359-$AB359)*$S359*VLOOKUP($F359,'⚙️ Setelan'!$A$14:$F$20,4,FALSE)/$T359,2)),"")</f>
        <v/>
      </c>
      <c r="AE359" s="63" t="str">
        <f>IFERROR(IF(OR($AC359="",$T359="",$T359=0),"",ROUND(ABS($AC359-$N359)*$S359*VLOOKUP($F359,'⚙️ Setelan'!$A$14:$F$20,4,FALSE)/$T359,2)),"")</f>
        <v/>
      </c>
      <c r="AF359" s="61"/>
      <c r="AG359" s="61"/>
      <c r="AH359" s="61"/>
      <c r="AI359" s="61"/>
      <c r="AJ359" s="61"/>
      <c r="AK359" s="67"/>
      <c r="AL359" s="58" t="str">
        <f>IF(OR($C359="",$B359=""),"",IF(AND($Z358="Loss",$B359=$B358,MOD($C359-$D358,1)*1440&lt;'⚙️ Setelan'!$B$9),"⚠️ Revenge",""))</f>
        <v/>
      </c>
      <c r="AM359" s="68"/>
      <c r="AN359" s="58" t="str">
        <f>IF($AM359="","",IFERROR(_xlfn.IMAGE(IF(REGEXMATCH($AM359,"\.(png|jpg|jpeg|gif)$"),$AM359,"https://s3.tradingview.com/snapshots/"&amp;LOWER(MID(REGEXEXTRACT($AM359,"/x/([A-Za-z0-9]+)"),1,1))&amp;"/"&amp;REGEXEXTRACT($AM359,"/x/([A-Za-z0-9]+)")&amp;".png"),1),"⚠️ link tidak dikenali"))</f>
        <v/>
      </c>
      <c r="AO359" s="68"/>
      <c r="AP359" s="58" t="str">
        <f>IF($AO359="","",IFERROR(_xlfn.IMAGE(IF(REGEXMATCH($AO359,"\.(png|jpg|jpeg|gif)$"),$AO359,"https://s3.tradingview.com/snapshots/"&amp;LOWER(MID(REGEXEXTRACT($AO359,"/x/([A-Za-z0-9]+)"),1,1))&amp;"/"&amp;REGEXEXTRACT($AO359,"/x/([A-Za-z0-9]+)")&amp;".png"),1),"⚠️ link tidak dikenali"))</f>
        <v/>
      </c>
      <c r="AQ359" s="66">
        <f>IF($Z359="",0,IF(AND(OR('📊 Dashboard'!$B$4="(Semua)",$F359='📊 Dashboard'!$B$4),OR('📊 Dashboard'!$B$5="(Semua)",$H359='📊 Dashboard'!$B$5),OR('📊 Dashboard'!$B$6="(Semua)",$E359='📊 Dashboard'!$B$6),OR('📊 Dashboard'!$B$7="(Semua)",$AF359='📊 Dashboard'!$B$7),OR('📊 Dashboard'!$B$8="(Semua)",$AG359='📊 Dashboard'!$B$8),OR('📊 Dashboard'!$B$9="(Semua)",$K359='📊 Dashboard'!$B$9)),1,0))</f>
        <v>0</v>
      </c>
      <c r="AR359" s="69"/>
    </row>
    <row r="360" ht="58" customHeight="1" spans="1:44">
      <c r="A360" s="58" t="str">
        <f t="shared" si="35"/>
        <v/>
      </c>
      <c r="B360" s="59"/>
      <c r="C360" s="60"/>
      <c r="D360" s="60"/>
      <c r="E360" s="58" t="str">
        <f t="shared" si="36"/>
        <v/>
      </c>
      <c r="F360" s="61"/>
      <c r="G360" s="61"/>
      <c r="H360" s="61"/>
      <c r="I360" s="61"/>
      <c r="J360" s="61"/>
      <c r="K360" s="61"/>
      <c r="L360" s="61"/>
      <c r="M360" s="61"/>
      <c r="N360" s="62"/>
      <c r="O360" s="62"/>
      <c r="P360" s="62"/>
      <c r="Q360" s="62"/>
      <c r="R360" s="63" t="str">
        <f>IFERROR(IF(OR($N360="",$O360="",$F360=""),"",ROUND(('⚙️ Setelan'!$B$3*'⚙️ Setelan'!$B$4/100)/(ABS($N360-$O360)*VLOOKUP($F360,'⚙️ Setelan'!$A$14:$F$20,4,FALSE)),2)),"")</f>
        <v/>
      </c>
      <c r="S360" s="64"/>
      <c r="T360" s="65" t="str">
        <f>IFERROR(IF(OR($N360="",$O360="",$S360=""),"",ABS($N360-$O360)*$S360*VLOOKUP($F360,'⚙️ Setelan'!$A$14:$F$20,4,FALSE)),"")</f>
        <v/>
      </c>
      <c r="U360" s="63" t="str">
        <f t="shared" si="37"/>
        <v/>
      </c>
      <c r="V360" s="65" t="str">
        <f>IFERROR(IF(OR($Q360="",$N360="",$S360=""),"",($Q360-$N360)*IF($G360="Buy",1,-1)*$S360*VLOOKUP($F360,'⚙️ Setelan'!$A$14:$F$20,4,FALSE)),"")</f>
        <v/>
      </c>
      <c r="W360" s="65" t="str">
        <f>IFERROR(IF(OR($S360="",$F360=""),"",$S360*VLOOKUP($F360,'⚙️ Setelan'!$A$14:$F$20,5,FALSE)),"")</f>
        <v/>
      </c>
      <c r="X360" s="65" t="str">
        <f t="shared" si="38"/>
        <v/>
      </c>
      <c r="Y360" s="63" t="str">
        <f t="shared" si="39"/>
        <v/>
      </c>
      <c r="Z360" s="58" t="str">
        <f t="shared" si="40"/>
        <v/>
      </c>
      <c r="AA360" s="66" t="str">
        <f t="shared" si="41"/>
        <v/>
      </c>
      <c r="AB360" s="62"/>
      <c r="AC360" s="62"/>
      <c r="AD360" s="63" t="str">
        <f>IFERROR(IF(OR($AB360="",$T360="",$T360=0),"",ROUND(ABS($N360-$AB360)*$S360*VLOOKUP($F360,'⚙️ Setelan'!$A$14:$F$20,4,FALSE)/$T360,2)),"")</f>
        <v/>
      </c>
      <c r="AE360" s="63" t="str">
        <f>IFERROR(IF(OR($AC360="",$T360="",$T360=0),"",ROUND(ABS($AC360-$N360)*$S360*VLOOKUP($F360,'⚙️ Setelan'!$A$14:$F$20,4,FALSE)/$T360,2)),"")</f>
        <v/>
      </c>
      <c r="AF360" s="61"/>
      <c r="AG360" s="61"/>
      <c r="AH360" s="61"/>
      <c r="AI360" s="61"/>
      <c r="AJ360" s="61"/>
      <c r="AK360" s="67"/>
      <c r="AL360" s="58" t="str">
        <f>IF(OR($C360="",$B360=""),"",IF(AND($Z359="Loss",$B360=$B359,MOD($C360-$D359,1)*1440&lt;'⚙️ Setelan'!$B$9),"⚠️ Revenge",""))</f>
        <v/>
      </c>
      <c r="AM360" s="68"/>
      <c r="AN360" s="58" t="str">
        <f>IF($AM360="","",IFERROR(_xlfn.IMAGE(IF(REGEXMATCH($AM360,"\.(png|jpg|jpeg|gif)$"),$AM360,"https://s3.tradingview.com/snapshots/"&amp;LOWER(MID(REGEXEXTRACT($AM360,"/x/([A-Za-z0-9]+)"),1,1))&amp;"/"&amp;REGEXEXTRACT($AM360,"/x/([A-Za-z0-9]+)")&amp;".png"),1),"⚠️ link tidak dikenali"))</f>
        <v/>
      </c>
      <c r="AO360" s="68"/>
      <c r="AP360" s="58" t="str">
        <f>IF($AO360="","",IFERROR(_xlfn.IMAGE(IF(REGEXMATCH($AO360,"\.(png|jpg|jpeg|gif)$"),$AO360,"https://s3.tradingview.com/snapshots/"&amp;LOWER(MID(REGEXEXTRACT($AO360,"/x/([A-Za-z0-9]+)"),1,1))&amp;"/"&amp;REGEXEXTRACT($AO360,"/x/([A-Za-z0-9]+)")&amp;".png"),1),"⚠️ link tidak dikenali"))</f>
        <v/>
      </c>
      <c r="AQ360" s="66">
        <f>IF($Z360="",0,IF(AND(OR('📊 Dashboard'!$B$4="(Semua)",$F360='📊 Dashboard'!$B$4),OR('📊 Dashboard'!$B$5="(Semua)",$H360='📊 Dashboard'!$B$5),OR('📊 Dashboard'!$B$6="(Semua)",$E360='📊 Dashboard'!$B$6),OR('📊 Dashboard'!$B$7="(Semua)",$AF360='📊 Dashboard'!$B$7),OR('📊 Dashboard'!$B$8="(Semua)",$AG360='📊 Dashboard'!$B$8),OR('📊 Dashboard'!$B$9="(Semua)",$K360='📊 Dashboard'!$B$9)),1,0))</f>
        <v>0</v>
      </c>
      <c r="AR360" s="69"/>
    </row>
    <row r="361" ht="58" customHeight="1" spans="1:44">
      <c r="A361" s="58" t="str">
        <f t="shared" si="35"/>
        <v/>
      </c>
      <c r="B361" s="59"/>
      <c r="C361" s="60"/>
      <c r="D361" s="60"/>
      <c r="E361" s="58" t="str">
        <f t="shared" si="36"/>
        <v/>
      </c>
      <c r="F361" s="61"/>
      <c r="G361" s="61"/>
      <c r="H361" s="61"/>
      <c r="I361" s="61"/>
      <c r="J361" s="61"/>
      <c r="K361" s="61"/>
      <c r="L361" s="61"/>
      <c r="M361" s="61"/>
      <c r="N361" s="62"/>
      <c r="O361" s="62"/>
      <c r="P361" s="62"/>
      <c r="Q361" s="62"/>
      <c r="R361" s="63" t="str">
        <f>IFERROR(IF(OR($N361="",$O361="",$F361=""),"",ROUND(('⚙️ Setelan'!$B$3*'⚙️ Setelan'!$B$4/100)/(ABS($N361-$O361)*VLOOKUP($F361,'⚙️ Setelan'!$A$14:$F$20,4,FALSE)),2)),"")</f>
        <v/>
      </c>
      <c r="S361" s="64"/>
      <c r="T361" s="65" t="str">
        <f>IFERROR(IF(OR($N361="",$O361="",$S361=""),"",ABS($N361-$O361)*$S361*VLOOKUP($F361,'⚙️ Setelan'!$A$14:$F$20,4,FALSE)),"")</f>
        <v/>
      </c>
      <c r="U361" s="63" t="str">
        <f t="shared" si="37"/>
        <v/>
      </c>
      <c r="V361" s="65" t="str">
        <f>IFERROR(IF(OR($Q361="",$N361="",$S361=""),"",($Q361-$N361)*IF($G361="Buy",1,-1)*$S361*VLOOKUP($F361,'⚙️ Setelan'!$A$14:$F$20,4,FALSE)),"")</f>
        <v/>
      </c>
      <c r="W361" s="65" t="str">
        <f>IFERROR(IF(OR($S361="",$F361=""),"",$S361*VLOOKUP($F361,'⚙️ Setelan'!$A$14:$F$20,5,FALSE)),"")</f>
        <v/>
      </c>
      <c r="X361" s="65" t="str">
        <f t="shared" si="38"/>
        <v/>
      </c>
      <c r="Y361" s="63" t="str">
        <f t="shared" si="39"/>
        <v/>
      </c>
      <c r="Z361" s="58" t="str">
        <f t="shared" si="40"/>
        <v/>
      </c>
      <c r="AA361" s="66" t="str">
        <f t="shared" si="41"/>
        <v/>
      </c>
      <c r="AB361" s="62"/>
      <c r="AC361" s="62"/>
      <c r="AD361" s="63" t="str">
        <f>IFERROR(IF(OR($AB361="",$T361="",$T361=0),"",ROUND(ABS($N361-$AB361)*$S361*VLOOKUP($F361,'⚙️ Setelan'!$A$14:$F$20,4,FALSE)/$T361,2)),"")</f>
        <v/>
      </c>
      <c r="AE361" s="63" t="str">
        <f>IFERROR(IF(OR($AC361="",$T361="",$T361=0),"",ROUND(ABS($AC361-$N361)*$S361*VLOOKUP($F361,'⚙️ Setelan'!$A$14:$F$20,4,FALSE)/$T361,2)),"")</f>
        <v/>
      </c>
      <c r="AF361" s="61"/>
      <c r="AG361" s="61"/>
      <c r="AH361" s="61"/>
      <c r="AI361" s="61"/>
      <c r="AJ361" s="61"/>
      <c r="AK361" s="67"/>
      <c r="AL361" s="58" t="str">
        <f>IF(OR($C361="",$B361=""),"",IF(AND($Z360="Loss",$B361=$B360,MOD($C361-$D360,1)*1440&lt;'⚙️ Setelan'!$B$9),"⚠️ Revenge",""))</f>
        <v/>
      </c>
      <c r="AM361" s="68"/>
      <c r="AN361" s="58" t="str">
        <f>IF($AM361="","",IFERROR(_xlfn.IMAGE(IF(REGEXMATCH($AM361,"\.(png|jpg|jpeg|gif)$"),$AM361,"https://s3.tradingview.com/snapshots/"&amp;LOWER(MID(REGEXEXTRACT($AM361,"/x/([A-Za-z0-9]+)"),1,1))&amp;"/"&amp;REGEXEXTRACT($AM361,"/x/([A-Za-z0-9]+)")&amp;".png"),1),"⚠️ link tidak dikenali"))</f>
        <v/>
      </c>
      <c r="AO361" s="68"/>
      <c r="AP361" s="58" t="str">
        <f>IF($AO361="","",IFERROR(_xlfn.IMAGE(IF(REGEXMATCH($AO361,"\.(png|jpg|jpeg|gif)$"),$AO361,"https://s3.tradingview.com/snapshots/"&amp;LOWER(MID(REGEXEXTRACT($AO361,"/x/([A-Za-z0-9]+)"),1,1))&amp;"/"&amp;REGEXEXTRACT($AO361,"/x/([A-Za-z0-9]+)")&amp;".png"),1),"⚠️ link tidak dikenali"))</f>
        <v/>
      </c>
      <c r="AQ361" s="66">
        <f>IF($Z361="",0,IF(AND(OR('📊 Dashboard'!$B$4="(Semua)",$F361='📊 Dashboard'!$B$4),OR('📊 Dashboard'!$B$5="(Semua)",$H361='📊 Dashboard'!$B$5),OR('📊 Dashboard'!$B$6="(Semua)",$E361='📊 Dashboard'!$B$6),OR('📊 Dashboard'!$B$7="(Semua)",$AF361='📊 Dashboard'!$B$7),OR('📊 Dashboard'!$B$8="(Semua)",$AG361='📊 Dashboard'!$B$8),OR('📊 Dashboard'!$B$9="(Semua)",$K361='📊 Dashboard'!$B$9)),1,0))</f>
        <v>0</v>
      </c>
      <c r="AR361" s="69"/>
    </row>
    <row r="362" ht="58" customHeight="1" spans="1:44">
      <c r="A362" s="58" t="str">
        <f t="shared" si="35"/>
        <v/>
      </c>
      <c r="B362" s="59"/>
      <c r="C362" s="60"/>
      <c r="D362" s="60"/>
      <c r="E362" s="58" t="str">
        <f t="shared" si="36"/>
        <v/>
      </c>
      <c r="F362" s="61"/>
      <c r="G362" s="61"/>
      <c r="H362" s="61"/>
      <c r="I362" s="61"/>
      <c r="J362" s="61"/>
      <c r="K362" s="61"/>
      <c r="L362" s="61"/>
      <c r="M362" s="61"/>
      <c r="N362" s="62"/>
      <c r="O362" s="62"/>
      <c r="P362" s="62"/>
      <c r="Q362" s="62"/>
      <c r="R362" s="63" t="str">
        <f>IFERROR(IF(OR($N362="",$O362="",$F362=""),"",ROUND(('⚙️ Setelan'!$B$3*'⚙️ Setelan'!$B$4/100)/(ABS($N362-$O362)*VLOOKUP($F362,'⚙️ Setelan'!$A$14:$F$20,4,FALSE)),2)),"")</f>
        <v/>
      </c>
      <c r="S362" s="64"/>
      <c r="T362" s="65" t="str">
        <f>IFERROR(IF(OR($N362="",$O362="",$S362=""),"",ABS($N362-$O362)*$S362*VLOOKUP($F362,'⚙️ Setelan'!$A$14:$F$20,4,FALSE)),"")</f>
        <v/>
      </c>
      <c r="U362" s="63" t="str">
        <f t="shared" si="37"/>
        <v/>
      </c>
      <c r="V362" s="65" t="str">
        <f>IFERROR(IF(OR($Q362="",$N362="",$S362=""),"",($Q362-$N362)*IF($G362="Buy",1,-1)*$S362*VLOOKUP($F362,'⚙️ Setelan'!$A$14:$F$20,4,FALSE)),"")</f>
        <v/>
      </c>
      <c r="W362" s="65" t="str">
        <f>IFERROR(IF(OR($S362="",$F362=""),"",$S362*VLOOKUP($F362,'⚙️ Setelan'!$A$14:$F$20,5,FALSE)),"")</f>
        <v/>
      </c>
      <c r="X362" s="65" t="str">
        <f t="shared" si="38"/>
        <v/>
      </c>
      <c r="Y362" s="63" t="str">
        <f t="shared" si="39"/>
        <v/>
      </c>
      <c r="Z362" s="58" t="str">
        <f t="shared" si="40"/>
        <v/>
      </c>
      <c r="AA362" s="66" t="str">
        <f t="shared" si="41"/>
        <v/>
      </c>
      <c r="AB362" s="62"/>
      <c r="AC362" s="62"/>
      <c r="AD362" s="63" t="str">
        <f>IFERROR(IF(OR($AB362="",$T362="",$T362=0),"",ROUND(ABS($N362-$AB362)*$S362*VLOOKUP($F362,'⚙️ Setelan'!$A$14:$F$20,4,FALSE)/$T362,2)),"")</f>
        <v/>
      </c>
      <c r="AE362" s="63" t="str">
        <f>IFERROR(IF(OR($AC362="",$T362="",$T362=0),"",ROUND(ABS($AC362-$N362)*$S362*VLOOKUP($F362,'⚙️ Setelan'!$A$14:$F$20,4,FALSE)/$T362,2)),"")</f>
        <v/>
      </c>
      <c r="AF362" s="61"/>
      <c r="AG362" s="61"/>
      <c r="AH362" s="61"/>
      <c r="AI362" s="61"/>
      <c r="AJ362" s="61"/>
      <c r="AK362" s="67"/>
      <c r="AL362" s="58" t="str">
        <f>IF(OR($C362="",$B362=""),"",IF(AND($Z361="Loss",$B362=$B361,MOD($C362-$D361,1)*1440&lt;'⚙️ Setelan'!$B$9),"⚠️ Revenge",""))</f>
        <v/>
      </c>
      <c r="AM362" s="68"/>
      <c r="AN362" s="58" t="str">
        <f>IF($AM362="","",IFERROR(_xlfn.IMAGE(IF(REGEXMATCH($AM362,"\.(png|jpg|jpeg|gif)$"),$AM362,"https://s3.tradingview.com/snapshots/"&amp;LOWER(MID(REGEXEXTRACT($AM362,"/x/([A-Za-z0-9]+)"),1,1))&amp;"/"&amp;REGEXEXTRACT($AM362,"/x/([A-Za-z0-9]+)")&amp;".png"),1),"⚠️ link tidak dikenali"))</f>
        <v/>
      </c>
      <c r="AO362" s="68"/>
      <c r="AP362" s="58" t="str">
        <f>IF($AO362="","",IFERROR(_xlfn.IMAGE(IF(REGEXMATCH($AO362,"\.(png|jpg|jpeg|gif)$"),$AO362,"https://s3.tradingview.com/snapshots/"&amp;LOWER(MID(REGEXEXTRACT($AO362,"/x/([A-Za-z0-9]+)"),1,1))&amp;"/"&amp;REGEXEXTRACT($AO362,"/x/([A-Za-z0-9]+)")&amp;".png"),1),"⚠️ link tidak dikenali"))</f>
        <v/>
      </c>
      <c r="AQ362" s="66">
        <f>IF($Z362="",0,IF(AND(OR('📊 Dashboard'!$B$4="(Semua)",$F362='📊 Dashboard'!$B$4),OR('📊 Dashboard'!$B$5="(Semua)",$H362='📊 Dashboard'!$B$5),OR('📊 Dashboard'!$B$6="(Semua)",$E362='📊 Dashboard'!$B$6),OR('📊 Dashboard'!$B$7="(Semua)",$AF362='📊 Dashboard'!$B$7),OR('📊 Dashboard'!$B$8="(Semua)",$AG362='📊 Dashboard'!$B$8),OR('📊 Dashboard'!$B$9="(Semua)",$K362='📊 Dashboard'!$B$9)),1,0))</f>
        <v>0</v>
      </c>
      <c r="AR362" s="69"/>
    </row>
    <row r="363" ht="58" customHeight="1" spans="1:44">
      <c r="A363" s="58" t="str">
        <f t="shared" si="35"/>
        <v/>
      </c>
      <c r="B363" s="59"/>
      <c r="C363" s="60"/>
      <c r="D363" s="60"/>
      <c r="E363" s="58" t="str">
        <f t="shared" si="36"/>
        <v/>
      </c>
      <c r="F363" s="61"/>
      <c r="G363" s="61"/>
      <c r="H363" s="61"/>
      <c r="I363" s="61"/>
      <c r="J363" s="61"/>
      <c r="K363" s="61"/>
      <c r="L363" s="61"/>
      <c r="M363" s="61"/>
      <c r="N363" s="62"/>
      <c r="O363" s="62"/>
      <c r="P363" s="62"/>
      <c r="Q363" s="62"/>
      <c r="R363" s="63" t="str">
        <f>IFERROR(IF(OR($N363="",$O363="",$F363=""),"",ROUND(('⚙️ Setelan'!$B$3*'⚙️ Setelan'!$B$4/100)/(ABS($N363-$O363)*VLOOKUP($F363,'⚙️ Setelan'!$A$14:$F$20,4,FALSE)),2)),"")</f>
        <v/>
      </c>
      <c r="S363" s="64"/>
      <c r="T363" s="65" t="str">
        <f>IFERROR(IF(OR($N363="",$O363="",$S363=""),"",ABS($N363-$O363)*$S363*VLOOKUP($F363,'⚙️ Setelan'!$A$14:$F$20,4,FALSE)),"")</f>
        <v/>
      </c>
      <c r="U363" s="63" t="str">
        <f t="shared" si="37"/>
        <v/>
      </c>
      <c r="V363" s="65" t="str">
        <f>IFERROR(IF(OR($Q363="",$N363="",$S363=""),"",($Q363-$N363)*IF($G363="Buy",1,-1)*$S363*VLOOKUP($F363,'⚙️ Setelan'!$A$14:$F$20,4,FALSE)),"")</f>
        <v/>
      </c>
      <c r="W363" s="65" t="str">
        <f>IFERROR(IF(OR($S363="",$F363=""),"",$S363*VLOOKUP($F363,'⚙️ Setelan'!$A$14:$F$20,5,FALSE)),"")</f>
        <v/>
      </c>
      <c r="X363" s="65" t="str">
        <f t="shared" si="38"/>
        <v/>
      </c>
      <c r="Y363" s="63" t="str">
        <f t="shared" si="39"/>
        <v/>
      </c>
      <c r="Z363" s="58" t="str">
        <f t="shared" si="40"/>
        <v/>
      </c>
      <c r="AA363" s="66" t="str">
        <f t="shared" si="41"/>
        <v/>
      </c>
      <c r="AB363" s="62"/>
      <c r="AC363" s="62"/>
      <c r="AD363" s="63" t="str">
        <f>IFERROR(IF(OR($AB363="",$T363="",$T363=0),"",ROUND(ABS($N363-$AB363)*$S363*VLOOKUP($F363,'⚙️ Setelan'!$A$14:$F$20,4,FALSE)/$T363,2)),"")</f>
        <v/>
      </c>
      <c r="AE363" s="63" t="str">
        <f>IFERROR(IF(OR($AC363="",$T363="",$T363=0),"",ROUND(ABS($AC363-$N363)*$S363*VLOOKUP($F363,'⚙️ Setelan'!$A$14:$F$20,4,FALSE)/$T363,2)),"")</f>
        <v/>
      </c>
      <c r="AF363" s="61"/>
      <c r="AG363" s="61"/>
      <c r="AH363" s="61"/>
      <c r="AI363" s="61"/>
      <c r="AJ363" s="61"/>
      <c r="AK363" s="67"/>
      <c r="AL363" s="58" t="str">
        <f>IF(OR($C363="",$B363=""),"",IF(AND($Z362="Loss",$B363=$B362,MOD($C363-$D362,1)*1440&lt;'⚙️ Setelan'!$B$9),"⚠️ Revenge",""))</f>
        <v/>
      </c>
      <c r="AM363" s="68"/>
      <c r="AN363" s="58" t="str">
        <f>IF($AM363="","",IFERROR(_xlfn.IMAGE(IF(REGEXMATCH($AM363,"\.(png|jpg|jpeg|gif)$"),$AM363,"https://s3.tradingview.com/snapshots/"&amp;LOWER(MID(REGEXEXTRACT($AM363,"/x/([A-Za-z0-9]+)"),1,1))&amp;"/"&amp;REGEXEXTRACT($AM363,"/x/([A-Za-z0-9]+)")&amp;".png"),1),"⚠️ link tidak dikenali"))</f>
        <v/>
      </c>
      <c r="AO363" s="68"/>
      <c r="AP363" s="58" t="str">
        <f>IF($AO363="","",IFERROR(_xlfn.IMAGE(IF(REGEXMATCH($AO363,"\.(png|jpg|jpeg|gif)$"),$AO363,"https://s3.tradingview.com/snapshots/"&amp;LOWER(MID(REGEXEXTRACT($AO363,"/x/([A-Za-z0-9]+)"),1,1))&amp;"/"&amp;REGEXEXTRACT($AO363,"/x/([A-Za-z0-9]+)")&amp;".png"),1),"⚠️ link tidak dikenali"))</f>
        <v/>
      </c>
      <c r="AQ363" s="66">
        <f>IF($Z363="",0,IF(AND(OR('📊 Dashboard'!$B$4="(Semua)",$F363='📊 Dashboard'!$B$4),OR('📊 Dashboard'!$B$5="(Semua)",$H363='📊 Dashboard'!$B$5),OR('📊 Dashboard'!$B$6="(Semua)",$E363='📊 Dashboard'!$B$6),OR('📊 Dashboard'!$B$7="(Semua)",$AF363='📊 Dashboard'!$B$7),OR('📊 Dashboard'!$B$8="(Semua)",$AG363='📊 Dashboard'!$B$8),OR('📊 Dashboard'!$B$9="(Semua)",$K363='📊 Dashboard'!$B$9)),1,0))</f>
        <v>0</v>
      </c>
      <c r="AR363" s="69"/>
    </row>
    <row r="364" ht="58" customHeight="1" spans="1:44">
      <c r="A364" s="58" t="str">
        <f t="shared" si="35"/>
        <v/>
      </c>
      <c r="B364" s="59"/>
      <c r="C364" s="60"/>
      <c r="D364" s="60"/>
      <c r="E364" s="58" t="str">
        <f t="shared" si="36"/>
        <v/>
      </c>
      <c r="F364" s="61"/>
      <c r="G364" s="61"/>
      <c r="H364" s="61"/>
      <c r="I364" s="61"/>
      <c r="J364" s="61"/>
      <c r="K364" s="61"/>
      <c r="L364" s="61"/>
      <c r="M364" s="61"/>
      <c r="N364" s="62"/>
      <c r="O364" s="62"/>
      <c r="P364" s="62"/>
      <c r="Q364" s="62"/>
      <c r="R364" s="63" t="str">
        <f>IFERROR(IF(OR($N364="",$O364="",$F364=""),"",ROUND(('⚙️ Setelan'!$B$3*'⚙️ Setelan'!$B$4/100)/(ABS($N364-$O364)*VLOOKUP($F364,'⚙️ Setelan'!$A$14:$F$20,4,FALSE)),2)),"")</f>
        <v/>
      </c>
      <c r="S364" s="64"/>
      <c r="T364" s="65" t="str">
        <f>IFERROR(IF(OR($N364="",$O364="",$S364=""),"",ABS($N364-$O364)*$S364*VLOOKUP($F364,'⚙️ Setelan'!$A$14:$F$20,4,FALSE)),"")</f>
        <v/>
      </c>
      <c r="U364" s="63" t="str">
        <f t="shared" si="37"/>
        <v/>
      </c>
      <c r="V364" s="65" t="str">
        <f>IFERROR(IF(OR($Q364="",$N364="",$S364=""),"",($Q364-$N364)*IF($G364="Buy",1,-1)*$S364*VLOOKUP($F364,'⚙️ Setelan'!$A$14:$F$20,4,FALSE)),"")</f>
        <v/>
      </c>
      <c r="W364" s="65" t="str">
        <f>IFERROR(IF(OR($S364="",$F364=""),"",$S364*VLOOKUP($F364,'⚙️ Setelan'!$A$14:$F$20,5,FALSE)),"")</f>
        <v/>
      </c>
      <c r="X364" s="65" t="str">
        <f t="shared" si="38"/>
        <v/>
      </c>
      <c r="Y364" s="63" t="str">
        <f t="shared" si="39"/>
        <v/>
      </c>
      <c r="Z364" s="58" t="str">
        <f t="shared" si="40"/>
        <v/>
      </c>
      <c r="AA364" s="66" t="str">
        <f t="shared" si="41"/>
        <v/>
      </c>
      <c r="AB364" s="62"/>
      <c r="AC364" s="62"/>
      <c r="AD364" s="63" t="str">
        <f>IFERROR(IF(OR($AB364="",$T364="",$T364=0),"",ROUND(ABS($N364-$AB364)*$S364*VLOOKUP($F364,'⚙️ Setelan'!$A$14:$F$20,4,FALSE)/$T364,2)),"")</f>
        <v/>
      </c>
      <c r="AE364" s="63" t="str">
        <f>IFERROR(IF(OR($AC364="",$T364="",$T364=0),"",ROUND(ABS($AC364-$N364)*$S364*VLOOKUP($F364,'⚙️ Setelan'!$A$14:$F$20,4,FALSE)/$T364,2)),"")</f>
        <v/>
      </c>
      <c r="AF364" s="61"/>
      <c r="AG364" s="61"/>
      <c r="AH364" s="61"/>
      <c r="AI364" s="61"/>
      <c r="AJ364" s="61"/>
      <c r="AK364" s="67"/>
      <c r="AL364" s="58" t="str">
        <f>IF(OR($C364="",$B364=""),"",IF(AND($Z363="Loss",$B364=$B363,MOD($C364-$D363,1)*1440&lt;'⚙️ Setelan'!$B$9),"⚠️ Revenge",""))</f>
        <v/>
      </c>
      <c r="AM364" s="68"/>
      <c r="AN364" s="58" t="str">
        <f>IF($AM364="","",IFERROR(_xlfn.IMAGE(IF(REGEXMATCH($AM364,"\.(png|jpg|jpeg|gif)$"),$AM364,"https://s3.tradingview.com/snapshots/"&amp;LOWER(MID(REGEXEXTRACT($AM364,"/x/([A-Za-z0-9]+)"),1,1))&amp;"/"&amp;REGEXEXTRACT($AM364,"/x/([A-Za-z0-9]+)")&amp;".png"),1),"⚠️ link tidak dikenali"))</f>
        <v/>
      </c>
      <c r="AO364" s="68"/>
      <c r="AP364" s="58" t="str">
        <f>IF($AO364="","",IFERROR(_xlfn.IMAGE(IF(REGEXMATCH($AO364,"\.(png|jpg|jpeg|gif)$"),$AO364,"https://s3.tradingview.com/snapshots/"&amp;LOWER(MID(REGEXEXTRACT($AO364,"/x/([A-Za-z0-9]+)"),1,1))&amp;"/"&amp;REGEXEXTRACT($AO364,"/x/([A-Za-z0-9]+)")&amp;".png"),1),"⚠️ link tidak dikenali"))</f>
        <v/>
      </c>
      <c r="AQ364" s="66">
        <f>IF($Z364="",0,IF(AND(OR('📊 Dashboard'!$B$4="(Semua)",$F364='📊 Dashboard'!$B$4),OR('📊 Dashboard'!$B$5="(Semua)",$H364='📊 Dashboard'!$B$5),OR('📊 Dashboard'!$B$6="(Semua)",$E364='📊 Dashboard'!$B$6),OR('📊 Dashboard'!$B$7="(Semua)",$AF364='📊 Dashboard'!$B$7),OR('📊 Dashboard'!$B$8="(Semua)",$AG364='📊 Dashboard'!$B$8),OR('📊 Dashboard'!$B$9="(Semua)",$K364='📊 Dashboard'!$B$9)),1,0))</f>
        <v>0</v>
      </c>
      <c r="AR364" s="69"/>
    </row>
    <row r="365" ht="58" customHeight="1" spans="1:44">
      <c r="A365" s="58" t="str">
        <f t="shared" si="35"/>
        <v/>
      </c>
      <c r="B365" s="59"/>
      <c r="C365" s="60"/>
      <c r="D365" s="60"/>
      <c r="E365" s="58" t="str">
        <f t="shared" si="36"/>
        <v/>
      </c>
      <c r="F365" s="61"/>
      <c r="G365" s="61"/>
      <c r="H365" s="61"/>
      <c r="I365" s="61"/>
      <c r="J365" s="61"/>
      <c r="K365" s="61"/>
      <c r="L365" s="61"/>
      <c r="M365" s="61"/>
      <c r="N365" s="62"/>
      <c r="O365" s="62"/>
      <c r="P365" s="62"/>
      <c r="Q365" s="62"/>
      <c r="R365" s="63" t="str">
        <f>IFERROR(IF(OR($N365="",$O365="",$F365=""),"",ROUND(('⚙️ Setelan'!$B$3*'⚙️ Setelan'!$B$4/100)/(ABS($N365-$O365)*VLOOKUP($F365,'⚙️ Setelan'!$A$14:$F$20,4,FALSE)),2)),"")</f>
        <v/>
      </c>
      <c r="S365" s="64"/>
      <c r="T365" s="65" t="str">
        <f>IFERROR(IF(OR($N365="",$O365="",$S365=""),"",ABS($N365-$O365)*$S365*VLOOKUP($F365,'⚙️ Setelan'!$A$14:$F$20,4,FALSE)),"")</f>
        <v/>
      </c>
      <c r="U365" s="63" t="str">
        <f t="shared" si="37"/>
        <v/>
      </c>
      <c r="V365" s="65" t="str">
        <f>IFERROR(IF(OR($Q365="",$N365="",$S365=""),"",($Q365-$N365)*IF($G365="Buy",1,-1)*$S365*VLOOKUP($F365,'⚙️ Setelan'!$A$14:$F$20,4,FALSE)),"")</f>
        <v/>
      </c>
      <c r="W365" s="65" t="str">
        <f>IFERROR(IF(OR($S365="",$F365=""),"",$S365*VLOOKUP($F365,'⚙️ Setelan'!$A$14:$F$20,5,FALSE)),"")</f>
        <v/>
      </c>
      <c r="X365" s="65" t="str">
        <f t="shared" si="38"/>
        <v/>
      </c>
      <c r="Y365" s="63" t="str">
        <f t="shared" si="39"/>
        <v/>
      </c>
      <c r="Z365" s="58" t="str">
        <f t="shared" si="40"/>
        <v/>
      </c>
      <c r="AA365" s="66" t="str">
        <f t="shared" si="41"/>
        <v/>
      </c>
      <c r="AB365" s="62"/>
      <c r="AC365" s="62"/>
      <c r="AD365" s="63" t="str">
        <f>IFERROR(IF(OR($AB365="",$T365="",$T365=0),"",ROUND(ABS($N365-$AB365)*$S365*VLOOKUP($F365,'⚙️ Setelan'!$A$14:$F$20,4,FALSE)/$T365,2)),"")</f>
        <v/>
      </c>
      <c r="AE365" s="63" t="str">
        <f>IFERROR(IF(OR($AC365="",$T365="",$T365=0),"",ROUND(ABS($AC365-$N365)*$S365*VLOOKUP($F365,'⚙️ Setelan'!$A$14:$F$20,4,FALSE)/$T365,2)),"")</f>
        <v/>
      </c>
      <c r="AF365" s="61"/>
      <c r="AG365" s="61"/>
      <c r="AH365" s="61"/>
      <c r="AI365" s="61"/>
      <c r="AJ365" s="61"/>
      <c r="AK365" s="67"/>
      <c r="AL365" s="58" t="str">
        <f>IF(OR($C365="",$B365=""),"",IF(AND($Z364="Loss",$B365=$B364,MOD($C365-$D364,1)*1440&lt;'⚙️ Setelan'!$B$9),"⚠️ Revenge",""))</f>
        <v/>
      </c>
      <c r="AM365" s="68"/>
      <c r="AN365" s="58" t="str">
        <f>IF($AM365="","",IFERROR(_xlfn.IMAGE(IF(REGEXMATCH($AM365,"\.(png|jpg|jpeg|gif)$"),$AM365,"https://s3.tradingview.com/snapshots/"&amp;LOWER(MID(REGEXEXTRACT($AM365,"/x/([A-Za-z0-9]+)"),1,1))&amp;"/"&amp;REGEXEXTRACT($AM365,"/x/([A-Za-z0-9]+)")&amp;".png"),1),"⚠️ link tidak dikenali"))</f>
        <v/>
      </c>
      <c r="AO365" s="68"/>
      <c r="AP365" s="58" t="str">
        <f>IF($AO365="","",IFERROR(_xlfn.IMAGE(IF(REGEXMATCH($AO365,"\.(png|jpg|jpeg|gif)$"),$AO365,"https://s3.tradingview.com/snapshots/"&amp;LOWER(MID(REGEXEXTRACT($AO365,"/x/([A-Za-z0-9]+)"),1,1))&amp;"/"&amp;REGEXEXTRACT($AO365,"/x/([A-Za-z0-9]+)")&amp;".png"),1),"⚠️ link tidak dikenali"))</f>
        <v/>
      </c>
      <c r="AQ365" s="66">
        <f>IF($Z365="",0,IF(AND(OR('📊 Dashboard'!$B$4="(Semua)",$F365='📊 Dashboard'!$B$4),OR('📊 Dashboard'!$B$5="(Semua)",$H365='📊 Dashboard'!$B$5),OR('📊 Dashboard'!$B$6="(Semua)",$E365='📊 Dashboard'!$B$6),OR('📊 Dashboard'!$B$7="(Semua)",$AF365='📊 Dashboard'!$B$7),OR('📊 Dashboard'!$B$8="(Semua)",$AG365='📊 Dashboard'!$B$8),OR('📊 Dashboard'!$B$9="(Semua)",$K365='📊 Dashboard'!$B$9)),1,0))</f>
        <v>0</v>
      </c>
      <c r="AR365" s="69"/>
    </row>
    <row r="366" ht="58" customHeight="1" spans="1:44">
      <c r="A366" s="58" t="str">
        <f t="shared" si="35"/>
        <v/>
      </c>
      <c r="B366" s="59"/>
      <c r="C366" s="60"/>
      <c r="D366" s="60"/>
      <c r="E366" s="58" t="str">
        <f t="shared" si="36"/>
        <v/>
      </c>
      <c r="F366" s="61"/>
      <c r="G366" s="61"/>
      <c r="H366" s="61"/>
      <c r="I366" s="61"/>
      <c r="J366" s="61"/>
      <c r="K366" s="61"/>
      <c r="L366" s="61"/>
      <c r="M366" s="61"/>
      <c r="N366" s="62"/>
      <c r="O366" s="62"/>
      <c r="P366" s="62"/>
      <c r="Q366" s="62"/>
      <c r="R366" s="63" t="str">
        <f>IFERROR(IF(OR($N366="",$O366="",$F366=""),"",ROUND(('⚙️ Setelan'!$B$3*'⚙️ Setelan'!$B$4/100)/(ABS($N366-$O366)*VLOOKUP($F366,'⚙️ Setelan'!$A$14:$F$20,4,FALSE)),2)),"")</f>
        <v/>
      </c>
      <c r="S366" s="64"/>
      <c r="T366" s="65" t="str">
        <f>IFERROR(IF(OR($N366="",$O366="",$S366=""),"",ABS($N366-$O366)*$S366*VLOOKUP($F366,'⚙️ Setelan'!$A$14:$F$20,4,FALSE)),"")</f>
        <v/>
      </c>
      <c r="U366" s="63" t="str">
        <f t="shared" si="37"/>
        <v/>
      </c>
      <c r="V366" s="65" t="str">
        <f>IFERROR(IF(OR($Q366="",$N366="",$S366=""),"",($Q366-$N366)*IF($G366="Buy",1,-1)*$S366*VLOOKUP($F366,'⚙️ Setelan'!$A$14:$F$20,4,FALSE)),"")</f>
        <v/>
      </c>
      <c r="W366" s="65" t="str">
        <f>IFERROR(IF(OR($S366="",$F366=""),"",$S366*VLOOKUP($F366,'⚙️ Setelan'!$A$14:$F$20,5,FALSE)),"")</f>
        <v/>
      </c>
      <c r="X366" s="65" t="str">
        <f t="shared" si="38"/>
        <v/>
      </c>
      <c r="Y366" s="63" t="str">
        <f t="shared" si="39"/>
        <v/>
      </c>
      <c r="Z366" s="58" t="str">
        <f t="shared" si="40"/>
        <v/>
      </c>
      <c r="AA366" s="66" t="str">
        <f t="shared" si="41"/>
        <v/>
      </c>
      <c r="AB366" s="62"/>
      <c r="AC366" s="62"/>
      <c r="AD366" s="63" t="str">
        <f>IFERROR(IF(OR($AB366="",$T366="",$T366=0),"",ROUND(ABS($N366-$AB366)*$S366*VLOOKUP($F366,'⚙️ Setelan'!$A$14:$F$20,4,FALSE)/$T366,2)),"")</f>
        <v/>
      </c>
      <c r="AE366" s="63" t="str">
        <f>IFERROR(IF(OR($AC366="",$T366="",$T366=0),"",ROUND(ABS($AC366-$N366)*$S366*VLOOKUP($F366,'⚙️ Setelan'!$A$14:$F$20,4,FALSE)/$T366,2)),"")</f>
        <v/>
      </c>
      <c r="AF366" s="61"/>
      <c r="AG366" s="61"/>
      <c r="AH366" s="61"/>
      <c r="AI366" s="61"/>
      <c r="AJ366" s="61"/>
      <c r="AK366" s="67"/>
      <c r="AL366" s="58" t="str">
        <f>IF(OR($C366="",$B366=""),"",IF(AND($Z365="Loss",$B366=$B365,MOD($C366-$D365,1)*1440&lt;'⚙️ Setelan'!$B$9),"⚠️ Revenge",""))</f>
        <v/>
      </c>
      <c r="AM366" s="68"/>
      <c r="AN366" s="58" t="str">
        <f>IF($AM366="","",IFERROR(_xlfn.IMAGE(IF(REGEXMATCH($AM366,"\.(png|jpg|jpeg|gif)$"),$AM366,"https://s3.tradingview.com/snapshots/"&amp;LOWER(MID(REGEXEXTRACT($AM366,"/x/([A-Za-z0-9]+)"),1,1))&amp;"/"&amp;REGEXEXTRACT($AM366,"/x/([A-Za-z0-9]+)")&amp;".png"),1),"⚠️ link tidak dikenali"))</f>
        <v/>
      </c>
      <c r="AO366" s="68"/>
      <c r="AP366" s="58" t="str">
        <f>IF($AO366="","",IFERROR(_xlfn.IMAGE(IF(REGEXMATCH($AO366,"\.(png|jpg|jpeg|gif)$"),$AO366,"https://s3.tradingview.com/snapshots/"&amp;LOWER(MID(REGEXEXTRACT($AO366,"/x/([A-Za-z0-9]+)"),1,1))&amp;"/"&amp;REGEXEXTRACT($AO366,"/x/([A-Za-z0-9]+)")&amp;".png"),1),"⚠️ link tidak dikenali"))</f>
        <v/>
      </c>
      <c r="AQ366" s="66">
        <f>IF($Z366="",0,IF(AND(OR('📊 Dashboard'!$B$4="(Semua)",$F366='📊 Dashboard'!$B$4),OR('📊 Dashboard'!$B$5="(Semua)",$H366='📊 Dashboard'!$B$5),OR('📊 Dashboard'!$B$6="(Semua)",$E366='📊 Dashboard'!$B$6),OR('📊 Dashboard'!$B$7="(Semua)",$AF366='📊 Dashboard'!$B$7),OR('📊 Dashboard'!$B$8="(Semua)",$AG366='📊 Dashboard'!$B$8),OR('📊 Dashboard'!$B$9="(Semua)",$K366='📊 Dashboard'!$B$9)),1,0))</f>
        <v>0</v>
      </c>
      <c r="AR366" s="69"/>
    </row>
    <row r="367" ht="58" customHeight="1" spans="1:44">
      <c r="A367" s="58" t="str">
        <f t="shared" si="35"/>
        <v/>
      </c>
      <c r="B367" s="59"/>
      <c r="C367" s="60"/>
      <c r="D367" s="60"/>
      <c r="E367" s="58" t="str">
        <f t="shared" si="36"/>
        <v/>
      </c>
      <c r="F367" s="61"/>
      <c r="G367" s="61"/>
      <c r="H367" s="61"/>
      <c r="I367" s="61"/>
      <c r="J367" s="61"/>
      <c r="K367" s="61"/>
      <c r="L367" s="61"/>
      <c r="M367" s="61"/>
      <c r="N367" s="62"/>
      <c r="O367" s="62"/>
      <c r="P367" s="62"/>
      <c r="Q367" s="62"/>
      <c r="R367" s="63" t="str">
        <f>IFERROR(IF(OR($N367="",$O367="",$F367=""),"",ROUND(('⚙️ Setelan'!$B$3*'⚙️ Setelan'!$B$4/100)/(ABS($N367-$O367)*VLOOKUP($F367,'⚙️ Setelan'!$A$14:$F$20,4,FALSE)),2)),"")</f>
        <v/>
      </c>
      <c r="S367" s="64"/>
      <c r="T367" s="65" t="str">
        <f>IFERROR(IF(OR($N367="",$O367="",$S367=""),"",ABS($N367-$O367)*$S367*VLOOKUP($F367,'⚙️ Setelan'!$A$14:$F$20,4,FALSE)),"")</f>
        <v/>
      </c>
      <c r="U367" s="63" t="str">
        <f t="shared" si="37"/>
        <v/>
      </c>
      <c r="V367" s="65" t="str">
        <f>IFERROR(IF(OR($Q367="",$N367="",$S367=""),"",($Q367-$N367)*IF($G367="Buy",1,-1)*$S367*VLOOKUP($F367,'⚙️ Setelan'!$A$14:$F$20,4,FALSE)),"")</f>
        <v/>
      </c>
      <c r="W367" s="65" t="str">
        <f>IFERROR(IF(OR($S367="",$F367=""),"",$S367*VLOOKUP($F367,'⚙️ Setelan'!$A$14:$F$20,5,FALSE)),"")</f>
        <v/>
      </c>
      <c r="X367" s="65" t="str">
        <f t="shared" si="38"/>
        <v/>
      </c>
      <c r="Y367" s="63" t="str">
        <f t="shared" si="39"/>
        <v/>
      </c>
      <c r="Z367" s="58" t="str">
        <f t="shared" si="40"/>
        <v/>
      </c>
      <c r="AA367" s="66" t="str">
        <f t="shared" si="41"/>
        <v/>
      </c>
      <c r="AB367" s="62"/>
      <c r="AC367" s="62"/>
      <c r="AD367" s="63" t="str">
        <f>IFERROR(IF(OR($AB367="",$T367="",$T367=0),"",ROUND(ABS($N367-$AB367)*$S367*VLOOKUP($F367,'⚙️ Setelan'!$A$14:$F$20,4,FALSE)/$T367,2)),"")</f>
        <v/>
      </c>
      <c r="AE367" s="63" t="str">
        <f>IFERROR(IF(OR($AC367="",$T367="",$T367=0),"",ROUND(ABS($AC367-$N367)*$S367*VLOOKUP($F367,'⚙️ Setelan'!$A$14:$F$20,4,FALSE)/$T367,2)),"")</f>
        <v/>
      </c>
      <c r="AF367" s="61"/>
      <c r="AG367" s="61"/>
      <c r="AH367" s="61"/>
      <c r="AI367" s="61"/>
      <c r="AJ367" s="61"/>
      <c r="AK367" s="67"/>
      <c r="AL367" s="58" t="str">
        <f>IF(OR($C367="",$B367=""),"",IF(AND($Z366="Loss",$B367=$B366,MOD($C367-$D366,1)*1440&lt;'⚙️ Setelan'!$B$9),"⚠️ Revenge",""))</f>
        <v/>
      </c>
      <c r="AM367" s="68"/>
      <c r="AN367" s="58" t="str">
        <f>IF($AM367="","",IFERROR(_xlfn.IMAGE(IF(REGEXMATCH($AM367,"\.(png|jpg|jpeg|gif)$"),$AM367,"https://s3.tradingview.com/snapshots/"&amp;LOWER(MID(REGEXEXTRACT($AM367,"/x/([A-Za-z0-9]+)"),1,1))&amp;"/"&amp;REGEXEXTRACT($AM367,"/x/([A-Za-z0-9]+)")&amp;".png"),1),"⚠️ link tidak dikenali"))</f>
        <v/>
      </c>
      <c r="AO367" s="68"/>
      <c r="AP367" s="58" t="str">
        <f>IF($AO367="","",IFERROR(_xlfn.IMAGE(IF(REGEXMATCH($AO367,"\.(png|jpg|jpeg|gif)$"),$AO367,"https://s3.tradingview.com/snapshots/"&amp;LOWER(MID(REGEXEXTRACT($AO367,"/x/([A-Za-z0-9]+)"),1,1))&amp;"/"&amp;REGEXEXTRACT($AO367,"/x/([A-Za-z0-9]+)")&amp;".png"),1),"⚠️ link tidak dikenali"))</f>
        <v/>
      </c>
      <c r="AQ367" s="66">
        <f>IF($Z367="",0,IF(AND(OR('📊 Dashboard'!$B$4="(Semua)",$F367='📊 Dashboard'!$B$4),OR('📊 Dashboard'!$B$5="(Semua)",$H367='📊 Dashboard'!$B$5),OR('📊 Dashboard'!$B$6="(Semua)",$E367='📊 Dashboard'!$B$6),OR('📊 Dashboard'!$B$7="(Semua)",$AF367='📊 Dashboard'!$B$7),OR('📊 Dashboard'!$B$8="(Semua)",$AG367='📊 Dashboard'!$B$8),OR('📊 Dashboard'!$B$9="(Semua)",$K367='📊 Dashboard'!$B$9)),1,0))</f>
        <v>0</v>
      </c>
      <c r="AR367" s="69"/>
    </row>
    <row r="368" ht="58" customHeight="1" spans="1:44">
      <c r="A368" s="58" t="str">
        <f t="shared" si="35"/>
        <v/>
      </c>
      <c r="B368" s="59"/>
      <c r="C368" s="60"/>
      <c r="D368" s="60"/>
      <c r="E368" s="58" t="str">
        <f t="shared" si="36"/>
        <v/>
      </c>
      <c r="F368" s="61"/>
      <c r="G368" s="61"/>
      <c r="H368" s="61"/>
      <c r="I368" s="61"/>
      <c r="J368" s="61"/>
      <c r="K368" s="61"/>
      <c r="L368" s="61"/>
      <c r="M368" s="61"/>
      <c r="N368" s="62"/>
      <c r="O368" s="62"/>
      <c r="P368" s="62"/>
      <c r="Q368" s="62"/>
      <c r="R368" s="63" t="str">
        <f>IFERROR(IF(OR($N368="",$O368="",$F368=""),"",ROUND(('⚙️ Setelan'!$B$3*'⚙️ Setelan'!$B$4/100)/(ABS($N368-$O368)*VLOOKUP($F368,'⚙️ Setelan'!$A$14:$F$20,4,FALSE)),2)),"")</f>
        <v/>
      </c>
      <c r="S368" s="64"/>
      <c r="T368" s="65" t="str">
        <f>IFERROR(IF(OR($N368="",$O368="",$S368=""),"",ABS($N368-$O368)*$S368*VLOOKUP($F368,'⚙️ Setelan'!$A$14:$F$20,4,FALSE)),"")</f>
        <v/>
      </c>
      <c r="U368" s="63" t="str">
        <f t="shared" si="37"/>
        <v/>
      </c>
      <c r="V368" s="65" t="str">
        <f>IFERROR(IF(OR($Q368="",$N368="",$S368=""),"",($Q368-$N368)*IF($G368="Buy",1,-1)*$S368*VLOOKUP($F368,'⚙️ Setelan'!$A$14:$F$20,4,FALSE)),"")</f>
        <v/>
      </c>
      <c r="W368" s="65" t="str">
        <f>IFERROR(IF(OR($S368="",$F368=""),"",$S368*VLOOKUP($F368,'⚙️ Setelan'!$A$14:$F$20,5,FALSE)),"")</f>
        <v/>
      </c>
      <c r="X368" s="65" t="str">
        <f t="shared" si="38"/>
        <v/>
      </c>
      <c r="Y368" s="63" t="str">
        <f t="shared" si="39"/>
        <v/>
      </c>
      <c r="Z368" s="58" t="str">
        <f t="shared" si="40"/>
        <v/>
      </c>
      <c r="AA368" s="66" t="str">
        <f t="shared" si="41"/>
        <v/>
      </c>
      <c r="AB368" s="62"/>
      <c r="AC368" s="62"/>
      <c r="AD368" s="63" t="str">
        <f>IFERROR(IF(OR($AB368="",$T368="",$T368=0),"",ROUND(ABS($N368-$AB368)*$S368*VLOOKUP($F368,'⚙️ Setelan'!$A$14:$F$20,4,FALSE)/$T368,2)),"")</f>
        <v/>
      </c>
      <c r="AE368" s="63" t="str">
        <f>IFERROR(IF(OR($AC368="",$T368="",$T368=0),"",ROUND(ABS($AC368-$N368)*$S368*VLOOKUP($F368,'⚙️ Setelan'!$A$14:$F$20,4,FALSE)/$T368,2)),"")</f>
        <v/>
      </c>
      <c r="AF368" s="61"/>
      <c r="AG368" s="61"/>
      <c r="AH368" s="61"/>
      <c r="AI368" s="61"/>
      <c r="AJ368" s="61"/>
      <c r="AK368" s="67"/>
      <c r="AL368" s="58" t="str">
        <f>IF(OR($C368="",$B368=""),"",IF(AND($Z367="Loss",$B368=$B367,MOD($C368-$D367,1)*1440&lt;'⚙️ Setelan'!$B$9),"⚠️ Revenge",""))</f>
        <v/>
      </c>
      <c r="AM368" s="68"/>
      <c r="AN368" s="58" t="str">
        <f>IF($AM368="","",IFERROR(_xlfn.IMAGE(IF(REGEXMATCH($AM368,"\.(png|jpg|jpeg|gif)$"),$AM368,"https://s3.tradingview.com/snapshots/"&amp;LOWER(MID(REGEXEXTRACT($AM368,"/x/([A-Za-z0-9]+)"),1,1))&amp;"/"&amp;REGEXEXTRACT($AM368,"/x/([A-Za-z0-9]+)")&amp;".png"),1),"⚠️ link tidak dikenali"))</f>
        <v/>
      </c>
      <c r="AO368" s="68"/>
      <c r="AP368" s="58" t="str">
        <f>IF($AO368="","",IFERROR(_xlfn.IMAGE(IF(REGEXMATCH($AO368,"\.(png|jpg|jpeg|gif)$"),$AO368,"https://s3.tradingview.com/snapshots/"&amp;LOWER(MID(REGEXEXTRACT($AO368,"/x/([A-Za-z0-9]+)"),1,1))&amp;"/"&amp;REGEXEXTRACT($AO368,"/x/([A-Za-z0-9]+)")&amp;".png"),1),"⚠️ link tidak dikenali"))</f>
        <v/>
      </c>
      <c r="AQ368" s="66">
        <f>IF($Z368="",0,IF(AND(OR('📊 Dashboard'!$B$4="(Semua)",$F368='📊 Dashboard'!$B$4),OR('📊 Dashboard'!$B$5="(Semua)",$H368='📊 Dashboard'!$B$5),OR('📊 Dashboard'!$B$6="(Semua)",$E368='📊 Dashboard'!$B$6),OR('📊 Dashboard'!$B$7="(Semua)",$AF368='📊 Dashboard'!$B$7),OR('📊 Dashboard'!$B$8="(Semua)",$AG368='📊 Dashboard'!$B$8),OR('📊 Dashboard'!$B$9="(Semua)",$K368='📊 Dashboard'!$B$9)),1,0))</f>
        <v>0</v>
      </c>
      <c r="AR368" s="69"/>
    </row>
    <row r="369" ht="58" customHeight="1" spans="1:44">
      <c r="A369" s="58" t="str">
        <f t="shared" si="35"/>
        <v/>
      </c>
      <c r="B369" s="59"/>
      <c r="C369" s="60"/>
      <c r="D369" s="60"/>
      <c r="E369" s="58" t="str">
        <f t="shared" si="36"/>
        <v/>
      </c>
      <c r="F369" s="61"/>
      <c r="G369" s="61"/>
      <c r="H369" s="61"/>
      <c r="I369" s="61"/>
      <c r="J369" s="61"/>
      <c r="K369" s="61"/>
      <c r="L369" s="61"/>
      <c r="M369" s="61"/>
      <c r="N369" s="62"/>
      <c r="O369" s="62"/>
      <c r="P369" s="62"/>
      <c r="Q369" s="62"/>
      <c r="R369" s="63" t="str">
        <f>IFERROR(IF(OR($N369="",$O369="",$F369=""),"",ROUND(('⚙️ Setelan'!$B$3*'⚙️ Setelan'!$B$4/100)/(ABS($N369-$O369)*VLOOKUP($F369,'⚙️ Setelan'!$A$14:$F$20,4,FALSE)),2)),"")</f>
        <v/>
      </c>
      <c r="S369" s="64"/>
      <c r="T369" s="65" t="str">
        <f>IFERROR(IF(OR($N369="",$O369="",$S369=""),"",ABS($N369-$O369)*$S369*VLOOKUP($F369,'⚙️ Setelan'!$A$14:$F$20,4,FALSE)),"")</f>
        <v/>
      </c>
      <c r="U369" s="63" t="str">
        <f t="shared" si="37"/>
        <v/>
      </c>
      <c r="V369" s="65" t="str">
        <f>IFERROR(IF(OR($Q369="",$N369="",$S369=""),"",($Q369-$N369)*IF($G369="Buy",1,-1)*$S369*VLOOKUP($F369,'⚙️ Setelan'!$A$14:$F$20,4,FALSE)),"")</f>
        <v/>
      </c>
      <c r="W369" s="65" t="str">
        <f>IFERROR(IF(OR($S369="",$F369=""),"",$S369*VLOOKUP($F369,'⚙️ Setelan'!$A$14:$F$20,5,FALSE)),"")</f>
        <v/>
      </c>
      <c r="X369" s="65" t="str">
        <f t="shared" si="38"/>
        <v/>
      </c>
      <c r="Y369" s="63" t="str">
        <f t="shared" si="39"/>
        <v/>
      </c>
      <c r="Z369" s="58" t="str">
        <f t="shared" si="40"/>
        <v/>
      </c>
      <c r="AA369" s="66" t="str">
        <f t="shared" si="41"/>
        <v/>
      </c>
      <c r="AB369" s="62"/>
      <c r="AC369" s="62"/>
      <c r="AD369" s="63" t="str">
        <f>IFERROR(IF(OR($AB369="",$T369="",$T369=0),"",ROUND(ABS($N369-$AB369)*$S369*VLOOKUP($F369,'⚙️ Setelan'!$A$14:$F$20,4,FALSE)/$T369,2)),"")</f>
        <v/>
      </c>
      <c r="AE369" s="63" t="str">
        <f>IFERROR(IF(OR($AC369="",$T369="",$T369=0),"",ROUND(ABS($AC369-$N369)*$S369*VLOOKUP($F369,'⚙️ Setelan'!$A$14:$F$20,4,FALSE)/$T369,2)),"")</f>
        <v/>
      </c>
      <c r="AF369" s="61"/>
      <c r="AG369" s="61"/>
      <c r="AH369" s="61"/>
      <c r="AI369" s="61"/>
      <c r="AJ369" s="61"/>
      <c r="AK369" s="67"/>
      <c r="AL369" s="58" t="str">
        <f>IF(OR($C369="",$B369=""),"",IF(AND($Z368="Loss",$B369=$B368,MOD($C369-$D368,1)*1440&lt;'⚙️ Setelan'!$B$9),"⚠️ Revenge",""))</f>
        <v/>
      </c>
      <c r="AM369" s="68"/>
      <c r="AN369" s="58" t="str">
        <f>IF($AM369="","",IFERROR(_xlfn.IMAGE(IF(REGEXMATCH($AM369,"\.(png|jpg|jpeg|gif)$"),$AM369,"https://s3.tradingview.com/snapshots/"&amp;LOWER(MID(REGEXEXTRACT($AM369,"/x/([A-Za-z0-9]+)"),1,1))&amp;"/"&amp;REGEXEXTRACT($AM369,"/x/([A-Za-z0-9]+)")&amp;".png"),1),"⚠️ link tidak dikenali"))</f>
        <v/>
      </c>
      <c r="AO369" s="68"/>
      <c r="AP369" s="58" t="str">
        <f>IF($AO369="","",IFERROR(_xlfn.IMAGE(IF(REGEXMATCH($AO369,"\.(png|jpg|jpeg|gif)$"),$AO369,"https://s3.tradingview.com/snapshots/"&amp;LOWER(MID(REGEXEXTRACT($AO369,"/x/([A-Za-z0-9]+)"),1,1))&amp;"/"&amp;REGEXEXTRACT($AO369,"/x/([A-Za-z0-9]+)")&amp;".png"),1),"⚠️ link tidak dikenali"))</f>
        <v/>
      </c>
      <c r="AQ369" s="66">
        <f>IF($Z369="",0,IF(AND(OR('📊 Dashboard'!$B$4="(Semua)",$F369='📊 Dashboard'!$B$4),OR('📊 Dashboard'!$B$5="(Semua)",$H369='📊 Dashboard'!$B$5),OR('📊 Dashboard'!$B$6="(Semua)",$E369='📊 Dashboard'!$B$6),OR('📊 Dashboard'!$B$7="(Semua)",$AF369='📊 Dashboard'!$B$7),OR('📊 Dashboard'!$B$8="(Semua)",$AG369='📊 Dashboard'!$B$8),OR('📊 Dashboard'!$B$9="(Semua)",$K369='📊 Dashboard'!$B$9)),1,0))</f>
        <v>0</v>
      </c>
      <c r="AR369" s="69"/>
    </row>
    <row r="370" ht="58" customHeight="1" spans="1:44">
      <c r="A370" s="58" t="str">
        <f t="shared" si="35"/>
        <v/>
      </c>
      <c r="B370" s="59"/>
      <c r="C370" s="60"/>
      <c r="D370" s="60"/>
      <c r="E370" s="58" t="str">
        <f t="shared" si="36"/>
        <v/>
      </c>
      <c r="F370" s="61"/>
      <c r="G370" s="61"/>
      <c r="H370" s="61"/>
      <c r="I370" s="61"/>
      <c r="J370" s="61"/>
      <c r="K370" s="61"/>
      <c r="L370" s="61"/>
      <c r="M370" s="61"/>
      <c r="N370" s="62"/>
      <c r="O370" s="62"/>
      <c r="P370" s="62"/>
      <c r="Q370" s="62"/>
      <c r="R370" s="63" t="str">
        <f>IFERROR(IF(OR($N370="",$O370="",$F370=""),"",ROUND(('⚙️ Setelan'!$B$3*'⚙️ Setelan'!$B$4/100)/(ABS($N370-$O370)*VLOOKUP($F370,'⚙️ Setelan'!$A$14:$F$20,4,FALSE)),2)),"")</f>
        <v/>
      </c>
      <c r="S370" s="64"/>
      <c r="T370" s="65" t="str">
        <f>IFERROR(IF(OR($N370="",$O370="",$S370=""),"",ABS($N370-$O370)*$S370*VLOOKUP($F370,'⚙️ Setelan'!$A$14:$F$20,4,FALSE)),"")</f>
        <v/>
      </c>
      <c r="U370" s="63" t="str">
        <f t="shared" si="37"/>
        <v/>
      </c>
      <c r="V370" s="65" t="str">
        <f>IFERROR(IF(OR($Q370="",$N370="",$S370=""),"",($Q370-$N370)*IF($G370="Buy",1,-1)*$S370*VLOOKUP($F370,'⚙️ Setelan'!$A$14:$F$20,4,FALSE)),"")</f>
        <v/>
      </c>
      <c r="W370" s="65" t="str">
        <f>IFERROR(IF(OR($S370="",$F370=""),"",$S370*VLOOKUP($F370,'⚙️ Setelan'!$A$14:$F$20,5,FALSE)),"")</f>
        <v/>
      </c>
      <c r="X370" s="65" t="str">
        <f t="shared" si="38"/>
        <v/>
      </c>
      <c r="Y370" s="63" t="str">
        <f t="shared" si="39"/>
        <v/>
      </c>
      <c r="Z370" s="58" t="str">
        <f t="shared" si="40"/>
        <v/>
      </c>
      <c r="AA370" s="66" t="str">
        <f t="shared" si="41"/>
        <v/>
      </c>
      <c r="AB370" s="62"/>
      <c r="AC370" s="62"/>
      <c r="AD370" s="63" t="str">
        <f>IFERROR(IF(OR($AB370="",$T370="",$T370=0),"",ROUND(ABS($N370-$AB370)*$S370*VLOOKUP($F370,'⚙️ Setelan'!$A$14:$F$20,4,FALSE)/$T370,2)),"")</f>
        <v/>
      </c>
      <c r="AE370" s="63" t="str">
        <f>IFERROR(IF(OR($AC370="",$T370="",$T370=0),"",ROUND(ABS($AC370-$N370)*$S370*VLOOKUP($F370,'⚙️ Setelan'!$A$14:$F$20,4,FALSE)/$T370,2)),"")</f>
        <v/>
      </c>
      <c r="AF370" s="61"/>
      <c r="AG370" s="61"/>
      <c r="AH370" s="61"/>
      <c r="AI370" s="61"/>
      <c r="AJ370" s="61"/>
      <c r="AK370" s="67"/>
      <c r="AL370" s="58" t="str">
        <f>IF(OR($C370="",$B370=""),"",IF(AND($Z369="Loss",$B370=$B369,MOD($C370-$D369,1)*1440&lt;'⚙️ Setelan'!$B$9),"⚠️ Revenge",""))</f>
        <v/>
      </c>
      <c r="AM370" s="68"/>
      <c r="AN370" s="58" t="str">
        <f>IF($AM370="","",IFERROR(_xlfn.IMAGE(IF(REGEXMATCH($AM370,"\.(png|jpg|jpeg|gif)$"),$AM370,"https://s3.tradingview.com/snapshots/"&amp;LOWER(MID(REGEXEXTRACT($AM370,"/x/([A-Za-z0-9]+)"),1,1))&amp;"/"&amp;REGEXEXTRACT($AM370,"/x/([A-Za-z0-9]+)")&amp;".png"),1),"⚠️ link tidak dikenali"))</f>
        <v/>
      </c>
      <c r="AO370" s="68"/>
      <c r="AP370" s="58" t="str">
        <f>IF($AO370="","",IFERROR(_xlfn.IMAGE(IF(REGEXMATCH($AO370,"\.(png|jpg|jpeg|gif)$"),$AO370,"https://s3.tradingview.com/snapshots/"&amp;LOWER(MID(REGEXEXTRACT($AO370,"/x/([A-Za-z0-9]+)"),1,1))&amp;"/"&amp;REGEXEXTRACT($AO370,"/x/([A-Za-z0-9]+)")&amp;".png"),1),"⚠️ link tidak dikenali"))</f>
        <v/>
      </c>
      <c r="AQ370" s="66">
        <f>IF($Z370="",0,IF(AND(OR('📊 Dashboard'!$B$4="(Semua)",$F370='📊 Dashboard'!$B$4),OR('📊 Dashboard'!$B$5="(Semua)",$H370='📊 Dashboard'!$B$5),OR('📊 Dashboard'!$B$6="(Semua)",$E370='📊 Dashboard'!$B$6),OR('📊 Dashboard'!$B$7="(Semua)",$AF370='📊 Dashboard'!$B$7),OR('📊 Dashboard'!$B$8="(Semua)",$AG370='📊 Dashboard'!$B$8),OR('📊 Dashboard'!$B$9="(Semua)",$K370='📊 Dashboard'!$B$9)),1,0))</f>
        <v>0</v>
      </c>
      <c r="AR370" s="69"/>
    </row>
    <row r="371" ht="58" customHeight="1" spans="1:44">
      <c r="A371" s="58" t="str">
        <f t="shared" si="35"/>
        <v/>
      </c>
      <c r="B371" s="59"/>
      <c r="C371" s="60"/>
      <c r="D371" s="60"/>
      <c r="E371" s="58" t="str">
        <f t="shared" si="36"/>
        <v/>
      </c>
      <c r="F371" s="61"/>
      <c r="G371" s="61"/>
      <c r="H371" s="61"/>
      <c r="I371" s="61"/>
      <c r="J371" s="61"/>
      <c r="K371" s="61"/>
      <c r="L371" s="61"/>
      <c r="M371" s="61"/>
      <c r="N371" s="62"/>
      <c r="O371" s="62"/>
      <c r="P371" s="62"/>
      <c r="Q371" s="62"/>
      <c r="R371" s="63" t="str">
        <f>IFERROR(IF(OR($N371="",$O371="",$F371=""),"",ROUND(('⚙️ Setelan'!$B$3*'⚙️ Setelan'!$B$4/100)/(ABS($N371-$O371)*VLOOKUP($F371,'⚙️ Setelan'!$A$14:$F$20,4,FALSE)),2)),"")</f>
        <v/>
      </c>
      <c r="S371" s="64"/>
      <c r="T371" s="65" t="str">
        <f>IFERROR(IF(OR($N371="",$O371="",$S371=""),"",ABS($N371-$O371)*$S371*VLOOKUP($F371,'⚙️ Setelan'!$A$14:$F$20,4,FALSE)),"")</f>
        <v/>
      </c>
      <c r="U371" s="63" t="str">
        <f t="shared" si="37"/>
        <v/>
      </c>
      <c r="V371" s="65" t="str">
        <f>IFERROR(IF(OR($Q371="",$N371="",$S371=""),"",($Q371-$N371)*IF($G371="Buy",1,-1)*$S371*VLOOKUP($F371,'⚙️ Setelan'!$A$14:$F$20,4,FALSE)),"")</f>
        <v/>
      </c>
      <c r="W371" s="65" t="str">
        <f>IFERROR(IF(OR($S371="",$F371=""),"",$S371*VLOOKUP($F371,'⚙️ Setelan'!$A$14:$F$20,5,FALSE)),"")</f>
        <v/>
      </c>
      <c r="X371" s="65" t="str">
        <f t="shared" si="38"/>
        <v/>
      </c>
      <c r="Y371" s="63" t="str">
        <f t="shared" si="39"/>
        <v/>
      </c>
      <c r="Z371" s="58" t="str">
        <f t="shared" si="40"/>
        <v/>
      </c>
      <c r="AA371" s="66" t="str">
        <f t="shared" si="41"/>
        <v/>
      </c>
      <c r="AB371" s="62"/>
      <c r="AC371" s="62"/>
      <c r="AD371" s="63" t="str">
        <f>IFERROR(IF(OR($AB371="",$T371="",$T371=0),"",ROUND(ABS($N371-$AB371)*$S371*VLOOKUP($F371,'⚙️ Setelan'!$A$14:$F$20,4,FALSE)/$T371,2)),"")</f>
        <v/>
      </c>
      <c r="AE371" s="63" t="str">
        <f>IFERROR(IF(OR($AC371="",$T371="",$T371=0),"",ROUND(ABS($AC371-$N371)*$S371*VLOOKUP($F371,'⚙️ Setelan'!$A$14:$F$20,4,FALSE)/$T371,2)),"")</f>
        <v/>
      </c>
      <c r="AF371" s="61"/>
      <c r="AG371" s="61"/>
      <c r="AH371" s="61"/>
      <c r="AI371" s="61"/>
      <c r="AJ371" s="61"/>
      <c r="AK371" s="67"/>
      <c r="AL371" s="58" t="str">
        <f>IF(OR($C371="",$B371=""),"",IF(AND($Z370="Loss",$B371=$B370,MOD($C371-$D370,1)*1440&lt;'⚙️ Setelan'!$B$9),"⚠️ Revenge",""))</f>
        <v/>
      </c>
      <c r="AM371" s="68"/>
      <c r="AN371" s="58" t="str">
        <f>IF($AM371="","",IFERROR(_xlfn.IMAGE(IF(REGEXMATCH($AM371,"\.(png|jpg|jpeg|gif)$"),$AM371,"https://s3.tradingview.com/snapshots/"&amp;LOWER(MID(REGEXEXTRACT($AM371,"/x/([A-Za-z0-9]+)"),1,1))&amp;"/"&amp;REGEXEXTRACT($AM371,"/x/([A-Za-z0-9]+)")&amp;".png"),1),"⚠️ link tidak dikenali"))</f>
        <v/>
      </c>
      <c r="AO371" s="68"/>
      <c r="AP371" s="58" t="str">
        <f>IF($AO371="","",IFERROR(_xlfn.IMAGE(IF(REGEXMATCH($AO371,"\.(png|jpg|jpeg|gif)$"),$AO371,"https://s3.tradingview.com/snapshots/"&amp;LOWER(MID(REGEXEXTRACT($AO371,"/x/([A-Za-z0-9]+)"),1,1))&amp;"/"&amp;REGEXEXTRACT($AO371,"/x/([A-Za-z0-9]+)")&amp;".png"),1),"⚠️ link tidak dikenali"))</f>
        <v/>
      </c>
      <c r="AQ371" s="66">
        <f>IF($Z371="",0,IF(AND(OR('📊 Dashboard'!$B$4="(Semua)",$F371='📊 Dashboard'!$B$4),OR('📊 Dashboard'!$B$5="(Semua)",$H371='📊 Dashboard'!$B$5),OR('📊 Dashboard'!$B$6="(Semua)",$E371='📊 Dashboard'!$B$6),OR('📊 Dashboard'!$B$7="(Semua)",$AF371='📊 Dashboard'!$B$7),OR('📊 Dashboard'!$B$8="(Semua)",$AG371='📊 Dashboard'!$B$8),OR('📊 Dashboard'!$B$9="(Semua)",$K371='📊 Dashboard'!$B$9)),1,0))</f>
        <v>0</v>
      </c>
      <c r="AR371" s="69"/>
    </row>
    <row r="372" ht="58" customHeight="1" spans="1:44">
      <c r="A372" s="58" t="str">
        <f t="shared" si="35"/>
        <v/>
      </c>
      <c r="B372" s="59"/>
      <c r="C372" s="60"/>
      <c r="D372" s="60"/>
      <c r="E372" s="58" t="str">
        <f t="shared" si="36"/>
        <v/>
      </c>
      <c r="F372" s="61"/>
      <c r="G372" s="61"/>
      <c r="H372" s="61"/>
      <c r="I372" s="61"/>
      <c r="J372" s="61"/>
      <c r="K372" s="61"/>
      <c r="L372" s="61"/>
      <c r="M372" s="61"/>
      <c r="N372" s="62"/>
      <c r="O372" s="62"/>
      <c r="P372" s="62"/>
      <c r="Q372" s="62"/>
      <c r="R372" s="63" t="str">
        <f>IFERROR(IF(OR($N372="",$O372="",$F372=""),"",ROUND(('⚙️ Setelan'!$B$3*'⚙️ Setelan'!$B$4/100)/(ABS($N372-$O372)*VLOOKUP($F372,'⚙️ Setelan'!$A$14:$F$20,4,FALSE)),2)),"")</f>
        <v/>
      </c>
      <c r="S372" s="64"/>
      <c r="T372" s="65" t="str">
        <f>IFERROR(IF(OR($N372="",$O372="",$S372=""),"",ABS($N372-$O372)*$S372*VLOOKUP($F372,'⚙️ Setelan'!$A$14:$F$20,4,FALSE)),"")</f>
        <v/>
      </c>
      <c r="U372" s="63" t="str">
        <f t="shared" si="37"/>
        <v/>
      </c>
      <c r="V372" s="65" t="str">
        <f>IFERROR(IF(OR($Q372="",$N372="",$S372=""),"",($Q372-$N372)*IF($G372="Buy",1,-1)*$S372*VLOOKUP($F372,'⚙️ Setelan'!$A$14:$F$20,4,FALSE)),"")</f>
        <v/>
      </c>
      <c r="W372" s="65" t="str">
        <f>IFERROR(IF(OR($S372="",$F372=""),"",$S372*VLOOKUP($F372,'⚙️ Setelan'!$A$14:$F$20,5,FALSE)),"")</f>
        <v/>
      </c>
      <c r="X372" s="65" t="str">
        <f t="shared" si="38"/>
        <v/>
      </c>
      <c r="Y372" s="63" t="str">
        <f t="shared" si="39"/>
        <v/>
      </c>
      <c r="Z372" s="58" t="str">
        <f t="shared" si="40"/>
        <v/>
      </c>
      <c r="AA372" s="66" t="str">
        <f t="shared" si="41"/>
        <v/>
      </c>
      <c r="AB372" s="62"/>
      <c r="AC372" s="62"/>
      <c r="AD372" s="63" t="str">
        <f>IFERROR(IF(OR($AB372="",$T372="",$T372=0),"",ROUND(ABS($N372-$AB372)*$S372*VLOOKUP($F372,'⚙️ Setelan'!$A$14:$F$20,4,FALSE)/$T372,2)),"")</f>
        <v/>
      </c>
      <c r="AE372" s="63" t="str">
        <f>IFERROR(IF(OR($AC372="",$T372="",$T372=0),"",ROUND(ABS($AC372-$N372)*$S372*VLOOKUP($F372,'⚙️ Setelan'!$A$14:$F$20,4,FALSE)/$T372,2)),"")</f>
        <v/>
      </c>
      <c r="AF372" s="61"/>
      <c r="AG372" s="61"/>
      <c r="AH372" s="61"/>
      <c r="AI372" s="61"/>
      <c r="AJ372" s="61"/>
      <c r="AK372" s="67"/>
      <c r="AL372" s="58" t="str">
        <f>IF(OR($C372="",$B372=""),"",IF(AND($Z371="Loss",$B372=$B371,MOD($C372-$D371,1)*1440&lt;'⚙️ Setelan'!$B$9),"⚠️ Revenge",""))</f>
        <v/>
      </c>
      <c r="AM372" s="68"/>
      <c r="AN372" s="58" t="str">
        <f>IF($AM372="","",IFERROR(_xlfn.IMAGE(IF(REGEXMATCH($AM372,"\.(png|jpg|jpeg|gif)$"),$AM372,"https://s3.tradingview.com/snapshots/"&amp;LOWER(MID(REGEXEXTRACT($AM372,"/x/([A-Za-z0-9]+)"),1,1))&amp;"/"&amp;REGEXEXTRACT($AM372,"/x/([A-Za-z0-9]+)")&amp;".png"),1),"⚠️ link tidak dikenali"))</f>
        <v/>
      </c>
      <c r="AO372" s="68"/>
      <c r="AP372" s="58" t="str">
        <f>IF($AO372="","",IFERROR(_xlfn.IMAGE(IF(REGEXMATCH($AO372,"\.(png|jpg|jpeg|gif)$"),$AO372,"https://s3.tradingview.com/snapshots/"&amp;LOWER(MID(REGEXEXTRACT($AO372,"/x/([A-Za-z0-9]+)"),1,1))&amp;"/"&amp;REGEXEXTRACT($AO372,"/x/([A-Za-z0-9]+)")&amp;".png"),1),"⚠️ link tidak dikenali"))</f>
        <v/>
      </c>
      <c r="AQ372" s="66">
        <f>IF($Z372="",0,IF(AND(OR('📊 Dashboard'!$B$4="(Semua)",$F372='📊 Dashboard'!$B$4),OR('📊 Dashboard'!$B$5="(Semua)",$H372='📊 Dashboard'!$B$5),OR('📊 Dashboard'!$B$6="(Semua)",$E372='📊 Dashboard'!$B$6),OR('📊 Dashboard'!$B$7="(Semua)",$AF372='📊 Dashboard'!$B$7),OR('📊 Dashboard'!$B$8="(Semua)",$AG372='📊 Dashboard'!$B$8),OR('📊 Dashboard'!$B$9="(Semua)",$K372='📊 Dashboard'!$B$9)),1,0))</f>
        <v>0</v>
      </c>
      <c r="AR372" s="69"/>
    </row>
    <row r="373" ht="58" customHeight="1" spans="1:44">
      <c r="A373" s="58" t="str">
        <f t="shared" si="35"/>
        <v/>
      </c>
      <c r="B373" s="59"/>
      <c r="C373" s="60"/>
      <c r="D373" s="60"/>
      <c r="E373" s="58" t="str">
        <f t="shared" si="36"/>
        <v/>
      </c>
      <c r="F373" s="61"/>
      <c r="G373" s="61"/>
      <c r="H373" s="61"/>
      <c r="I373" s="61"/>
      <c r="J373" s="61"/>
      <c r="K373" s="61"/>
      <c r="L373" s="61"/>
      <c r="M373" s="61"/>
      <c r="N373" s="62"/>
      <c r="O373" s="62"/>
      <c r="P373" s="62"/>
      <c r="Q373" s="62"/>
      <c r="R373" s="63" t="str">
        <f>IFERROR(IF(OR($N373="",$O373="",$F373=""),"",ROUND(('⚙️ Setelan'!$B$3*'⚙️ Setelan'!$B$4/100)/(ABS($N373-$O373)*VLOOKUP($F373,'⚙️ Setelan'!$A$14:$F$20,4,FALSE)),2)),"")</f>
        <v/>
      </c>
      <c r="S373" s="64"/>
      <c r="T373" s="65" t="str">
        <f>IFERROR(IF(OR($N373="",$O373="",$S373=""),"",ABS($N373-$O373)*$S373*VLOOKUP($F373,'⚙️ Setelan'!$A$14:$F$20,4,FALSE)),"")</f>
        <v/>
      </c>
      <c r="U373" s="63" t="str">
        <f t="shared" si="37"/>
        <v/>
      </c>
      <c r="V373" s="65" t="str">
        <f>IFERROR(IF(OR($Q373="",$N373="",$S373=""),"",($Q373-$N373)*IF($G373="Buy",1,-1)*$S373*VLOOKUP($F373,'⚙️ Setelan'!$A$14:$F$20,4,FALSE)),"")</f>
        <v/>
      </c>
      <c r="W373" s="65" t="str">
        <f>IFERROR(IF(OR($S373="",$F373=""),"",$S373*VLOOKUP($F373,'⚙️ Setelan'!$A$14:$F$20,5,FALSE)),"")</f>
        <v/>
      </c>
      <c r="X373" s="65" t="str">
        <f t="shared" si="38"/>
        <v/>
      </c>
      <c r="Y373" s="63" t="str">
        <f t="shared" si="39"/>
        <v/>
      </c>
      <c r="Z373" s="58" t="str">
        <f t="shared" si="40"/>
        <v/>
      </c>
      <c r="AA373" s="66" t="str">
        <f t="shared" si="41"/>
        <v/>
      </c>
      <c r="AB373" s="62"/>
      <c r="AC373" s="62"/>
      <c r="AD373" s="63" t="str">
        <f>IFERROR(IF(OR($AB373="",$T373="",$T373=0),"",ROUND(ABS($N373-$AB373)*$S373*VLOOKUP($F373,'⚙️ Setelan'!$A$14:$F$20,4,FALSE)/$T373,2)),"")</f>
        <v/>
      </c>
      <c r="AE373" s="63" t="str">
        <f>IFERROR(IF(OR($AC373="",$T373="",$T373=0),"",ROUND(ABS($AC373-$N373)*$S373*VLOOKUP($F373,'⚙️ Setelan'!$A$14:$F$20,4,FALSE)/$T373,2)),"")</f>
        <v/>
      </c>
      <c r="AF373" s="61"/>
      <c r="AG373" s="61"/>
      <c r="AH373" s="61"/>
      <c r="AI373" s="61"/>
      <c r="AJ373" s="61"/>
      <c r="AK373" s="67"/>
      <c r="AL373" s="58" t="str">
        <f>IF(OR($C373="",$B373=""),"",IF(AND($Z372="Loss",$B373=$B372,MOD($C373-$D372,1)*1440&lt;'⚙️ Setelan'!$B$9),"⚠️ Revenge",""))</f>
        <v/>
      </c>
      <c r="AM373" s="68"/>
      <c r="AN373" s="58" t="str">
        <f>IF($AM373="","",IFERROR(_xlfn.IMAGE(IF(REGEXMATCH($AM373,"\.(png|jpg|jpeg|gif)$"),$AM373,"https://s3.tradingview.com/snapshots/"&amp;LOWER(MID(REGEXEXTRACT($AM373,"/x/([A-Za-z0-9]+)"),1,1))&amp;"/"&amp;REGEXEXTRACT($AM373,"/x/([A-Za-z0-9]+)")&amp;".png"),1),"⚠️ link tidak dikenali"))</f>
        <v/>
      </c>
      <c r="AO373" s="68"/>
      <c r="AP373" s="58" t="str">
        <f>IF($AO373="","",IFERROR(_xlfn.IMAGE(IF(REGEXMATCH($AO373,"\.(png|jpg|jpeg|gif)$"),$AO373,"https://s3.tradingview.com/snapshots/"&amp;LOWER(MID(REGEXEXTRACT($AO373,"/x/([A-Za-z0-9]+)"),1,1))&amp;"/"&amp;REGEXEXTRACT($AO373,"/x/([A-Za-z0-9]+)")&amp;".png"),1),"⚠️ link tidak dikenali"))</f>
        <v/>
      </c>
      <c r="AQ373" s="66">
        <f>IF($Z373="",0,IF(AND(OR('📊 Dashboard'!$B$4="(Semua)",$F373='📊 Dashboard'!$B$4),OR('📊 Dashboard'!$B$5="(Semua)",$H373='📊 Dashboard'!$B$5),OR('📊 Dashboard'!$B$6="(Semua)",$E373='📊 Dashboard'!$B$6),OR('📊 Dashboard'!$B$7="(Semua)",$AF373='📊 Dashboard'!$B$7),OR('📊 Dashboard'!$B$8="(Semua)",$AG373='📊 Dashboard'!$B$8),OR('📊 Dashboard'!$B$9="(Semua)",$K373='📊 Dashboard'!$B$9)),1,0))</f>
        <v>0</v>
      </c>
      <c r="AR373" s="69"/>
    </row>
    <row r="374" ht="58" customHeight="1" spans="1:44">
      <c r="A374" s="58" t="str">
        <f t="shared" si="35"/>
        <v/>
      </c>
      <c r="B374" s="59"/>
      <c r="C374" s="60"/>
      <c r="D374" s="60"/>
      <c r="E374" s="58" t="str">
        <f t="shared" si="36"/>
        <v/>
      </c>
      <c r="F374" s="61"/>
      <c r="G374" s="61"/>
      <c r="H374" s="61"/>
      <c r="I374" s="61"/>
      <c r="J374" s="61"/>
      <c r="K374" s="61"/>
      <c r="L374" s="61"/>
      <c r="M374" s="61"/>
      <c r="N374" s="62"/>
      <c r="O374" s="62"/>
      <c r="P374" s="62"/>
      <c r="Q374" s="62"/>
      <c r="R374" s="63" t="str">
        <f>IFERROR(IF(OR($N374="",$O374="",$F374=""),"",ROUND(('⚙️ Setelan'!$B$3*'⚙️ Setelan'!$B$4/100)/(ABS($N374-$O374)*VLOOKUP($F374,'⚙️ Setelan'!$A$14:$F$20,4,FALSE)),2)),"")</f>
        <v/>
      </c>
      <c r="S374" s="64"/>
      <c r="T374" s="65" t="str">
        <f>IFERROR(IF(OR($N374="",$O374="",$S374=""),"",ABS($N374-$O374)*$S374*VLOOKUP($F374,'⚙️ Setelan'!$A$14:$F$20,4,FALSE)),"")</f>
        <v/>
      </c>
      <c r="U374" s="63" t="str">
        <f t="shared" si="37"/>
        <v/>
      </c>
      <c r="V374" s="65" t="str">
        <f>IFERROR(IF(OR($Q374="",$N374="",$S374=""),"",($Q374-$N374)*IF($G374="Buy",1,-1)*$S374*VLOOKUP($F374,'⚙️ Setelan'!$A$14:$F$20,4,FALSE)),"")</f>
        <v/>
      </c>
      <c r="W374" s="65" t="str">
        <f>IFERROR(IF(OR($S374="",$F374=""),"",$S374*VLOOKUP($F374,'⚙️ Setelan'!$A$14:$F$20,5,FALSE)),"")</f>
        <v/>
      </c>
      <c r="X374" s="65" t="str">
        <f t="shared" si="38"/>
        <v/>
      </c>
      <c r="Y374" s="63" t="str">
        <f t="shared" si="39"/>
        <v/>
      </c>
      <c r="Z374" s="58" t="str">
        <f t="shared" si="40"/>
        <v/>
      </c>
      <c r="AA374" s="66" t="str">
        <f t="shared" si="41"/>
        <v/>
      </c>
      <c r="AB374" s="62"/>
      <c r="AC374" s="62"/>
      <c r="AD374" s="63" t="str">
        <f>IFERROR(IF(OR($AB374="",$T374="",$T374=0),"",ROUND(ABS($N374-$AB374)*$S374*VLOOKUP($F374,'⚙️ Setelan'!$A$14:$F$20,4,FALSE)/$T374,2)),"")</f>
        <v/>
      </c>
      <c r="AE374" s="63" t="str">
        <f>IFERROR(IF(OR($AC374="",$T374="",$T374=0),"",ROUND(ABS($AC374-$N374)*$S374*VLOOKUP($F374,'⚙️ Setelan'!$A$14:$F$20,4,FALSE)/$T374,2)),"")</f>
        <v/>
      </c>
      <c r="AF374" s="61"/>
      <c r="AG374" s="61"/>
      <c r="AH374" s="61"/>
      <c r="AI374" s="61"/>
      <c r="AJ374" s="61"/>
      <c r="AK374" s="67"/>
      <c r="AL374" s="58" t="str">
        <f>IF(OR($C374="",$B374=""),"",IF(AND($Z373="Loss",$B374=$B373,MOD($C374-$D373,1)*1440&lt;'⚙️ Setelan'!$B$9),"⚠️ Revenge",""))</f>
        <v/>
      </c>
      <c r="AM374" s="68"/>
      <c r="AN374" s="58" t="str">
        <f>IF($AM374="","",IFERROR(_xlfn.IMAGE(IF(REGEXMATCH($AM374,"\.(png|jpg|jpeg|gif)$"),$AM374,"https://s3.tradingview.com/snapshots/"&amp;LOWER(MID(REGEXEXTRACT($AM374,"/x/([A-Za-z0-9]+)"),1,1))&amp;"/"&amp;REGEXEXTRACT($AM374,"/x/([A-Za-z0-9]+)")&amp;".png"),1),"⚠️ link tidak dikenali"))</f>
        <v/>
      </c>
      <c r="AO374" s="68"/>
      <c r="AP374" s="58" t="str">
        <f>IF($AO374="","",IFERROR(_xlfn.IMAGE(IF(REGEXMATCH($AO374,"\.(png|jpg|jpeg|gif)$"),$AO374,"https://s3.tradingview.com/snapshots/"&amp;LOWER(MID(REGEXEXTRACT($AO374,"/x/([A-Za-z0-9]+)"),1,1))&amp;"/"&amp;REGEXEXTRACT($AO374,"/x/([A-Za-z0-9]+)")&amp;".png"),1),"⚠️ link tidak dikenali"))</f>
        <v/>
      </c>
      <c r="AQ374" s="66">
        <f>IF($Z374="",0,IF(AND(OR('📊 Dashboard'!$B$4="(Semua)",$F374='📊 Dashboard'!$B$4),OR('📊 Dashboard'!$B$5="(Semua)",$H374='📊 Dashboard'!$B$5),OR('📊 Dashboard'!$B$6="(Semua)",$E374='📊 Dashboard'!$B$6),OR('📊 Dashboard'!$B$7="(Semua)",$AF374='📊 Dashboard'!$B$7),OR('📊 Dashboard'!$B$8="(Semua)",$AG374='📊 Dashboard'!$B$8),OR('📊 Dashboard'!$B$9="(Semua)",$K374='📊 Dashboard'!$B$9)),1,0))</f>
        <v>0</v>
      </c>
      <c r="AR374" s="69"/>
    </row>
    <row r="375" ht="58" customHeight="1" spans="1:44">
      <c r="A375" s="58" t="str">
        <f t="shared" si="35"/>
        <v/>
      </c>
      <c r="B375" s="59"/>
      <c r="C375" s="60"/>
      <c r="D375" s="60"/>
      <c r="E375" s="58" t="str">
        <f t="shared" si="36"/>
        <v/>
      </c>
      <c r="F375" s="61"/>
      <c r="G375" s="61"/>
      <c r="H375" s="61"/>
      <c r="I375" s="61"/>
      <c r="J375" s="61"/>
      <c r="K375" s="61"/>
      <c r="L375" s="61"/>
      <c r="M375" s="61"/>
      <c r="N375" s="62"/>
      <c r="O375" s="62"/>
      <c r="P375" s="62"/>
      <c r="Q375" s="62"/>
      <c r="R375" s="63" t="str">
        <f>IFERROR(IF(OR($N375="",$O375="",$F375=""),"",ROUND(('⚙️ Setelan'!$B$3*'⚙️ Setelan'!$B$4/100)/(ABS($N375-$O375)*VLOOKUP($F375,'⚙️ Setelan'!$A$14:$F$20,4,FALSE)),2)),"")</f>
        <v/>
      </c>
      <c r="S375" s="64"/>
      <c r="T375" s="65" t="str">
        <f>IFERROR(IF(OR($N375="",$O375="",$S375=""),"",ABS($N375-$O375)*$S375*VLOOKUP($F375,'⚙️ Setelan'!$A$14:$F$20,4,FALSE)),"")</f>
        <v/>
      </c>
      <c r="U375" s="63" t="str">
        <f t="shared" si="37"/>
        <v/>
      </c>
      <c r="V375" s="65" t="str">
        <f>IFERROR(IF(OR($Q375="",$N375="",$S375=""),"",($Q375-$N375)*IF($G375="Buy",1,-1)*$S375*VLOOKUP($F375,'⚙️ Setelan'!$A$14:$F$20,4,FALSE)),"")</f>
        <v/>
      </c>
      <c r="W375" s="65" t="str">
        <f>IFERROR(IF(OR($S375="",$F375=""),"",$S375*VLOOKUP($F375,'⚙️ Setelan'!$A$14:$F$20,5,FALSE)),"")</f>
        <v/>
      </c>
      <c r="X375" s="65" t="str">
        <f t="shared" si="38"/>
        <v/>
      </c>
      <c r="Y375" s="63" t="str">
        <f t="shared" si="39"/>
        <v/>
      </c>
      <c r="Z375" s="58" t="str">
        <f t="shared" si="40"/>
        <v/>
      </c>
      <c r="AA375" s="66" t="str">
        <f t="shared" si="41"/>
        <v/>
      </c>
      <c r="AB375" s="62"/>
      <c r="AC375" s="62"/>
      <c r="AD375" s="63" t="str">
        <f>IFERROR(IF(OR($AB375="",$T375="",$T375=0),"",ROUND(ABS($N375-$AB375)*$S375*VLOOKUP($F375,'⚙️ Setelan'!$A$14:$F$20,4,FALSE)/$T375,2)),"")</f>
        <v/>
      </c>
      <c r="AE375" s="63" t="str">
        <f>IFERROR(IF(OR($AC375="",$T375="",$T375=0),"",ROUND(ABS($AC375-$N375)*$S375*VLOOKUP($F375,'⚙️ Setelan'!$A$14:$F$20,4,FALSE)/$T375,2)),"")</f>
        <v/>
      </c>
      <c r="AF375" s="61"/>
      <c r="AG375" s="61"/>
      <c r="AH375" s="61"/>
      <c r="AI375" s="61"/>
      <c r="AJ375" s="61"/>
      <c r="AK375" s="67"/>
      <c r="AL375" s="58" t="str">
        <f>IF(OR($C375="",$B375=""),"",IF(AND($Z374="Loss",$B375=$B374,MOD($C375-$D374,1)*1440&lt;'⚙️ Setelan'!$B$9),"⚠️ Revenge",""))</f>
        <v/>
      </c>
      <c r="AM375" s="68"/>
      <c r="AN375" s="58" t="str">
        <f>IF($AM375="","",IFERROR(_xlfn.IMAGE(IF(REGEXMATCH($AM375,"\.(png|jpg|jpeg|gif)$"),$AM375,"https://s3.tradingview.com/snapshots/"&amp;LOWER(MID(REGEXEXTRACT($AM375,"/x/([A-Za-z0-9]+)"),1,1))&amp;"/"&amp;REGEXEXTRACT($AM375,"/x/([A-Za-z0-9]+)")&amp;".png"),1),"⚠️ link tidak dikenali"))</f>
        <v/>
      </c>
      <c r="AO375" s="68"/>
      <c r="AP375" s="58" t="str">
        <f>IF($AO375="","",IFERROR(_xlfn.IMAGE(IF(REGEXMATCH($AO375,"\.(png|jpg|jpeg|gif)$"),$AO375,"https://s3.tradingview.com/snapshots/"&amp;LOWER(MID(REGEXEXTRACT($AO375,"/x/([A-Za-z0-9]+)"),1,1))&amp;"/"&amp;REGEXEXTRACT($AO375,"/x/([A-Za-z0-9]+)")&amp;".png"),1),"⚠️ link tidak dikenali"))</f>
        <v/>
      </c>
      <c r="AQ375" s="66">
        <f>IF($Z375="",0,IF(AND(OR('📊 Dashboard'!$B$4="(Semua)",$F375='📊 Dashboard'!$B$4),OR('📊 Dashboard'!$B$5="(Semua)",$H375='📊 Dashboard'!$B$5),OR('📊 Dashboard'!$B$6="(Semua)",$E375='📊 Dashboard'!$B$6),OR('📊 Dashboard'!$B$7="(Semua)",$AF375='📊 Dashboard'!$B$7),OR('📊 Dashboard'!$B$8="(Semua)",$AG375='📊 Dashboard'!$B$8),OR('📊 Dashboard'!$B$9="(Semua)",$K375='📊 Dashboard'!$B$9)),1,0))</f>
        <v>0</v>
      </c>
      <c r="AR375" s="69"/>
    </row>
    <row r="376" ht="58" customHeight="1" spans="1:44">
      <c r="A376" s="58" t="str">
        <f t="shared" si="35"/>
        <v/>
      </c>
      <c r="B376" s="59"/>
      <c r="C376" s="60"/>
      <c r="D376" s="60"/>
      <c r="E376" s="58" t="str">
        <f t="shared" si="36"/>
        <v/>
      </c>
      <c r="F376" s="61"/>
      <c r="G376" s="61"/>
      <c r="H376" s="61"/>
      <c r="I376" s="61"/>
      <c r="J376" s="61"/>
      <c r="K376" s="61"/>
      <c r="L376" s="61"/>
      <c r="M376" s="61"/>
      <c r="N376" s="62"/>
      <c r="O376" s="62"/>
      <c r="P376" s="62"/>
      <c r="Q376" s="62"/>
      <c r="R376" s="63" t="str">
        <f>IFERROR(IF(OR($N376="",$O376="",$F376=""),"",ROUND(('⚙️ Setelan'!$B$3*'⚙️ Setelan'!$B$4/100)/(ABS($N376-$O376)*VLOOKUP($F376,'⚙️ Setelan'!$A$14:$F$20,4,FALSE)),2)),"")</f>
        <v/>
      </c>
      <c r="S376" s="64"/>
      <c r="T376" s="65" t="str">
        <f>IFERROR(IF(OR($N376="",$O376="",$S376=""),"",ABS($N376-$O376)*$S376*VLOOKUP($F376,'⚙️ Setelan'!$A$14:$F$20,4,FALSE)),"")</f>
        <v/>
      </c>
      <c r="U376" s="63" t="str">
        <f t="shared" si="37"/>
        <v/>
      </c>
      <c r="V376" s="65" t="str">
        <f>IFERROR(IF(OR($Q376="",$N376="",$S376=""),"",($Q376-$N376)*IF($G376="Buy",1,-1)*$S376*VLOOKUP($F376,'⚙️ Setelan'!$A$14:$F$20,4,FALSE)),"")</f>
        <v/>
      </c>
      <c r="W376" s="65" t="str">
        <f>IFERROR(IF(OR($S376="",$F376=""),"",$S376*VLOOKUP($F376,'⚙️ Setelan'!$A$14:$F$20,5,FALSE)),"")</f>
        <v/>
      </c>
      <c r="X376" s="65" t="str">
        <f t="shared" si="38"/>
        <v/>
      </c>
      <c r="Y376" s="63" t="str">
        <f t="shared" si="39"/>
        <v/>
      </c>
      <c r="Z376" s="58" t="str">
        <f t="shared" si="40"/>
        <v/>
      </c>
      <c r="AA376" s="66" t="str">
        <f t="shared" si="41"/>
        <v/>
      </c>
      <c r="AB376" s="62"/>
      <c r="AC376" s="62"/>
      <c r="AD376" s="63" t="str">
        <f>IFERROR(IF(OR($AB376="",$T376="",$T376=0),"",ROUND(ABS($N376-$AB376)*$S376*VLOOKUP($F376,'⚙️ Setelan'!$A$14:$F$20,4,FALSE)/$T376,2)),"")</f>
        <v/>
      </c>
      <c r="AE376" s="63" t="str">
        <f>IFERROR(IF(OR($AC376="",$T376="",$T376=0),"",ROUND(ABS($AC376-$N376)*$S376*VLOOKUP($F376,'⚙️ Setelan'!$A$14:$F$20,4,FALSE)/$T376,2)),"")</f>
        <v/>
      </c>
      <c r="AF376" s="61"/>
      <c r="AG376" s="61"/>
      <c r="AH376" s="61"/>
      <c r="AI376" s="61"/>
      <c r="AJ376" s="61"/>
      <c r="AK376" s="67"/>
      <c r="AL376" s="58" t="str">
        <f>IF(OR($C376="",$B376=""),"",IF(AND($Z375="Loss",$B376=$B375,MOD($C376-$D375,1)*1440&lt;'⚙️ Setelan'!$B$9),"⚠️ Revenge",""))</f>
        <v/>
      </c>
      <c r="AM376" s="68"/>
      <c r="AN376" s="58" t="str">
        <f>IF($AM376="","",IFERROR(_xlfn.IMAGE(IF(REGEXMATCH($AM376,"\.(png|jpg|jpeg|gif)$"),$AM376,"https://s3.tradingview.com/snapshots/"&amp;LOWER(MID(REGEXEXTRACT($AM376,"/x/([A-Za-z0-9]+)"),1,1))&amp;"/"&amp;REGEXEXTRACT($AM376,"/x/([A-Za-z0-9]+)")&amp;".png"),1),"⚠️ link tidak dikenali"))</f>
        <v/>
      </c>
      <c r="AO376" s="68"/>
      <c r="AP376" s="58" t="str">
        <f>IF($AO376="","",IFERROR(_xlfn.IMAGE(IF(REGEXMATCH($AO376,"\.(png|jpg|jpeg|gif)$"),$AO376,"https://s3.tradingview.com/snapshots/"&amp;LOWER(MID(REGEXEXTRACT($AO376,"/x/([A-Za-z0-9]+)"),1,1))&amp;"/"&amp;REGEXEXTRACT($AO376,"/x/([A-Za-z0-9]+)")&amp;".png"),1),"⚠️ link tidak dikenali"))</f>
        <v/>
      </c>
      <c r="AQ376" s="66">
        <f>IF($Z376="",0,IF(AND(OR('📊 Dashboard'!$B$4="(Semua)",$F376='📊 Dashboard'!$B$4),OR('📊 Dashboard'!$B$5="(Semua)",$H376='📊 Dashboard'!$B$5),OR('📊 Dashboard'!$B$6="(Semua)",$E376='📊 Dashboard'!$B$6),OR('📊 Dashboard'!$B$7="(Semua)",$AF376='📊 Dashboard'!$B$7),OR('📊 Dashboard'!$B$8="(Semua)",$AG376='📊 Dashboard'!$B$8),OR('📊 Dashboard'!$B$9="(Semua)",$K376='📊 Dashboard'!$B$9)),1,0))</f>
        <v>0</v>
      </c>
      <c r="AR376" s="69"/>
    </row>
    <row r="377" ht="58" customHeight="1" spans="1:44">
      <c r="A377" s="58" t="str">
        <f t="shared" si="35"/>
        <v/>
      </c>
      <c r="B377" s="59"/>
      <c r="C377" s="60"/>
      <c r="D377" s="60"/>
      <c r="E377" s="58" t="str">
        <f t="shared" si="36"/>
        <v/>
      </c>
      <c r="F377" s="61"/>
      <c r="G377" s="61"/>
      <c r="H377" s="61"/>
      <c r="I377" s="61"/>
      <c r="J377" s="61"/>
      <c r="K377" s="61"/>
      <c r="L377" s="61"/>
      <c r="M377" s="61"/>
      <c r="N377" s="62"/>
      <c r="O377" s="62"/>
      <c r="P377" s="62"/>
      <c r="Q377" s="62"/>
      <c r="R377" s="63" t="str">
        <f>IFERROR(IF(OR($N377="",$O377="",$F377=""),"",ROUND(('⚙️ Setelan'!$B$3*'⚙️ Setelan'!$B$4/100)/(ABS($N377-$O377)*VLOOKUP($F377,'⚙️ Setelan'!$A$14:$F$20,4,FALSE)),2)),"")</f>
        <v/>
      </c>
      <c r="S377" s="64"/>
      <c r="T377" s="65" t="str">
        <f>IFERROR(IF(OR($N377="",$O377="",$S377=""),"",ABS($N377-$O377)*$S377*VLOOKUP($F377,'⚙️ Setelan'!$A$14:$F$20,4,FALSE)),"")</f>
        <v/>
      </c>
      <c r="U377" s="63" t="str">
        <f t="shared" si="37"/>
        <v/>
      </c>
      <c r="V377" s="65" t="str">
        <f>IFERROR(IF(OR($Q377="",$N377="",$S377=""),"",($Q377-$N377)*IF($G377="Buy",1,-1)*$S377*VLOOKUP($F377,'⚙️ Setelan'!$A$14:$F$20,4,FALSE)),"")</f>
        <v/>
      </c>
      <c r="W377" s="65" t="str">
        <f>IFERROR(IF(OR($S377="",$F377=""),"",$S377*VLOOKUP($F377,'⚙️ Setelan'!$A$14:$F$20,5,FALSE)),"")</f>
        <v/>
      </c>
      <c r="X377" s="65" t="str">
        <f t="shared" si="38"/>
        <v/>
      </c>
      <c r="Y377" s="63" t="str">
        <f t="shared" si="39"/>
        <v/>
      </c>
      <c r="Z377" s="58" t="str">
        <f t="shared" si="40"/>
        <v/>
      </c>
      <c r="AA377" s="66" t="str">
        <f t="shared" si="41"/>
        <v/>
      </c>
      <c r="AB377" s="62"/>
      <c r="AC377" s="62"/>
      <c r="AD377" s="63" t="str">
        <f>IFERROR(IF(OR($AB377="",$T377="",$T377=0),"",ROUND(ABS($N377-$AB377)*$S377*VLOOKUP($F377,'⚙️ Setelan'!$A$14:$F$20,4,FALSE)/$T377,2)),"")</f>
        <v/>
      </c>
      <c r="AE377" s="63" t="str">
        <f>IFERROR(IF(OR($AC377="",$T377="",$T377=0),"",ROUND(ABS($AC377-$N377)*$S377*VLOOKUP($F377,'⚙️ Setelan'!$A$14:$F$20,4,FALSE)/$T377,2)),"")</f>
        <v/>
      </c>
      <c r="AF377" s="61"/>
      <c r="AG377" s="61"/>
      <c r="AH377" s="61"/>
      <c r="AI377" s="61"/>
      <c r="AJ377" s="61"/>
      <c r="AK377" s="67"/>
      <c r="AL377" s="58" t="str">
        <f>IF(OR($C377="",$B377=""),"",IF(AND($Z376="Loss",$B377=$B376,MOD($C377-$D376,1)*1440&lt;'⚙️ Setelan'!$B$9),"⚠️ Revenge",""))</f>
        <v/>
      </c>
      <c r="AM377" s="68"/>
      <c r="AN377" s="58" t="str">
        <f>IF($AM377="","",IFERROR(_xlfn.IMAGE(IF(REGEXMATCH($AM377,"\.(png|jpg|jpeg|gif)$"),$AM377,"https://s3.tradingview.com/snapshots/"&amp;LOWER(MID(REGEXEXTRACT($AM377,"/x/([A-Za-z0-9]+)"),1,1))&amp;"/"&amp;REGEXEXTRACT($AM377,"/x/([A-Za-z0-9]+)")&amp;".png"),1),"⚠️ link tidak dikenali"))</f>
        <v/>
      </c>
      <c r="AO377" s="68"/>
      <c r="AP377" s="58" t="str">
        <f>IF($AO377="","",IFERROR(_xlfn.IMAGE(IF(REGEXMATCH($AO377,"\.(png|jpg|jpeg|gif)$"),$AO377,"https://s3.tradingview.com/snapshots/"&amp;LOWER(MID(REGEXEXTRACT($AO377,"/x/([A-Za-z0-9]+)"),1,1))&amp;"/"&amp;REGEXEXTRACT($AO377,"/x/([A-Za-z0-9]+)")&amp;".png"),1),"⚠️ link tidak dikenali"))</f>
        <v/>
      </c>
      <c r="AQ377" s="66">
        <f>IF($Z377="",0,IF(AND(OR('📊 Dashboard'!$B$4="(Semua)",$F377='📊 Dashboard'!$B$4),OR('📊 Dashboard'!$B$5="(Semua)",$H377='📊 Dashboard'!$B$5),OR('📊 Dashboard'!$B$6="(Semua)",$E377='📊 Dashboard'!$B$6),OR('📊 Dashboard'!$B$7="(Semua)",$AF377='📊 Dashboard'!$B$7),OR('📊 Dashboard'!$B$8="(Semua)",$AG377='📊 Dashboard'!$B$8),OR('📊 Dashboard'!$B$9="(Semua)",$K377='📊 Dashboard'!$B$9)),1,0))</f>
        <v>0</v>
      </c>
      <c r="AR377" s="69"/>
    </row>
    <row r="378" ht="58" customHeight="1" spans="1:44">
      <c r="A378" s="58" t="str">
        <f t="shared" si="35"/>
        <v/>
      </c>
      <c r="B378" s="59"/>
      <c r="C378" s="60"/>
      <c r="D378" s="60"/>
      <c r="E378" s="58" t="str">
        <f t="shared" si="36"/>
        <v/>
      </c>
      <c r="F378" s="61"/>
      <c r="G378" s="61"/>
      <c r="H378" s="61"/>
      <c r="I378" s="61"/>
      <c r="J378" s="61"/>
      <c r="K378" s="61"/>
      <c r="L378" s="61"/>
      <c r="M378" s="61"/>
      <c r="N378" s="62"/>
      <c r="O378" s="62"/>
      <c r="P378" s="62"/>
      <c r="Q378" s="62"/>
      <c r="R378" s="63" t="str">
        <f>IFERROR(IF(OR($N378="",$O378="",$F378=""),"",ROUND(('⚙️ Setelan'!$B$3*'⚙️ Setelan'!$B$4/100)/(ABS($N378-$O378)*VLOOKUP($F378,'⚙️ Setelan'!$A$14:$F$20,4,FALSE)),2)),"")</f>
        <v/>
      </c>
      <c r="S378" s="64"/>
      <c r="T378" s="65" t="str">
        <f>IFERROR(IF(OR($N378="",$O378="",$S378=""),"",ABS($N378-$O378)*$S378*VLOOKUP($F378,'⚙️ Setelan'!$A$14:$F$20,4,FALSE)),"")</f>
        <v/>
      </c>
      <c r="U378" s="63" t="str">
        <f t="shared" si="37"/>
        <v/>
      </c>
      <c r="V378" s="65" t="str">
        <f>IFERROR(IF(OR($Q378="",$N378="",$S378=""),"",($Q378-$N378)*IF($G378="Buy",1,-1)*$S378*VLOOKUP($F378,'⚙️ Setelan'!$A$14:$F$20,4,FALSE)),"")</f>
        <v/>
      </c>
      <c r="W378" s="65" t="str">
        <f>IFERROR(IF(OR($S378="",$F378=""),"",$S378*VLOOKUP($F378,'⚙️ Setelan'!$A$14:$F$20,5,FALSE)),"")</f>
        <v/>
      </c>
      <c r="X378" s="65" t="str">
        <f t="shared" si="38"/>
        <v/>
      </c>
      <c r="Y378" s="63" t="str">
        <f t="shared" si="39"/>
        <v/>
      </c>
      <c r="Z378" s="58" t="str">
        <f t="shared" si="40"/>
        <v/>
      </c>
      <c r="AA378" s="66" t="str">
        <f t="shared" si="41"/>
        <v/>
      </c>
      <c r="AB378" s="62"/>
      <c r="AC378" s="62"/>
      <c r="AD378" s="63" t="str">
        <f>IFERROR(IF(OR($AB378="",$T378="",$T378=0),"",ROUND(ABS($N378-$AB378)*$S378*VLOOKUP($F378,'⚙️ Setelan'!$A$14:$F$20,4,FALSE)/$T378,2)),"")</f>
        <v/>
      </c>
      <c r="AE378" s="63" t="str">
        <f>IFERROR(IF(OR($AC378="",$T378="",$T378=0),"",ROUND(ABS($AC378-$N378)*$S378*VLOOKUP($F378,'⚙️ Setelan'!$A$14:$F$20,4,FALSE)/$T378,2)),"")</f>
        <v/>
      </c>
      <c r="AF378" s="61"/>
      <c r="AG378" s="61"/>
      <c r="AH378" s="61"/>
      <c r="AI378" s="61"/>
      <c r="AJ378" s="61"/>
      <c r="AK378" s="67"/>
      <c r="AL378" s="58" t="str">
        <f>IF(OR($C378="",$B378=""),"",IF(AND($Z377="Loss",$B378=$B377,MOD($C378-$D377,1)*1440&lt;'⚙️ Setelan'!$B$9),"⚠️ Revenge",""))</f>
        <v/>
      </c>
      <c r="AM378" s="68"/>
      <c r="AN378" s="58" t="str">
        <f>IF($AM378="","",IFERROR(_xlfn.IMAGE(IF(REGEXMATCH($AM378,"\.(png|jpg|jpeg|gif)$"),$AM378,"https://s3.tradingview.com/snapshots/"&amp;LOWER(MID(REGEXEXTRACT($AM378,"/x/([A-Za-z0-9]+)"),1,1))&amp;"/"&amp;REGEXEXTRACT($AM378,"/x/([A-Za-z0-9]+)")&amp;".png"),1),"⚠️ link tidak dikenali"))</f>
        <v/>
      </c>
      <c r="AO378" s="68"/>
      <c r="AP378" s="58" t="str">
        <f>IF($AO378="","",IFERROR(_xlfn.IMAGE(IF(REGEXMATCH($AO378,"\.(png|jpg|jpeg|gif)$"),$AO378,"https://s3.tradingview.com/snapshots/"&amp;LOWER(MID(REGEXEXTRACT($AO378,"/x/([A-Za-z0-9]+)"),1,1))&amp;"/"&amp;REGEXEXTRACT($AO378,"/x/([A-Za-z0-9]+)")&amp;".png"),1),"⚠️ link tidak dikenali"))</f>
        <v/>
      </c>
      <c r="AQ378" s="66">
        <f>IF($Z378="",0,IF(AND(OR('📊 Dashboard'!$B$4="(Semua)",$F378='📊 Dashboard'!$B$4),OR('📊 Dashboard'!$B$5="(Semua)",$H378='📊 Dashboard'!$B$5),OR('📊 Dashboard'!$B$6="(Semua)",$E378='📊 Dashboard'!$B$6),OR('📊 Dashboard'!$B$7="(Semua)",$AF378='📊 Dashboard'!$B$7),OR('📊 Dashboard'!$B$8="(Semua)",$AG378='📊 Dashboard'!$B$8),OR('📊 Dashboard'!$B$9="(Semua)",$K378='📊 Dashboard'!$B$9)),1,0))</f>
        <v>0</v>
      </c>
      <c r="AR378" s="69"/>
    </row>
    <row r="379" ht="58" customHeight="1" spans="1:44">
      <c r="A379" s="58" t="str">
        <f t="shared" si="35"/>
        <v/>
      </c>
      <c r="B379" s="59"/>
      <c r="C379" s="60"/>
      <c r="D379" s="60"/>
      <c r="E379" s="58" t="str">
        <f t="shared" si="36"/>
        <v/>
      </c>
      <c r="F379" s="61"/>
      <c r="G379" s="61"/>
      <c r="H379" s="61"/>
      <c r="I379" s="61"/>
      <c r="J379" s="61"/>
      <c r="K379" s="61"/>
      <c r="L379" s="61"/>
      <c r="M379" s="61"/>
      <c r="N379" s="62"/>
      <c r="O379" s="62"/>
      <c r="P379" s="62"/>
      <c r="Q379" s="62"/>
      <c r="R379" s="63" t="str">
        <f>IFERROR(IF(OR($N379="",$O379="",$F379=""),"",ROUND(('⚙️ Setelan'!$B$3*'⚙️ Setelan'!$B$4/100)/(ABS($N379-$O379)*VLOOKUP($F379,'⚙️ Setelan'!$A$14:$F$20,4,FALSE)),2)),"")</f>
        <v/>
      </c>
      <c r="S379" s="64"/>
      <c r="T379" s="65" t="str">
        <f>IFERROR(IF(OR($N379="",$O379="",$S379=""),"",ABS($N379-$O379)*$S379*VLOOKUP($F379,'⚙️ Setelan'!$A$14:$F$20,4,FALSE)),"")</f>
        <v/>
      </c>
      <c r="U379" s="63" t="str">
        <f t="shared" si="37"/>
        <v/>
      </c>
      <c r="V379" s="65" t="str">
        <f>IFERROR(IF(OR($Q379="",$N379="",$S379=""),"",($Q379-$N379)*IF($G379="Buy",1,-1)*$S379*VLOOKUP($F379,'⚙️ Setelan'!$A$14:$F$20,4,FALSE)),"")</f>
        <v/>
      </c>
      <c r="W379" s="65" t="str">
        <f>IFERROR(IF(OR($S379="",$F379=""),"",$S379*VLOOKUP($F379,'⚙️ Setelan'!$A$14:$F$20,5,FALSE)),"")</f>
        <v/>
      </c>
      <c r="X379" s="65" t="str">
        <f t="shared" si="38"/>
        <v/>
      </c>
      <c r="Y379" s="63" t="str">
        <f t="shared" si="39"/>
        <v/>
      </c>
      <c r="Z379" s="58" t="str">
        <f t="shared" si="40"/>
        <v/>
      </c>
      <c r="AA379" s="66" t="str">
        <f t="shared" si="41"/>
        <v/>
      </c>
      <c r="AB379" s="62"/>
      <c r="AC379" s="62"/>
      <c r="AD379" s="63" t="str">
        <f>IFERROR(IF(OR($AB379="",$T379="",$T379=0),"",ROUND(ABS($N379-$AB379)*$S379*VLOOKUP($F379,'⚙️ Setelan'!$A$14:$F$20,4,FALSE)/$T379,2)),"")</f>
        <v/>
      </c>
      <c r="AE379" s="63" t="str">
        <f>IFERROR(IF(OR($AC379="",$T379="",$T379=0),"",ROUND(ABS($AC379-$N379)*$S379*VLOOKUP($F379,'⚙️ Setelan'!$A$14:$F$20,4,FALSE)/$T379,2)),"")</f>
        <v/>
      </c>
      <c r="AF379" s="61"/>
      <c r="AG379" s="61"/>
      <c r="AH379" s="61"/>
      <c r="AI379" s="61"/>
      <c r="AJ379" s="61"/>
      <c r="AK379" s="67"/>
      <c r="AL379" s="58" t="str">
        <f>IF(OR($C379="",$B379=""),"",IF(AND($Z378="Loss",$B379=$B378,MOD($C379-$D378,1)*1440&lt;'⚙️ Setelan'!$B$9),"⚠️ Revenge",""))</f>
        <v/>
      </c>
      <c r="AM379" s="68"/>
      <c r="AN379" s="58" t="str">
        <f>IF($AM379="","",IFERROR(_xlfn.IMAGE(IF(REGEXMATCH($AM379,"\.(png|jpg|jpeg|gif)$"),$AM379,"https://s3.tradingview.com/snapshots/"&amp;LOWER(MID(REGEXEXTRACT($AM379,"/x/([A-Za-z0-9]+)"),1,1))&amp;"/"&amp;REGEXEXTRACT($AM379,"/x/([A-Za-z0-9]+)")&amp;".png"),1),"⚠️ link tidak dikenali"))</f>
        <v/>
      </c>
      <c r="AO379" s="68"/>
      <c r="AP379" s="58" t="str">
        <f>IF($AO379="","",IFERROR(_xlfn.IMAGE(IF(REGEXMATCH($AO379,"\.(png|jpg|jpeg|gif)$"),$AO379,"https://s3.tradingview.com/snapshots/"&amp;LOWER(MID(REGEXEXTRACT($AO379,"/x/([A-Za-z0-9]+)"),1,1))&amp;"/"&amp;REGEXEXTRACT($AO379,"/x/([A-Za-z0-9]+)")&amp;".png"),1),"⚠️ link tidak dikenali"))</f>
        <v/>
      </c>
      <c r="AQ379" s="66">
        <f>IF($Z379="",0,IF(AND(OR('📊 Dashboard'!$B$4="(Semua)",$F379='📊 Dashboard'!$B$4),OR('📊 Dashboard'!$B$5="(Semua)",$H379='📊 Dashboard'!$B$5),OR('📊 Dashboard'!$B$6="(Semua)",$E379='📊 Dashboard'!$B$6),OR('📊 Dashboard'!$B$7="(Semua)",$AF379='📊 Dashboard'!$B$7),OR('📊 Dashboard'!$B$8="(Semua)",$AG379='📊 Dashboard'!$B$8),OR('📊 Dashboard'!$B$9="(Semua)",$K379='📊 Dashboard'!$B$9)),1,0))</f>
        <v>0</v>
      </c>
      <c r="AR379" s="69"/>
    </row>
    <row r="380" ht="58" customHeight="1" spans="1:44">
      <c r="A380" s="58" t="str">
        <f t="shared" si="35"/>
        <v/>
      </c>
      <c r="B380" s="59"/>
      <c r="C380" s="60"/>
      <c r="D380" s="60"/>
      <c r="E380" s="58" t="str">
        <f t="shared" si="36"/>
        <v/>
      </c>
      <c r="F380" s="61"/>
      <c r="G380" s="61"/>
      <c r="H380" s="61"/>
      <c r="I380" s="61"/>
      <c r="J380" s="61"/>
      <c r="K380" s="61"/>
      <c r="L380" s="61"/>
      <c r="M380" s="61"/>
      <c r="N380" s="62"/>
      <c r="O380" s="62"/>
      <c r="P380" s="62"/>
      <c r="Q380" s="62"/>
      <c r="R380" s="63" t="str">
        <f>IFERROR(IF(OR($N380="",$O380="",$F380=""),"",ROUND(('⚙️ Setelan'!$B$3*'⚙️ Setelan'!$B$4/100)/(ABS($N380-$O380)*VLOOKUP($F380,'⚙️ Setelan'!$A$14:$F$20,4,FALSE)),2)),"")</f>
        <v/>
      </c>
      <c r="S380" s="64"/>
      <c r="T380" s="65" t="str">
        <f>IFERROR(IF(OR($N380="",$O380="",$S380=""),"",ABS($N380-$O380)*$S380*VLOOKUP($F380,'⚙️ Setelan'!$A$14:$F$20,4,FALSE)),"")</f>
        <v/>
      </c>
      <c r="U380" s="63" t="str">
        <f t="shared" si="37"/>
        <v/>
      </c>
      <c r="V380" s="65" t="str">
        <f>IFERROR(IF(OR($Q380="",$N380="",$S380=""),"",($Q380-$N380)*IF($G380="Buy",1,-1)*$S380*VLOOKUP($F380,'⚙️ Setelan'!$A$14:$F$20,4,FALSE)),"")</f>
        <v/>
      </c>
      <c r="W380" s="65" t="str">
        <f>IFERROR(IF(OR($S380="",$F380=""),"",$S380*VLOOKUP($F380,'⚙️ Setelan'!$A$14:$F$20,5,FALSE)),"")</f>
        <v/>
      </c>
      <c r="X380" s="65" t="str">
        <f t="shared" si="38"/>
        <v/>
      </c>
      <c r="Y380" s="63" t="str">
        <f t="shared" si="39"/>
        <v/>
      </c>
      <c r="Z380" s="58" t="str">
        <f t="shared" si="40"/>
        <v/>
      </c>
      <c r="AA380" s="66" t="str">
        <f t="shared" si="41"/>
        <v/>
      </c>
      <c r="AB380" s="62"/>
      <c r="AC380" s="62"/>
      <c r="AD380" s="63" t="str">
        <f>IFERROR(IF(OR($AB380="",$T380="",$T380=0),"",ROUND(ABS($N380-$AB380)*$S380*VLOOKUP($F380,'⚙️ Setelan'!$A$14:$F$20,4,FALSE)/$T380,2)),"")</f>
        <v/>
      </c>
      <c r="AE380" s="63" t="str">
        <f>IFERROR(IF(OR($AC380="",$T380="",$T380=0),"",ROUND(ABS($AC380-$N380)*$S380*VLOOKUP($F380,'⚙️ Setelan'!$A$14:$F$20,4,FALSE)/$T380,2)),"")</f>
        <v/>
      </c>
      <c r="AF380" s="61"/>
      <c r="AG380" s="61"/>
      <c r="AH380" s="61"/>
      <c r="AI380" s="61"/>
      <c r="AJ380" s="61"/>
      <c r="AK380" s="67"/>
      <c r="AL380" s="58" t="str">
        <f>IF(OR($C380="",$B380=""),"",IF(AND($Z379="Loss",$B380=$B379,MOD($C380-$D379,1)*1440&lt;'⚙️ Setelan'!$B$9),"⚠️ Revenge",""))</f>
        <v/>
      </c>
      <c r="AM380" s="68"/>
      <c r="AN380" s="58" t="str">
        <f>IF($AM380="","",IFERROR(_xlfn.IMAGE(IF(REGEXMATCH($AM380,"\.(png|jpg|jpeg|gif)$"),$AM380,"https://s3.tradingview.com/snapshots/"&amp;LOWER(MID(REGEXEXTRACT($AM380,"/x/([A-Za-z0-9]+)"),1,1))&amp;"/"&amp;REGEXEXTRACT($AM380,"/x/([A-Za-z0-9]+)")&amp;".png"),1),"⚠️ link tidak dikenali"))</f>
        <v/>
      </c>
      <c r="AO380" s="68"/>
      <c r="AP380" s="58" t="str">
        <f>IF($AO380="","",IFERROR(_xlfn.IMAGE(IF(REGEXMATCH($AO380,"\.(png|jpg|jpeg|gif)$"),$AO380,"https://s3.tradingview.com/snapshots/"&amp;LOWER(MID(REGEXEXTRACT($AO380,"/x/([A-Za-z0-9]+)"),1,1))&amp;"/"&amp;REGEXEXTRACT($AO380,"/x/([A-Za-z0-9]+)")&amp;".png"),1),"⚠️ link tidak dikenali"))</f>
        <v/>
      </c>
      <c r="AQ380" s="66">
        <f>IF($Z380="",0,IF(AND(OR('📊 Dashboard'!$B$4="(Semua)",$F380='📊 Dashboard'!$B$4),OR('📊 Dashboard'!$B$5="(Semua)",$H380='📊 Dashboard'!$B$5),OR('📊 Dashboard'!$B$6="(Semua)",$E380='📊 Dashboard'!$B$6),OR('📊 Dashboard'!$B$7="(Semua)",$AF380='📊 Dashboard'!$B$7),OR('📊 Dashboard'!$B$8="(Semua)",$AG380='📊 Dashboard'!$B$8),OR('📊 Dashboard'!$B$9="(Semua)",$K380='📊 Dashboard'!$B$9)),1,0))</f>
        <v>0</v>
      </c>
      <c r="AR380" s="69"/>
    </row>
    <row r="381" ht="58" customHeight="1" spans="1:44">
      <c r="A381" s="58" t="str">
        <f t="shared" si="35"/>
        <v/>
      </c>
      <c r="B381" s="59"/>
      <c r="C381" s="60"/>
      <c r="D381" s="60"/>
      <c r="E381" s="58" t="str">
        <f t="shared" si="36"/>
        <v/>
      </c>
      <c r="F381" s="61"/>
      <c r="G381" s="61"/>
      <c r="H381" s="61"/>
      <c r="I381" s="61"/>
      <c r="J381" s="61"/>
      <c r="K381" s="61"/>
      <c r="L381" s="61"/>
      <c r="M381" s="61"/>
      <c r="N381" s="62"/>
      <c r="O381" s="62"/>
      <c r="P381" s="62"/>
      <c r="Q381" s="62"/>
      <c r="R381" s="63" t="str">
        <f>IFERROR(IF(OR($N381="",$O381="",$F381=""),"",ROUND(('⚙️ Setelan'!$B$3*'⚙️ Setelan'!$B$4/100)/(ABS($N381-$O381)*VLOOKUP($F381,'⚙️ Setelan'!$A$14:$F$20,4,FALSE)),2)),"")</f>
        <v/>
      </c>
      <c r="S381" s="64"/>
      <c r="T381" s="65" t="str">
        <f>IFERROR(IF(OR($N381="",$O381="",$S381=""),"",ABS($N381-$O381)*$S381*VLOOKUP($F381,'⚙️ Setelan'!$A$14:$F$20,4,FALSE)),"")</f>
        <v/>
      </c>
      <c r="U381" s="63" t="str">
        <f t="shared" si="37"/>
        <v/>
      </c>
      <c r="V381" s="65" t="str">
        <f>IFERROR(IF(OR($Q381="",$N381="",$S381=""),"",($Q381-$N381)*IF($G381="Buy",1,-1)*$S381*VLOOKUP($F381,'⚙️ Setelan'!$A$14:$F$20,4,FALSE)),"")</f>
        <v/>
      </c>
      <c r="W381" s="65" t="str">
        <f>IFERROR(IF(OR($S381="",$F381=""),"",$S381*VLOOKUP($F381,'⚙️ Setelan'!$A$14:$F$20,5,FALSE)),"")</f>
        <v/>
      </c>
      <c r="X381" s="65" t="str">
        <f t="shared" si="38"/>
        <v/>
      </c>
      <c r="Y381" s="63" t="str">
        <f t="shared" si="39"/>
        <v/>
      </c>
      <c r="Z381" s="58" t="str">
        <f t="shared" si="40"/>
        <v/>
      </c>
      <c r="AA381" s="66" t="str">
        <f t="shared" si="41"/>
        <v/>
      </c>
      <c r="AB381" s="62"/>
      <c r="AC381" s="62"/>
      <c r="AD381" s="63" t="str">
        <f>IFERROR(IF(OR($AB381="",$T381="",$T381=0),"",ROUND(ABS($N381-$AB381)*$S381*VLOOKUP($F381,'⚙️ Setelan'!$A$14:$F$20,4,FALSE)/$T381,2)),"")</f>
        <v/>
      </c>
      <c r="AE381" s="63" t="str">
        <f>IFERROR(IF(OR($AC381="",$T381="",$T381=0),"",ROUND(ABS($AC381-$N381)*$S381*VLOOKUP($F381,'⚙️ Setelan'!$A$14:$F$20,4,FALSE)/$T381,2)),"")</f>
        <v/>
      </c>
      <c r="AF381" s="61"/>
      <c r="AG381" s="61"/>
      <c r="AH381" s="61"/>
      <c r="AI381" s="61"/>
      <c r="AJ381" s="61"/>
      <c r="AK381" s="67"/>
      <c r="AL381" s="58" t="str">
        <f>IF(OR($C381="",$B381=""),"",IF(AND($Z380="Loss",$B381=$B380,MOD($C381-$D380,1)*1440&lt;'⚙️ Setelan'!$B$9),"⚠️ Revenge",""))</f>
        <v/>
      </c>
      <c r="AM381" s="68"/>
      <c r="AN381" s="58" t="str">
        <f>IF($AM381="","",IFERROR(_xlfn.IMAGE(IF(REGEXMATCH($AM381,"\.(png|jpg|jpeg|gif)$"),$AM381,"https://s3.tradingview.com/snapshots/"&amp;LOWER(MID(REGEXEXTRACT($AM381,"/x/([A-Za-z0-9]+)"),1,1))&amp;"/"&amp;REGEXEXTRACT($AM381,"/x/([A-Za-z0-9]+)")&amp;".png"),1),"⚠️ link tidak dikenali"))</f>
        <v/>
      </c>
      <c r="AO381" s="68"/>
      <c r="AP381" s="58" t="str">
        <f>IF($AO381="","",IFERROR(_xlfn.IMAGE(IF(REGEXMATCH($AO381,"\.(png|jpg|jpeg|gif)$"),$AO381,"https://s3.tradingview.com/snapshots/"&amp;LOWER(MID(REGEXEXTRACT($AO381,"/x/([A-Za-z0-9]+)"),1,1))&amp;"/"&amp;REGEXEXTRACT($AO381,"/x/([A-Za-z0-9]+)")&amp;".png"),1),"⚠️ link tidak dikenali"))</f>
        <v/>
      </c>
      <c r="AQ381" s="66">
        <f>IF($Z381="",0,IF(AND(OR('📊 Dashboard'!$B$4="(Semua)",$F381='📊 Dashboard'!$B$4),OR('📊 Dashboard'!$B$5="(Semua)",$H381='📊 Dashboard'!$B$5),OR('📊 Dashboard'!$B$6="(Semua)",$E381='📊 Dashboard'!$B$6),OR('📊 Dashboard'!$B$7="(Semua)",$AF381='📊 Dashboard'!$B$7),OR('📊 Dashboard'!$B$8="(Semua)",$AG381='📊 Dashboard'!$B$8),OR('📊 Dashboard'!$B$9="(Semua)",$K381='📊 Dashboard'!$B$9)),1,0))</f>
        <v>0</v>
      </c>
      <c r="AR381" s="69"/>
    </row>
    <row r="382" ht="58" customHeight="1" spans="1:44">
      <c r="A382" s="58" t="str">
        <f t="shared" si="35"/>
        <v/>
      </c>
      <c r="B382" s="59"/>
      <c r="C382" s="60"/>
      <c r="D382" s="60"/>
      <c r="E382" s="58" t="str">
        <f t="shared" si="36"/>
        <v/>
      </c>
      <c r="F382" s="61"/>
      <c r="G382" s="61"/>
      <c r="H382" s="61"/>
      <c r="I382" s="61"/>
      <c r="J382" s="61"/>
      <c r="K382" s="61"/>
      <c r="L382" s="61"/>
      <c r="M382" s="61"/>
      <c r="N382" s="62"/>
      <c r="O382" s="62"/>
      <c r="P382" s="62"/>
      <c r="Q382" s="62"/>
      <c r="R382" s="63" t="str">
        <f>IFERROR(IF(OR($N382="",$O382="",$F382=""),"",ROUND(('⚙️ Setelan'!$B$3*'⚙️ Setelan'!$B$4/100)/(ABS($N382-$O382)*VLOOKUP($F382,'⚙️ Setelan'!$A$14:$F$20,4,FALSE)),2)),"")</f>
        <v/>
      </c>
      <c r="S382" s="64"/>
      <c r="T382" s="65" t="str">
        <f>IFERROR(IF(OR($N382="",$O382="",$S382=""),"",ABS($N382-$O382)*$S382*VLOOKUP($F382,'⚙️ Setelan'!$A$14:$F$20,4,FALSE)),"")</f>
        <v/>
      </c>
      <c r="U382" s="63" t="str">
        <f t="shared" si="37"/>
        <v/>
      </c>
      <c r="V382" s="65" t="str">
        <f>IFERROR(IF(OR($Q382="",$N382="",$S382=""),"",($Q382-$N382)*IF($G382="Buy",1,-1)*$S382*VLOOKUP($F382,'⚙️ Setelan'!$A$14:$F$20,4,FALSE)),"")</f>
        <v/>
      </c>
      <c r="W382" s="65" t="str">
        <f>IFERROR(IF(OR($S382="",$F382=""),"",$S382*VLOOKUP($F382,'⚙️ Setelan'!$A$14:$F$20,5,FALSE)),"")</f>
        <v/>
      </c>
      <c r="X382" s="65" t="str">
        <f t="shared" si="38"/>
        <v/>
      </c>
      <c r="Y382" s="63" t="str">
        <f t="shared" si="39"/>
        <v/>
      </c>
      <c r="Z382" s="58" t="str">
        <f t="shared" si="40"/>
        <v/>
      </c>
      <c r="AA382" s="66" t="str">
        <f t="shared" si="41"/>
        <v/>
      </c>
      <c r="AB382" s="62"/>
      <c r="AC382" s="62"/>
      <c r="AD382" s="63" t="str">
        <f>IFERROR(IF(OR($AB382="",$T382="",$T382=0),"",ROUND(ABS($N382-$AB382)*$S382*VLOOKUP($F382,'⚙️ Setelan'!$A$14:$F$20,4,FALSE)/$T382,2)),"")</f>
        <v/>
      </c>
      <c r="AE382" s="63" t="str">
        <f>IFERROR(IF(OR($AC382="",$T382="",$T382=0),"",ROUND(ABS($AC382-$N382)*$S382*VLOOKUP($F382,'⚙️ Setelan'!$A$14:$F$20,4,FALSE)/$T382,2)),"")</f>
        <v/>
      </c>
      <c r="AF382" s="61"/>
      <c r="AG382" s="61"/>
      <c r="AH382" s="61"/>
      <c r="AI382" s="61"/>
      <c r="AJ382" s="61"/>
      <c r="AK382" s="67"/>
      <c r="AL382" s="58" t="str">
        <f>IF(OR($C382="",$B382=""),"",IF(AND($Z381="Loss",$B382=$B381,MOD($C382-$D381,1)*1440&lt;'⚙️ Setelan'!$B$9),"⚠️ Revenge",""))</f>
        <v/>
      </c>
      <c r="AM382" s="68"/>
      <c r="AN382" s="58" t="str">
        <f>IF($AM382="","",IFERROR(_xlfn.IMAGE(IF(REGEXMATCH($AM382,"\.(png|jpg|jpeg|gif)$"),$AM382,"https://s3.tradingview.com/snapshots/"&amp;LOWER(MID(REGEXEXTRACT($AM382,"/x/([A-Za-z0-9]+)"),1,1))&amp;"/"&amp;REGEXEXTRACT($AM382,"/x/([A-Za-z0-9]+)")&amp;".png"),1),"⚠️ link tidak dikenali"))</f>
        <v/>
      </c>
      <c r="AO382" s="68"/>
      <c r="AP382" s="58" t="str">
        <f>IF($AO382="","",IFERROR(_xlfn.IMAGE(IF(REGEXMATCH($AO382,"\.(png|jpg|jpeg|gif)$"),$AO382,"https://s3.tradingview.com/snapshots/"&amp;LOWER(MID(REGEXEXTRACT($AO382,"/x/([A-Za-z0-9]+)"),1,1))&amp;"/"&amp;REGEXEXTRACT($AO382,"/x/([A-Za-z0-9]+)")&amp;".png"),1),"⚠️ link tidak dikenali"))</f>
        <v/>
      </c>
      <c r="AQ382" s="66">
        <f>IF($Z382="",0,IF(AND(OR('📊 Dashboard'!$B$4="(Semua)",$F382='📊 Dashboard'!$B$4),OR('📊 Dashboard'!$B$5="(Semua)",$H382='📊 Dashboard'!$B$5),OR('📊 Dashboard'!$B$6="(Semua)",$E382='📊 Dashboard'!$B$6),OR('📊 Dashboard'!$B$7="(Semua)",$AF382='📊 Dashboard'!$B$7),OR('📊 Dashboard'!$B$8="(Semua)",$AG382='📊 Dashboard'!$B$8),OR('📊 Dashboard'!$B$9="(Semua)",$K382='📊 Dashboard'!$B$9)),1,0))</f>
        <v>0</v>
      </c>
      <c r="AR382" s="69"/>
    </row>
    <row r="383" ht="58" customHeight="1" spans="1:44">
      <c r="A383" s="58" t="str">
        <f t="shared" si="35"/>
        <v/>
      </c>
      <c r="B383" s="59"/>
      <c r="C383" s="60"/>
      <c r="D383" s="60"/>
      <c r="E383" s="58" t="str">
        <f t="shared" si="36"/>
        <v/>
      </c>
      <c r="F383" s="61"/>
      <c r="G383" s="61"/>
      <c r="H383" s="61"/>
      <c r="I383" s="61"/>
      <c r="J383" s="61"/>
      <c r="K383" s="61"/>
      <c r="L383" s="61"/>
      <c r="M383" s="61"/>
      <c r="N383" s="62"/>
      <c r="O383" s="62"/>
      <c r="P383" s="62"/>
      <c r="Q383" s="62"/>
      <c r="R383" s="63" t="str">
        <f>IFERROR(IF(OR($N383="",$O383="",$F383=""),"",ROUND(('⚙️ Setelan'!$B$3*'⚙️ Setelan'!$B$4/100)/(ABS($N383-$O383)*VLOOKUP($F383,'⚙️ Setelan'!$A$14:$F$20,4,FALSE)),2)),"")</f>
        <v/>
      </c>
      <c r="S383" s="64"/>
      <c r="T383" s="65" t="str">
        <f>IFERROR(IF(OR($N383="",$O383="",$S383=""),"",ABS($N383-$O383)*$S383*VLOOKUP($F383,'⚙️ Setelan'!$A$14:$F$20,4,FALSE)),"")</f>
        <v/>
      </c>
      <c r="U383" s="63" t="str">
        <f t="shared" si="37"/>
        <v/>
      </c>
      <c r="V383" s="65" t="str">
        <f>IFERROR(IF(OR($Q383="",$N383="",$S383=""),"",($Q383-$N383)*IF($G383="Buy",1,-1)*$S383*VLOOKUP($F383,'⚙️ Setelan'!$A$14:$F$20,4,FALSE)),"")</f>
        <v/>
      </c>
      <c r="W383" s="65" t="str">
        <f>IFERROR(IF(OR($S383="",$F383=""),"",$S383*VLOOKUP($F383,'⚙️ Setelan'!$A$14:$F$20,5,FALSE)),"")</f>
        <v/>
      </c>
      <c r="X383" s="65" t="str">
        <f t="shared" si="38"/>
        <v/>
      </c>
      <c r="Y383" s="63" t="str">
        <f t="shared" si="39"/>
        <v/>
      </c>
      <c r="Z383" s="58" t="str">
        <f t="shared" si="40"/>
        <v/>
      </c>
      <c r="AA383" s="66" t="str">
        <f t="shared" si="41"/>
        <v/>
      </c>
      <c r="AB383" s="62"/>
      <c r="AC383" s="62"/>
      <c r="AD383" s="63" t="str">
        <f>IFERROR(IF(OR($AB383="",$T383="",$T383=0),"",ROUND(ABS($N383-$AB383)*$S383*VLOOKUP($F383,'⚙️ Setelan'!$A$14:$F$20,4,FALSE)/$T383,2)),"")</f>
        <v/>
      </c>
      <c r="AE383" s="63" t="str">
        <f>IFERROR(IF(OR($AC383="",$T383="",$T383=0),"",ROUND(ABS($AC383-$N383)*$S383*VLOOKUP($F383,'⚙️ Setelan'!$A$14:$F$20,4,FALSE)/$T383,2)),"")</f>
        <v/>
      </c>
      <c r="AF383" s="61"/>
      <c r="AG383" s="61"/>
      <c r="AH383" s="61"/>
      <c r="AI383" s="61"/>
      <c r="AJ383" s="61"/>
      <c r="AK383" s="67"/>
      <c r="AL383" s="58" t="str">
        <f>IF(OR($C383="",$B383=""),"",IF(AND($Z382="Loss",$B383=$B382,MOD($C383-$D382,1)*1440&lt;'⚙️ Setelan'!$B$9),"⚠️ Revenge",""))</f>
        <v/>
      </c>
      <c r="AM383" s="68"/>
      <c r="AN383" s="58" t="str">
        <f>IF($AM383="","",IFERROR(_xlfn.IMAGE(IF(REGEXMATCH($AM383,"\.(png|jpg|jpeg|gif)$"),$AM383,"https://s3.tradingview.com/snapshots/"&amp;LOWER(MID(REGEXEXTRACT($AM383,"/x/([A-Za-z0-9]+)"),1,1))&amp;"/"&amp;REGEXEXTRACT($AM383,"/x/([A-Za-z0-9]+)")&amp;".png"),1),"⚠️ link tidak dikenali"))</f>
        <v/>
      </c>
      <c r="AO383" s="68"/>
      <c r="AP383" s="58" t="str">
        <f>IF($AO383="","",IFERROR(_xlfn.IMAGE(IF(REGEXMATCH($AO383,"\.(png|jpg|jpeg|gif)$"),$AO383,"https://s3.tradingview.com/snapshots/"&amp;LOWER(MID(REGEXEXTRACT($AO383,"/x/([A-Za-z0-9]+)"),1,1))&amp;"/"&amp;REGEXEXTRACT($AO383,"/x/([A-Za-z0-9]+)")&amp;".png"),1),"⚠️ link tidak dikenali"))</f>
        <v/>
      </c>
      <c r="AQ383" s="66">
        <f>IF($Z383="",0,IF(AND(OR('📊 Dashboard'!$B$4="(Semua)",$F383='📊 Dashboard'!$B$4),OR('📊 Dashboard'!$B$5="(Semua)",$H383='📊 Dashboard'!$B$5),OR('📊 Dashboard'!$B$6="(Semua)",$E383='📊 Dashboard'!$B$6),OR('📊 Dashboard'!$B$7="(Semua)",$AF383='📊 Dashboard'!$B$7),OR('📊 Dashboard'!$B$8="(Semua)",$AG383='📊 Dashboard'!$B$8),OR('📊 Dashboard'!$B$9="(Semua)",$K383='📊 Dashboard'!$B$9)),1,0))</f>
        <v>0</v>
      </c>
      <c r="AR383" s="69"/>
    </row>
    <row r="384" ht="58" customHeight="1" spans="1:44">
      <c r="A384" s="58" t="str">
        <f t="shared" si="35"/>
        <v/>
      </c>
      <c r="B384" s="59"/>
      <c r="C384" s="60"/>
      <c r="D384" s="60"/>
      <c r="E384" s="58" t="str">
        <f t="shared" si="36"/>
        <v/>
      </c>
      <c r="F384" s="61"/>
      <c r="G384" s="61"/>
      <c r="H384" s="61"/>
      <c r="I384" s="61"/>
      <c r="J384" s="61"/>
      <c r="K384" s="61"/>
      <c r="L384" s="61"/>
      <c r="M384" s="61"/>
      <c r="N384" s="62"/>
      <c r="O384" s="62"/>
      <c r="P384" s="62"/>
      <c r="Q384" s="62"/>
      <c r="R384" s="63" t="str">
        <f>IFERROR(IF(OR($N384="",$O384="",$F384=""),"",ROUND(('⚙️ Setelan'!$B$3*'⚙️ Setelan'!$B$4/100)/(ABS($N384-$O384)*VLOOKUP($F384,'⚙️ Setelan'!$A$14:$F$20,4,FALSE)),2)),"")</f>
        <v/>
      </c>
      <c r="S384" s="64"/>
      <c r="T384" s="65" t="str">
        <f>IFERROR(IF(OR($N384="",$O384="",$S384=""),"",ABS($N384-$O384)*$S384*VLOOKUP($F384,'⚙️ Setelan'!$A$14:$F$20,4,FALSE)),"")</f>
        <v/>
      </c>
      <c r="U384" s="63" t="str">
        <f t="shared" si="37"/>
        <v/>
      </c>
      <c r="V384" s="65" t="str">
        <f>IFERROR(IF(OR($Q384="",$N384="",$S384=""),"",($Q384-$N384)*IF($G384="Buy",1,-1)*$S384*VLOOKUP($F384,'⚙️ Setelan'!$A$14:$F$20,4,FALSE)),"")</f>
        <v/>
      </c>
      <c r="W384" s="65" t="str">
        <f>IFERROR(IF(OR($S384="",$F384=""),"",$S384*VLOOKUP($F384,'⚙️ Setelan'!$A$14:$F$20,5,FALSE)),"")</f>
        <v/>
      </c>
      <c r="X384" s="65" t="str">
        <f t="shared" si="38"/>
        <v/>
      </c>
      <c r="Y384" s="63" t="str">
        <f t="shared" si="39"/>
        <v/>
      </c>
      <c r="Z384" s="58" t="str">
        <f t="shared" si="40"/>
        <v/>
      </c>
      <c r="AA384" s="66" t="str">
        <f t="shared" si="41"/>
        <v/>
      </c>
      <c r="AB384" s="62"/>
      <c r="AC384" s="62"/>
      <c r="AD384" s="63" t="str">
        <f>IFERROR(IF(OR($AB384="",$T384="",$T384=0),"",ROUND(ABS($N384-$AB384)*$S384*VLOOKUP($F384,'⚙️ Setelan'!$A$14:$F$20,4,FALSE)/$T384,2)),"")</f>
        <v/>
      </c>
      <c r="AE384" s="63" t="str">
        <f>IFERROR(IF(OR($AC384="",$T384="",$T384=0),"",ROUND(ABS($AC384-$N384)*$S384*VLOOKUP($F384,'⚙️ Setelan'!$A$14:$F$20,4,FALSE)/$T384,2)),"")</f>
        <v/>
      </c>
      <c r="AF384" s="61"/>
      <c r="AG384" s="61"/>
      <c r="AH384" s="61"/>
      <c r="AI384" s="61"/>
      <c r="AJ384" s="61"/>
      <c r="AK384" s="67"/>
      <c r="AL384" s="58" t="str">
        <f>IF(OR($C384="",$B384=""),"",IF(AND($Z383="Loss",$B384=$B383,MOD($C384-$D383,1)*1440&lt;'⚙️ Setelan'!$B$9),"⚠️ Revenge",""))</f>
        <v/>
      </c>
      <c r="AM384" s="68"/>
      <c r="AN384" s="58" t="str">
        <f>IF($AM384="","",IFERROR(_xlfn.IMAGE(IF(REGEXMATCH($AM384,"\.(png|jpg|jpeg|gif)$"),$AM384,"https://s3.tradingview.com/snapshots/"&amp;LOWER(MID(REGEXEXTRACT($AM384,"/x/([A-Za-z0-9]+)"),1,1))&amp;"/"&amp;REGEXEXTRACT($AM384,"/x/([A-Za-z0-9]+)")&amp;".png"),1),"⚠️ link tidak dikenali"))</f>
        <v/>
      </c>
      <c r="AO384" s="68"/>
      <c r="AP384" s="58" t="str">
        <f>IF($AO384="","",IFERROR(_xlfn.IMAGE(IF(REGEXMATCH($AO384,"\.(png|jpg|jpeg|gif)$"),$AO384,"https://s3.tradingview.com/snapshots/"&amp;LOWER(MID(REGEXEXTRACT($AO384,"/x/([A-Za-z0-9]+)"),1,1))&amp;"/"&amp;REGEXEXTRACT($AO384,"/x/([A-Za-z0-9]+)")&amp;".png"),1),"⚠️ link tidak dikenali"))</f>
        <v/>
      </c>
      <c r="AQ384" s="66">
        <f>IF($Z384="",0,IF(AND(OR('📊 Dashboard'!$B$4="(Semua)",$F384='📊 Dashboard'!$B$4),OR('📊 Dashboard'!$B$5="(Semua)",$H384='📊 Dashboard'!$B$5),OR('📊 Dashboard'!$B$6="(Semua)",$E384='📊 Dashboard'!$B$6),OR('📊 Dashboard'!$B$7="(Semua)",$AF384='📊 Dashboard'!$B$7),OR('📊 Dashboard'!$B$8="(Semua)",$AG384='📊 Dashboard'!$B$8),OR('📊 Dashboard'!$B$9="(Semua)",$K384='📊 Dashboard'!$B$9)),1,0))</f>
        <v>0</v>
      </c>
      <c r="AR384" s="69"/>
    </row>
    <row r="385" ht="58" customHeight="1" spans="1:44">
      <c r="A385" s="58" t="str">
        <f t="shared" si="35"/>
        <v/>
      </c>
      <c r="B385" s="59"/>
      <c r="C385" s="60"/>
      <c r="D385" s="60"/>
      <c r="E385" s="58" t="str">
        <f t="shared" si="36"/>
        <v/>
      </c>
      <c r="F385" s="61"/>
      <c r="G385" s="61"/>
      <c r="H385" s="61"/>
      <c r="I385" s="61"/>
      <c r="J385" s="61"/>
      <c r="K385" s="61"/>
      <c r="L385" s="61"/>
      <c r="M385" s="61"/>
      <c r="N385" s="62"/>
      <c r="O385" s="62"/>
      <c r="P385" s="62"/>
      <c r="Q385" s="62"/>
      <c r="R385" s="63" t="str">
        <f>IFERROR(IF(OR($N385="",$O385="",$F385=""),"",ROUND(('⚙️ Setelan'!$B$3*'⚙️ Setelan'!$B$4/100)/(ABS($N385-$O385)*VLOOKUP($F385,'⚙️ Setelan'!$A$14:$F$20,4,FALSE)),2)),"")</f>
        <v/>
      </c>
      <c r="S385" s="64"/>
      <c r="T385" s="65" t="str">
        <f>IFERROR(IF(OR($N385="",$O385="",$S385=""),"",ABS($N385-$O385)*$S385*VLOOKUP($F385,'⚙️ Setelan'!$A$14:$F$20,4,FALSE)),"")</f>
        <v/>
      </c>
      <c r="U385" s="63" t="str">
        <f t="shared" si="37"/>
        <v/>
      </c>
      <c r="V385" s="65" t="str">
        <f>IFERROR(IF(OR($Q385="",$N385="",$S385=""),"",($Q385-$N385)*IF($G385="Buy",1,-1)*$S385*VLOOKUP($F385,'⚙️ Setelan'!$A$14:$F$20,4,FALSE)),"")</f>
        <v/>
      </c>
      <c r="W385" s="65" t="str">
        <f>IFERROR(IF(OR($S385="",$F385=""),"",$S385*VLOOKUP($F385,'⚙️ Setelan'!$A$14:$F$20,5,FALSE)),"")</f>
        <v/>
      </c>
      <c r="X385" s="65" t="str">
        <f t="shared" si="38"/>
        <v/>
      </c>
      <c r="Y385" s="63" t="str">
        <f t="shared" si="39"/>
        <v/>
      </c>
      <c r="Z385" s="58" t="str">
        <f t="shared" si="40"/>
        <v/>
      </c>
      <c r="AA385" s="66" t="str">
        <f t="shared" si="41"/>
        <v/>
      </c>
      <c r="AB385" s="62"/>
      <c r="AC385" s="62"/>
      <c r="AD385" s="63" t="str">
        <f>IFERROR(IF(OR($AB385="",$T385="",$T385=0),"",ROUND(ABS($N385-$AB385)*$S385*VLOOKUP($F385,'⚙️ Setelan'!$A$14:$F$20,4,FALSE)/$T385,2)),"")</f>
        <v/>
      </c>
      <c r="AE385" s="63" t="str">
        <f>IFERROR(IF(OR($AC385="",$T385="",$T385=0),"",ROUND(ABS($AC385-$N385)*$S385*VLOOKUP($F385,'⚙️ Setelan'!$A$14:$F$20,4,FALSE)/$T385,2)),"")</f>
        <v/>
      </c>
      <c r="AF385" s="61"/>
      <c r="AG385" s="61"/>
      <c r="AH385" s="61"/>
      <c r="AI385" s="61"/>
      <c r="AJ385" s="61"/>
      <c r="AK385" s="67"/>
      <c r="AL385" s="58" t="str">
        <f>IF(OR($C385="",$B385=""),"",IF(AND($Z384="Loss",$B385=$B384,MOD($C385-$D384,1)*1440&lt;'⚙️ Setelan'!$B$9),"⚠️ Revenge",""))</f>
        <v/>
      </c>
      <c r="AM385" s="68"/>
      <c r="AN385" s="58" t="str">
        <f>IF($AM385="","",IFERROR(_xlfn.IMAGE(IF(REGEXMATCH($AM385,"\.(png|jpg|jpeg|gif)$"),$AM385,"https://s3.tradingview.com/snapshots/"&amp;LOWER(MID(REGEXEXTRACT($AM385,"/x/([A-Za-z0-9]+)"),1,1))&amp;"/"&amp;REGEXEXTRACT($AM385,"/x/([A-Za-z0-9]+)")&amp;".png"),1),"⚠️ link tidak dikenali"))</f>
        <v/>
      </c>
      <c r="AO385" s="68"/>
      <c r="AP385" s="58" t="str">
        <f>IF($AO385="","",IFERROR(_xlfn.IMAGE(IF(REGEXMATCH($AO385,"\.(png|jpg|jpeg|gif)$"),$AO385,"https://s3.tradingview.com/snapshots/"&amp;LOWER(MID(REGEXEXTRACT($AO385,"/x/([A-Za-z0-9]+)"),1,1))&amp;"/"&amp;REGEXEXTRACT($AO385,"/x/([A-Za-z0-9]+)")&amp;".png"),1),"⚠️ link tidak dikenali"))</f>
        <v/>
      </c>
      <c r="AQ385" s="66">
        <f>IF($Z385="",0,IF(AND(OR('📊 Dashboard'!$B$4="(Semua)",$F385='📊 Dashboard'!$B$4),OR('📊 Dashboard'!$B$5="(Semua)",$H385='📊 Dashboard'!$B$5),OR('📊 Dashboard'!$B$6="(Semua)",$E385='📊 Dashboard'!$B$6),OR('📊 Dashboard'!$B$7="(Semua)",$AF385='📊 Dashboard'!$B$7),OR('📊 Dashboard'!$B$8="(Semua)",$AG385='📊 Dashboard'!$B$8),OR('📊 Dashboard'!$B$9="(Semua)",$K385='📊 Dashboard'!$B$9)),1,0))</f>
        <v>0</v>
      </c>
      <c r="AR385" s="69"/>
    </row>
    <row r="386" ht="58" customHeight="1" spans="1:44">
      <c r="A386" s="58" t="str">
        <f t="shared" si="35"/>
        <v/>
      </c>
      <c r="B386" s="59"/>
      <c r="C386" s="60"/>
      <c r="D386" s="60"/>
      <c r="E386" s="58" t="str">
        <f t="shared" si="36"/>
        <v/>
      </c>
      <c r="F386" s="61"/>
      <c r="G386" s="61"/>
      <c r="H386" s="61"/>
      <c r="I386" s="61"/>
      <c r="J386" s="61"/>
      <c r="K386" s="61"/>
      <c r="L386" s="61"/>
      <c r="M386" s="61"/>
      <c r="N386" s="62"/>
      <c r="O386" s="62"/>
      <c r="P386" s="62"/>
      <c r="Q386" s="62"/>
      <c r="R386" s="63" t="str">
        <f>IFERROR(IF(OR($N386="",$O386="",$F386=""),"",ROUND(('⚙️ Setelan'!$B$3*'⚙️ Setelan'!$B$4/100)/(ABS($N386-$O386)*VLOOKUP($F386,'⚙️ Setelan'!$A$14:$F$20,4,FALSE)),2)),"")</f>
        <v/>
      </c>
      <c r="S386" s="64"/>
      <c r="T386" s="65" t="str">
        <f>IFERROR(IF(OR($N386="",$O386="",$S386=""),"",ABS($N386-$O386)*$S386*VLOOKUP($F386,'⚙️ Setelan'!$A$14:$F$20,4,FALSE)),"")</f>
        <v/>
      </c>
      <c r="U386" s="63" t="str">
        <f t="shared" si="37"/>
        <v/>
      </c>
      <c r="V386" s="65" t="str">
        <f>IFERROR(IF(OR($Q386="",$N386="",$S386=""),"",($Q386-$N386)*IF($G386="Buy",1,-1)*$S386*VLOOKUP($F386,'⚙️ Setelan'!$A$14:$F$20,4,FALSE)),"")</f>
        <v/>
      </c>
      <c r="W386" s="65" t="str">
        <f>IFERROR(IF(OR($S386="",$F386=""),"",$S386*VLOOKUP($F386,'⚙️ Setelan'!$A$14:$F$20,5,FALSE)),"")</f>
        <v/>
      </c>
      <c r="X386" s="65" t="str">
        <f t="shared" si="38"/>
        <v/>
      </c>
      <c r="Y386" s="63" t="str">
        <f t="shared" si="39"/>
        <v/>
      </c>
      <c r="Z386" s="58" t="str">
        <f t="shared" si="40"/>
        <v/>
      </c>
      <c r="AA386" s="66" t="str">
        <f t="shared" si="41"/>
        <v/>
      </c>
      <c r="AB386" s="62"/>
      <c r="AC386" s="62"/>
      <c r="AD386" s="63" t="str">
        <f>IFERROR(IF(OR($AB386="",$T386="",$T386=0),"",ROUND(ABS($N386-$AB386)*$S386*VLOOKUP($F386,'⚙️ Setelan'!$A$14:$F$20,4,FALSE)/$T386,2)),"")</f>
        <v/>
      </c>
      <c r="AE386" s="63" t="str">
        <f>IFERROR(IF(OR($AC386="",$T386="",$T386=0),"",ROUND(ABS($AC386-$N386)*$S386*VLOOKUP($F386,'⚙️ Setelan'!$A$14:$F$20,4,FALSE)/$T386,2)),"")</f>
        <v/>
      </c>
      <c r="AF386" s="61"/>
      <c r="AG386" s="61"/>
      <c r="AH386" s="61"/>
      <c r="AI386" s="61"/>
      <c r="AJ386" s="61"/>
      <c r="AK386" s="67"/>
      <c r="AL386" s="58" t="str">
        <f>IF(OR($C386="",$B386=""),"",IF(AND($Z385="Loss",$B386=$B385,MOD($C386-$D385,1)*1440&lt;'⚙️ Setelan'!$B$9),"⚠️ Revenge",""))</f>
        <v/>
      </c>
      <c r="AM386" s="68"/>
      <c r="AN386" s="58" t="str">
        <f>IF($AM386="","",IFERROR(_xlfn.IMAGE(IF(REGEXMATCH($AM386,"\.(png|jpg|jpeg|gif)$"),$AM386,"https://s3.tradingview.com/snapshots/"&amp;LOWER(MID(REGEXEXTRACT($AM386,"/x/([A-Za-z0-9]+)"),1,1))&amp;"/"&amp;REGEXEXTRACT($AM386,"/x/([A-Za-z0-9]+)")&amp;".png"),1),"⚠️ link tidak dikenali"))</f>
        <v/>
      </c>
      <c r="AO386" s="68"/>
      <c r="AP386" s="58" t="str">
        <f>IF($AO386="","",IFERROR(_xlfn.IMAGE(IF(REGEXMATCH($AO386,"\.(png|jpg|jpeg|gif)$"),$AO386,"https://s3.tradingview.com/snapshots/"&amp;LOWER(MID(REGEXEXTRACT($AO386,"/x/([A-Za-z0-9]+)"),1,1))&amp;"/"&amp;REGEXEXTRACT($AO386,"/x/([A-Za-z0-9]+)")&amp;".png"),1),"⚠️ link tidak dikenali"))</f>
        <v/>
      </c>
      <c r="AQ386" s="66">
        <f>IF($Z386="",0,IF(AND(OR('📊 Dashboard'!$B$4="(Semua)",$F386='📊 Dashboard'!$B$4),OR('📊 Dashboard'!$B$5="(Semua)",$H386='📊 Dashboard'!$B$5),OR('📊 Dashboard'!$B$6="(Semua)",$E386='📊 Dashboard'!$B$6),OR('📊 Dashboard'!$B$7="(Semua)",$AF386='📊 Dashboard'!$B$7),OR('📊 Dashboard'!$B$8="(Semua)",$AG386='📊 Dashboard'!$B$8),OR('📊 Dashboard'!$B$9="(Semua)",$K386='📊 Dashboard'!$B$9)),1,0))</f>
        <v>0</v>
      </c>
      <c r="AR386" s="69"/>
    </row>
    <row r="387" ht="58" customHeight="1" spans="1:44">
      <c r="A387" s="58" t="str">
        <f t="shared" ref="A387:A450" si="42">IF($B387="","",ROW()-2)</f>
        <v/>
      </c>
      <c r="B387" s="59"/>
      <c r="C387" s="60"/>
      <c r="D387" s="60"/>
      <c r="E387" s="58" t="str">
        <f t="shared" ref="E387:E450" si="43">IF($C387="","",IF(AND($C387&gt;=TIME(14,0,0),$C387&lt;TIME(19,30,0)),"London",IF(AND($C387&gt;=TIME(19,30,0),$C387&lt;TIME(23,0,0)),"Overlap LDN+NY",IF(OR($C387&gt;=TIME(23,0,0),$C387&lt;TIME(4,0,0)),"New York","Asia"))))</f>
        <v/>
      </c>
      <c r="F387" s="61"/>
      <c r="G387" s="61"/>
      <c r="H387" s="61"/>
      <c r="I387" s="61"/>
      <c r="J387" s="61"/>
      <c r="K387" s="61"/>
      <c r="L387" s="61"/>
      <c r="M387" s="61"/>
      <c r="N387" s="62"/>
      <c r="O387" s="62"/>
      <c r="P387" s="62"/>
      <c r="Q387" s="62"/>
      <c r="R387" s="63" t="str">
        <f>IFERROR(IF(OR($N387="",$O387="",$F387=""),"",ROUND(('⚙️ Setelan'!$B$3*'⚙️ Setelan'!$B$4/100)/(ABS($N387-$O387)*VLOOKUP($F387,'⚙️ Setelan'!$A$14:$F$20,4,FALSE)),2)),"")</f>
        <v/>
      </c>
      <c r="S387" s="64"/>
      <c r="T387" s="65" t="str">
        <f>IFERROR(IF(OR($N387="",$O387="",$S387=""),"",ABS($N387-$O387)*$S387*VLOOKUP($F387,'⚙️ Setelan'!$A$14:$F$20,4,FALSE)),"")</f>
        <v/>
      </c>
      <c r="U387" s="63" t="str">
        <f t="shared" ref="U387:U450" si="44">IFERROR(IF(OR($N387="",$O387="",$P387=""),"",ROUND(ABS($P387-$N387)/ABS($N387-$O387),2)),"")</f>
        <v/>
      </c>
      <c r="V387" s="65" t="str">
        <f>IFERROR(IF(OR($Q387="",$N387="",$S387=""),"",($Q387-$N387)*IF($G387="Buy",1,-1)*$S387*VLOOKUP($F387,'⚙️ Setelan'!$A$14:$F$20,4,FALSE)),"")</f>
        <v/>
      </c>
      <c r="W387" s="65" t="str">
        <f>IFERROR(IF(OR($S387="",$F387=""),"",$S387*VLOOKUP($F387,'⚙️ Setelan'!$A$14:$F$20,5,FALSE)),"")</f>
        <v/>
      </c>
      <c r="X387" s="65" t="str">
        <f t="shared" ref="X387:X450" si="45">IF($V387="","",$V387-IF($W387="",0,$W387))</f>
        <v/>
      </c>
      <c r="Y387" s="63" t="str">
        <f t="shared" ref="Y387:Y450" si="46">IF(OR($X387="",$T387="",$T387=0),"",ROUND($X387/$T387,2))</f>
        <v/>
      </c>
      <c r="Z387" s="58" t="str">
        <f t="shared" ref="Z387:Z450" si="47">IF($X387="","",IF($X387&gt;0,"Win",IF($X387&lt;0,"Loss","BE")))</f>
        <v/>
      </c>
      <c r="AA387" s="66" t="str">
        <f t="shared" ref="AA387:AA450" si="48">IF(OR($C387="",$D387=""),"",ROUND(MOD($D387-$C387,1)*1440,0))</f>
        <v/>
      </c>
      <c r="AB387" s="62"/>
      <c r="AC387" s="62"/>
      <c r="AD387" s="63" t="str">
        <f>IFERROR(IF(OR($AB387="",$T387="",$T387=0),"",ROUND(ABS($N387-$AB387)*$S387*VLOOKUP($F387,'⚙️ Setelan'!$A$14:$F$20,4,FALSE)/$T387,2)),"")</f>
        <v/>
      </c>
      <c r="AE387" s="63" t="str">
        <f>IFERROR(IF(OR($AC387="",$T387="",$T387=0),"",ROUND(ABS($AC387-$N387)*$S387*VLOOKUP($F387,'⚙️ Setelan'!$A$14:$F$20,4,FALSE)/$T387,2)),"")</f>
        <v/>
      </c>
      <c r="AF387" s="61"/>
      <c r="AG387" s="61"/>
      <c r="AH387" s="61"/>
      <c r="AI387" s="61"/>
      <c r="AJ387" s="61"/>
      <c r="AK387" s="67"/>
      <c r="AL387" s="58" t="str">
        <f>IF(OR($C387="",$B387=""),"",IF(AND($Z386="Loss",$B387=$B386,MOD($C387-$D386,1)*1440&lt;'⚙️ Setelan'!$B$9),"⚠️ Revenge",""))</f>
        <v/>
      </c>
      <c r="AM387" s="68"/>
      <c r="AN387" s="58" t="str">
        <f>IF($AM387="","",IFERROR(_xlfn.IMAGE(IF(REGEXMATCH($AM387,"\.(png|jpg|jpeg|gif)$"),$AM387,"https://s3.tradingview.com/snapshots/"&amp;LOWER(MID(REGEXEXTRACT($AM387,"/x/([A-Za-z0-9]+)"),1,1))&amp;"/"&amp;REGEXEXTRACT($AM387,"/x/([A-Za-z0-9]+)")&amp;".png"),1),"⚠️ link tidak dikenali"))</f>
        <v/>
      </c>
      <c r="AO387" s="68"/>
      <c r="AP387" s="58" t="str">
        <f>IF($AO387="","",IFERROR(_xlfn.IMAGE(IF(REGEXMATCH($AO387,"\.(png|jpg|jpeg|gif)$"),$AO387,"https://s3.tradingview.com/snapshots/"&amp;LOWER(MID(REGEXEXTRACT($AO387,"/x/([A-Za-z0-9]+)"),1,1))&amp;"/"&amp;REGEXEXTRACT($AO387,"/x/([A-Za-z0-9]+)")&amp;".png"),1),"⚠️ link tidak dikenali"))</f>
        <v/>
      </c>
      <c r="AQ387" s="66">
        <f>IF($Z387="",0,IF(AND(OR('📊 Dashboard'!$B$4="(Semua)",$F387='📊 Dashboard'!$B$4),OR('📊 Dashboard'!$B$5="(Semua)",$H387='📊 Dashboard'!$B$5),OR('📊 Dashboard'!$B$6="(Semua)",$E387='📊 Dashboard'!$B$6),OR('📊 Dashboard'!$B$7="(Semua)",$AF387='📊 Dashboard'!$B$7),OR('📊 Dashboard'!$B$8="(Semua)",$AG387='📊 Dashboard'!$B$8),OR('📊 Dashboard'!$B$9="(Semua)",$K387='📊 Dashboard'!$B$9)),1,0))</f>
        <v>0</v>
      </c>
      <c r="AR387" s="69"/>
    </row>
    <row r="388" ht="58" customHeight="1" spans="1:44">
      <c r="A388" s="58" t="str">
        <f t="shared" si="42"/>
        <v/>
      </c>
      <c r="B388" s="59"/>
      <c r="C388" s="60"/>
      <c r="D388" s="60"/>
      <c r="E388" s="58" t="str">
        <f t="shared" si="43"/>
        <v/>
      </c>
      <c r="F388" s="61"/>
      <c r="G388" s="61"/>
      <c r="H388" s="61"/>
      <c r="I388" s="61"/>
      <c r="J388" s="61"/>
      <c r="K388" s="61"/>
      <c r="L388" s="61"/>
      <c r="M388" s="61"/>
      <c r="N388" s="62"/>
      <c r="O388" s="62"/>
      <c r="P388" s="62"/>
      <c r="Q388" s="62"/>
      <c r="R388" s="63" t="str">
        <f>IFERROR(IF(OR($N388="",$O388="",$F388=""),"",ROUND(('⚙️ Setelan'!$B$3*'⚙️ Setelan'!$B$4/100)/(ABS($N388-$O388)*VLOOKUP($F388,'⚙️ Setelan'!$A$14:$F$20,4,FALSE)),2)),"")</f>
        <v/>
      </c>
      <c r="S388" s="64"/>
      <c r="T388" s="65" t="str">
        <f>IFERROR(IF(OR($N388="",$O388="",$S388=""),"",ABS($N388-$O388)*$S388*VLOOKUP($F388,'⚙️ Setelan'!$A$14:$F$20,4,FALSE)),"")</f>
        <v/>
      </c>
      <c r="U388" s="63" t="str">
        <f t="shared" si="44"/>
        <v/>
      </c>
      <c r="V388" s="65" t="str">
        <f>IFERROR(IF(OR($Q388="",$N388="",$S388=""),"",($Q388-$N388)*IF($G388="Buy",1,-1)*$S388*VLOOKUP($F388,'⚙️ Setelan'!$A$14:$F$20,4,FALSE)),"")</f>
        <v/>
      </c>
      <c r="W388" s="65" t="str">
        <f>IFERROR(IF(OR($S388="",$F388=""),"",$S388*VLOOKUP($F388,'⚙️ Setelan'!$A$14:$F$20,5,FALSE)),"")</f>
        <v/>
      </c>
      <c r="X388" s="65" t="str">
        <f t="shared" si="45"/>
        <v/>
      </c>
      <c r="Y388" s="63" t="str">
        <f t="shared" si="46"/>
        <v/>
      </c>
      <c r="Z388" s="58" t="str">
        <f t="shared" si="47"/>
        <v/>
      </c>
      <c r="AA388" s="66" t="str">
        <f t="shared" si="48"/>
        <v/>
      </c>
      <c r="AB388" s="62"/>
      <c r="AC388" s="62"/>
      <c r="AD388" s="63" t="str">
        <f>IFERROR(IF(OR($AB388="",$T388="",$T388=0),"",ROUND(ABS($N388-$AB388)*$S388*VLOOKUP($F388,'⚙️ Setelan'!$A$14:$F$20,4,FALSE)/$T388,2)),"")</f>
        <v/>
      </c>
      <c r="AE388" s="63" t="str">
        <f>IFERROR(IF(OR($AC388="",$T388="",$T388=0),"",ROUND(ABS($AC388-$N388)*$S388*VLOOKUP($F388,'⚙️ Setelan'!$A$14:$F$20,4,FALSE)/$T388,2)),"")</f>
        <v/>
      </c>
      <c r="AF388" s="61"/>
      <c r="AG388" s="61"/>
      <c r="AH388" s="61"/>
      <c r="AI388" s="61"/>
      <c r="AJ388" s="61"/>
      <c r="AK388" s="67"/>
      <c r="AL388" s="58" t="str">
        <f>IF(OR($C388="",$B388=""),"",IF(AND($Z387="Loss",$B388=$B387,MOD($C388-$D387,1)*1440&lt;'⚙️ Setelan'!$B$9),"⚠️ Revenge",""))</f>
        <v/>
      </c>
      <c r="AM388" s="68"/>
      <c r="AN388" s="58" t="str">
        <f>IF($AM388="","",IFERROR(_xlfn.IMAGE(IF(REGEXMATCH($AM388,"\.(png|jpg|jpeg|gif)$"),$AM388,"https://s3.tradingview.com/snapshots/"&amp;LOWER(MID(REGEXEXTRACT($AM388,"/x/([A-Za-z0-9]+)"),1,1))&amp;"/"&amp;REGEXEXTRACT($AM388,"/x/([A-Za-z0-9]+)")&amp;".png"),1),"⚠️ link tidak dikenali"))</f>
        <v/>
      </c>
      <c r="AO388" s="68"/>
      <c r="AP388" s="58" t="str">
        <f>IF($AO388="","",IFERROR(_xlfn.IMAGE(IF(REGEXMATCH($AO388,"\.(png|jpg|jpeg|gif)$"),$AO388,"https://s3.tradingview.com/snapshots/"&amp;LOWER(MID(REGEXEXTRACT($AO388,"/x/([A-Za-z0-9]+)"),1,1))&amp;"/"&amp;REGEXEXTRACT($AO388,"/x/([A-Za-z0-9]+)")&amp;".png"),1),"⚠️ link tidak dikenali"))</f>
        <v/>
      </c>
      <c r="AQ388" s="66">
        <f>IF($Z388="",0,IF(AND(OR('📊 Dashboard'!$B$4="(Semua)",$F388='📊 Dashboard'!$B$4),OR('📊 Dashboard'!$B$5="(Semua)",$H388='📊 Dashboard'!$B$5),OR('📊 Dashboard'!$B$6="(Semua)",$E388='📊 Dashboard'!$B$6),OR('📊 Dashboard'!$B$7="(Semua)",$AF388='📊 Dashboard'!$B$7),OR('📊 Dashboard'!$B$8="(Semua)",$AG388='📊 Dashboard'!$B$8),OR('📊 Dashboard'!$B$9="(Semua)",$K388='📊 Dashboard'!$B$9)),1,0))</f>
        <v>0</v>
      </c>
      <c r="AR388" s="69"/>
    </row>
    <row r="389" ht="58" customHeight="1" spans="1:44">
      <c r="A389" s="58" t="str">
        <f t="shared" si="42"/>
        <v/>
      </c>
      <c r="B389" s="59"/>
      <c r="C389" s="60"/>
      <c r="D389" s="60"/>
      <c r="E389" s="58" t="str">
        <f t="shared" si="43"/>
        <v/>
      </c>
      <c r="F389" s="61"/>
      <c r="G389" s="61"/>
      <c r="H389" s="61"/>
      <c r="I389" s="61"/>
      <c r="J389" s="61"/>
      <c r="K389" s="61"/>
      <c r="L389" s="61"/>
      <c r="M389" s="61"/>
      <c r="N389" s="62"/>
      <c r="O389" s="62"/>
      <c r="P389" s="62"/>
      <c r="Q389" s="62"/>
      <c r="R389" s="63" t="str">
        <f>IFERROR(IF(OR($N389="",$O389="",$F389=""),"",ROUND(('⚙️ Setelan'!$B$3*'⚙️ Setelan'!$B$4/100)/(ABS($N389-$O389)*VLOOKUP($F389,'⚙️ Setelan'!$A$14:$F$20,4,FALSE)),2)),"")</f>
        <v/>
      </c>
      <c r="S389" s="64"/>
      <c r="T389" s="65" t="str">
        <f>IFERROR(IF(OR($N389="",$O389="",$S389=""),"",ABS($N389-$O389)*$S389*VLOOKUP($F389,'⚙️ Setelan'!$A$14:$F$20,4,FALSE)),"")</f>
        <v/>
      </c>
      <c r="U389" s="63" t="str">
        <f t="shared" si="44"/>
        <v/>
      </c>
      <c r="V389" s="65" t="str">
        <f>IFERROR(IF(OR($Q389="",$N389="",$S389=""),"",($Q389-$N389)*IF($G389="Buy",1,-1)*$S389*VLOOKUP($F389,'⚙️ Setelan'!$A$14:$F$20,4,FALSE)),"")</f>
        <v/>
      </c>
      <c r="W389" s="65" t="str">
        <f>IFERROR(IF(OR($S389="",$F389=""),"",$S389*VLOOKUP($F389,'⚙️ Setelan'!$A$14:$F$20,5,FALSE)),"")</f>
        <v/>
      </c>
      <c r="X389" s="65" t="str">
        <f t="shared" si="45"/>
        <v/>
      </c>
      <c r="Y389" s="63" t="str">
        <f t="shared" si="46"/>
        <v/>
      </c>
      <c r="Z389" s="58" t="str">
        <f t="shared" si="47"/>
        <v/>
      </c>
      <c r="AA389" s="66" t="str">
        <f t="shared" si="48"/>
        <v/>
      </c>
      <c r="AB389" s="62"/>
      <c r="AC389" s="62"/>
      <c r="AD389" s="63" t="str">
        <f>IFERROR(IF(OR($AB389="",$T389="",$T389=0),"",ROUND(ABS($N389-$AB389)*$S389*VLOOKUP($F389,'⚙️ Setelan'!$A$14:$F$20,4,FALSE)/$T389,2)),"")</f>
        <v/>
      </c>
      <c r="AE389" s="63" t="str">
        <f>IFERROR(IF(OR($AC389="",$T389="",$T389=0),"",ROUND(ABS($AC389-$N389)*$S389*VLOOKUP($F389,'⚙️ Setelan'!$A$14:$F$20,4,FALSE)/$T389,2)),"")</f>
        <v/>
      </c>
      <c r="AF389" s="61"/>
      <c r="AG389" s="61"/>
      <c r="AH389" s="61"/>
      <c r="AI389" s="61"/>
      <c r="AJ389" s="61"/>
      <c r="AK389" s="67"/>
      <c r="AL389" s="58" t="str">
        <f>IF(OR($C389="",$B389=""),"",IF(AND($Z388="Loss",$B389=$B388,MOD($C389-$D388,1)*1440&lt;'⚙️ Setelan'!$B$9),"⚠️ Revenge",""))</f>
        <v/>
      </c>
      <c r="AM389" s="68"/>
      <c r="AN389" s="58" t="str">
        <f>IF($AM389="","",IFERROR(_xlfn.IMAGE(IF(REGEXMATCH($AM389,"\.(png|jpg|jpeg|gif)$"),$AM389,"https://s3.tradingview.com/snapshots/"&amp;LOWER(MID(REGEXEXTRACT($AM389,"/x/([A-Za-z0-9]+)"),1,1))&amp;"/"&amp;REGEXEXTRACT($AM389,"/x/([A-Za-z0-9]+)")&amp;".png"),1),"⚠️ link tidak dikenali"))</f>
        <v/>
      </c>
      <c r="AO389" s="68"/>
      <c r="AP389" s="58" t="str">
        <f>IF($AO389="","",IFERROR(_xlfn.IMAGE(IF(REGEXMATCH($AO389,"\.(png|jpg|jpeg|gif)$"),$AO389,"https://s3.tradingview.com/snapshots/"&amp;LOWER(MID(REGEXEXTRACT($AO389,"/x/([A-Za-z0-9]+)"),1,1))&amp;"/"&amp;REGEXEXTRACT($AO389,"/x/([A-Za-z0-9]+)")&amp;".png"),1),"⚠️ link tidak dikenali"))</f>
        <v/>
      </c>
      <c r="AQ389" s="66">
        <f>IF($Z389="",0,IF(AND(OR('📊 Dashboard'!$B$4="(Semua)",$F389='📊 Dashboard'!$B$4),OR('📊 Dashboard'!$B$5="(Semua)",$H389='📊 Dashboard'!$B$5),OR('📊 Dashboard'!$B$6="(Semua)",$E389='📊 Dashboard'!$B$6),OR('📊 Dashboard'!$B$7="(Semua)",$AF389='📊 Dashboard'!$B$7),OR('📊 Dashboard'!$B$8="(Semua)",$AG389='📊 Dashboard'!$B$8),OR('📊 Dashboard'!$B$9="(Semua)",$K389='📊 Dashboard'!$B$9)),1,0))</f>
        <v>0</v>
      </c>
      <c r="AR389" s="69"/>
    </row>
    <row r="390" ht="58" customHeight="1" spans="1:44">
      <c r="A390" s="58" t="str">
        <f t="shared" si="42"/>
        <v/>
      </c>
      <c r="B390" s="59"/>
      <c r="C390" s="60"/>
      <c r="D390" s="60"/>
      <c r="E390" s="58" t="str">
        <f t="shared" si="43"/>
        <v/>
      </c>
      <c r="F390" s="61"/>
      <c r="G390" s="61"/>
      <c r="H390" s="61"/>
      <c r="I390" s="61"/>
      <c r="J390" s="61"/>
      <c r="K390" s="61"/>
      <c r="L390" s="61"/>
      <c r="M390" s="61"/>
      <c r="N390" s="62"/>
      <c r="O390" s="62"/>
      <c r="P390" s="62"/>
      <c r="Q390" s="62"/>
      <c r="R390" s="63" t="str">
        <f>IFERROR(IF(OR($N390="",$O390="",$F390=""),"",ROUND(('⚙️ Setelan'!$B$3*'⚙️ Setelan'!$B$4/100)/(ABS($N390-$O390)*VLOOKUP($F390,'⚙️ Setelan'!$A$14:$F$20,4,FALSE)),2)),"")</f>
        <v/>
      </c>
      <c r="S390" s="64"/>
      <c r="T390" s="65" t="str">
        <f>IFERROR(IF(OR($N390="",$O390="",$S390=""),"",ABS($N390-$O390)*$S390*VLOOKUP($F390,'⚙️ Setelan'!$A$14:$F$20,4,FALSE)),"")</f>
        <v/>
      </c>
      <c r="U390" s="63" t="str">
        <f t="shared" si="44"/>
        <v/>
      </c>
      <c r="V390" s="65" t="str">
        <f>IFERROR(IF(OR($Q390="",$N390="",$S390=""),"",($Q390-$N390)*IF($G390="Buy",1,-1)*$S390*VLOOKUP($F390,'⚙️ Setelan'!$A$14:$F$20,4,FALSE)),"")</f>
        <v/>
      </c>
      <c r="W390" s="65" t="str">
        <f>IFERROR(IF(OR($S390="",$F390=""),"",$S390*VLOOKUP($F390,'⚙️ Setelan'!$A$14:$F$20,5,FALSE)),"")</f>
        <v/>
      </c>
      <c r="X390" s="65" t="str">
        <f t="shared" si="45"/>
        <v/>
      </c>
      <c r="Y390" s="63" t="str">
        <f t="shared" si="46"/>
        <v/>
      </c>
      <c r="Z390" s="58" t="str">
        <f t="shared" si="47"/>
        <v/>
      </c>
      <c r="AA390" s="66" t="str">
        <f t="shared" si="48"/>
        <v/>
      </c>
      <c r="AB390" s="62"/>
      <c r="AC390" s="62"/>
      <c r="AD390" s="63" t="str">
        <f>IFERROR(IF(OR($AB390="",$T390="",$T390=0),"",ROUND(ABS($N390-$AB390)*$S390*VLOOKUP($F390,'⚙️ Setelan'!$A$14:$F$20,4,FALSE)/$T390,2)),"")</f>
        <v/>
      </c>
      <c r="AE390" s="63" t="str">
        <f>IFERROR(IF(OR($AC390="",$T390="",$T390=0),"",ROUND(ABS($AC390-$N390)*$S390*VLOOKUP($F390,'⚙️ Setelan'!$A$14:$F$20,4,FALSE)/$T390,2)),"")</f>
        <v/>
      </c>
      <c r="AF390" s="61"/>
      <c r="AG390" s="61"/>
      <c r="AH390" s="61"/>
      <c r="AI390" s="61"/>
      <c r="AJ390" s="61"/>
      <c r="AK390" s="67"/>
      <c r="AL390" s="58" t="str">
        <f>IF(OR($C390="",$B390=""),"",IF(AND($Z389="Loss",$B390=$B389,MOD($C390-$D389,1)*1440&lt;'⚙️ Setelan'!$B$9),"⚠️ Revenge",""))</f>
        <v/>
      </c>
      <c r="AM390" s="68"/>
      <c r="AN390" s="58" t="str">
        <f>IF($AM390="","",IFERROR(_xlfn.IMAGE(IF(REGEXMATCH($AM390,"\.(png|jpg|jpeg|gif)$"),$AM390,"https://s3.tradingview.com/snapshots/"&amp;LOWER(MID(REGEXEXTRACT($AM390,"/x/([A-Za-z0-9]+)"),1,1))&amp;"/"&amp;REGEXEXTRACT($AM390,"/x/([A-Za-z0-9]+)")&amp;".png"),1),"⚠️ link tidak dikenali"))</f>
        <v/>
      </c>
      <c r="AO390" s="68"/>
      <c r="AP390" s="58" t="str">
        <f>IF($AO390="","",IFERROR(_xlfn.IMAGE(IF(REGEXMATCH($AO390,"\.(png|jpg|jpeg|gif)$"),$AO390,"https://s3.tradingview.com/snapshots/"&amp;LOWER(MID(REGEXEXTRACT($AO390,"/x/([A-Za-z0-9]+)"),1,1))&amp;"/"&amp;REGEXEXTRACT($AO390,"/x/([A-Za-z0-9]+)")&amp;".png"),1),"⚠️ link tidak dikenali"))</f>
        <v/>
      </c>
      <c r="AQ390" s="66">
        <f>IF($Z390="",0,IF(AND(OR('📊 Dashboard'!$B$4="(Semua)",$F390='📊 Dashboard'!$B$4),OR('📊 Dashboard'!$B$5="(Semua)",$H390='📊 Dashboard'!$B$5),OR('📊 Dashboard'!$B$6="(Semua)",$E390='📊 Dashboard'!$B$6),OR('📊 Dashboard'!$B$7="(Semua)",$AF390='📊 Dashboard'!$B$7),OR('📊 Dashboard'!$B$8="(Semua)",$AG390='📊 Dashboard'!$B$8),OR('📊 Dashboard'!$B$9="(Semua)",$K390='📊 Dashboard'!$B$9)),1,0))</f>
        <v>0</v>
      </c>
      <c r="AR390" s="69"/>
    </row>
    <row r="391" ht="58" customHeight="1" spans="1:44">
      <c r="A391" s="58" t="str">
        <f t="shared" si="42"/>
        <v/>
      </c>
      <c r="B391" s="59"/>
      <c r="C391" s="60"/>
      <c r="D391" s="60"/>
      <c r="E391" s="58" t="str">
        <f t="shared" si="43"/>
        <v/>
      </c>
      <c r="F391" s="61"/>
      <c r="G391" s="61"/>
      <c r="H391" s="61"/>
      <c r="I391" s="61"/>
      <c r="J391" s="61"/>
      <c r="K391" s="61"/>
      <c r="L391" s="61"/>
      <c r="M391" s="61"/>
      <c r="N391" s="62"/>
      <c r="O391" s="62"/>
      <c r="P391" s="62"/>
      <c r="Q391" s="62"/>
      <c r="R391" s="63" t="str">
        <f>IFERROR(IF(OR($N391="",$O391="",$F391=""),"",ROUND(('⚙️ Setelan'!$B$3*'⚙️ Setelan'!$B$4/100)/(ABS($N391-$O391)*VLOOKUP($F391,'⚙️ Setelan'!$A$14:$F$20,4,FALSE)),2)),"")</f>
        <v/>
      </c>
      <c r="S391" s="64"/>
      <c r="T391" s="65" t="str">
        <f>IFERROR(IF(OR($N391="",$O391="",$S391=""),"",ABS($N391-$O391)*$S391*VLOOKUP($F391,'⚙️ Setelan'!$A$14:$F$20,4,FALSE)),"")</f>
        <v/>
      </c>
      <c r="U391" s="63" t="str">
        <f t="shared" si="44"/>
        <v/>
      </c>
      <c r="V391" s="65" t="str">
        <f>IFERROR(IF(OR($Q391="",$N391="",$S391=""),"",($Q391-$N391)*IF($G391="Buy",1,-1)*$S391*VLOOKUP($F391,'⚙️ Setelan'!$A$14:$F$20,4,FALSE)),"")</f>
        <v/>
      </c>
      <c r="W391" s="65" t="str">
        <f>IFERROR(IF(OR($S391="",$F391=""),"",$S391*VLOOKUP($F391,'⚙️ Setelan'!$A$14:$F$20,5,FALSE)),"")</f>
        <v/>
      </c>
      <c r="X391" s="65" t="str">
        <f t="shared" si="45"/>
        <v/>
      </c>
      <c r="Y391" s="63" t="str">
        <f t="shared" si="46"/>
        <v/>
      </c>
      <c r="Z391" s="58" t="str">
        <f t="shared" si="47"/>
        <v/>
      </c>
      <c r="AA391" s="66" t="str">
        <f t="shared" si="48"/>
        <v/>
      </c>
      <c r="AB391" s="62"/>
      <c r="AC391" s="62"/>
      <c r="AD391" s="63" t="str">
        <f>IFERROR(IF(OR($AB391="",$T391="",$T391=0),"",ROUND(ABS($N391-$AB391)*$S391*VLOOKUP($F391,'⚙️ Setelan'!$A$14:$F$20,4,FALSE)/$T391,2)),"")</f>
        <v/>
      </c>
      <c r="AE391" s="63" t="str">
        <f>IFERROR(IF(OR($AC391="",$T391="",$T391=0),"",ROUND(ABS($AC391-$N391)*$S391*VLOOKUP($F391,'⚙️ Setelan'!$A$14:$F$20,4,FALSE)/$T391,2)),"")</f>
        <v/>
      </c>
      <c r="AF391" s="61"/>
      <c r="AG391" s="61"/>
      <c r="AH391" s="61"/>
      <c r="AI391" s="61"/>
      <c r="AJ391" s="61"/>
      <c r="AK391" s="67"/>
      <c r="AL391" s="58" t="str">
        <f>IF(OR($C391="",$B391=""),"",IF(AND($Z390="Loss",$B391=$B390,MOD($C391-$D390,1)*1440&lt;'⚙️ Setelan'!$B$9),"⚠️ Revenge",""))</f>
        <v/>
      </c>
      <c r="AM391" s="68"/>
      <c r="AN391" s="58" t="str">
        <f>IF($AM391="","",IFERROR(_xlfn.IMAGE(IF(REGEXMATCH($AM391,"\.(png|jpg|jpeg|gif)$"),$AM391,"https://s3.tradingview.com/snapshots/"&amp;LOWER(MID(REGEXEXTRACT($AM391,"/x/([A-Za-z0-9]+)"),1,1))&amp;"/"&amp;REGEXEXTRACT($AM391,"/x/([A-Za-z0-9]+)")&amp;".png"),1),"⚠️ link tidak dikenali"))</f>
        <v/>
      </c>
      <c r="AO391" s="68"/>
      <c r="AP391" s="58" t="str">
        <f>IF($AO391="","",IFERROR(_xlfn.IMAGE(IF(REGEXMATCH($AO391,"\.(png|jpg|jpeg|gif)$"),$AO391,"https://s3.tradingview.com/snapshots/"&amp;LOWER(MID(REGEXEXTRACT($AO391,"/x/([A-Za-z0-9]+)"),1,1))&amp;"/"&amp;REGEXEXTRACT($AO391,"/x/([A-Za-z0-9]+)")&amp;".png"),1),"⚠️ link tidak dikenali"))</f>
        <v/>
      </c>
      <c r="AQ391" s="66">
        <f>IF($Z391="",0,IF(AND(OR('📊 Dashboard'!$B$4="(Semua)",$F391='📊 Dashboard'!$B$4),OR('📊 Dashboard'!$B$5="(Semua)",$H391='📊 Dashboard'!$B$5),OR('📊 Dashboard'!$B$6="(Semua)",$E391='📊 Dashboard'!$B$6),OR('📊 Dashboard'!$B$7="(Semua)",$AF391='📊 Dashboard'!$B$7),OR('📊 Dashboard'!$B$8="(Semua)",$AG391='📊 Dashboard'!$B$8),OR('📊 Dashboard'!$B$9="(Semua)",$K391='📊 Dashboard'!$B$9)),1,0))</f>
        <v>0</v>
      </c>
      <c r="AR391" s="69"/>
    </row>
    <row r="392" ht="58" customHeight="1" spans="1:44">
      <c r="A392" s="58" t="str">
        <f t="shared" si="42"/>
        <v/>
      </c>
      <c r="B392" s="59"/>
      <c r="C392" s="60"/>
      <c r="D392" s="60"/>
      <c r="E392" s="58" t="str">
        <f t="shared" si="43"/>
        <v/>
      </c>
      <c r="F392" s="61"/>
      <c r="G392" s="61"/>
      <c r="H392" s="61"/>
      <c r="I392" s="61"/>
      <c r="J392" s="61"/>
      <c r="K392" s="61"/>
      <c r="L392" s="61"/>
      <c r="M392" s="61"/>
      <c r="N392" s="62"/>
      <c r="O392" s="62"/>
      <c r="P392" s="62"/>
      <c r="Q392" s="62"/>
      <c r="R392" s="63" t="str">
        <f>IFERROR(IF(OR($N392="",$O392="",$F392=""),"",ROUND(('⚙️ Setelan'!$B$3*'⚙️ Setelan'!$B$4/100)/(ABS($N392-$O392)*VLOOKUP($F392,'⚙️ Setelan'!$A$14:$F$20,4,FALSE)),2)),"")</f>
        <v/>
      </c>
      <c r="S392" s="64"/>
      <c r="T392" s="65" t="str">
        <f>IFERROR(IF(OR($N392="",$O392="",$S392=""),"",ABS($N392-$O392)*$S392*VLOOKUP($F392,'⚙️ Setelan'!$A$14:$F$20,4,FALSE)),"")</f>
        <v/>
      </c>
      <c r="U392" s="63" t="str">
        <f t="shared" si="44"/>
        <v/>
      </c>
      <c r="V392" s="65" t="str">
        <f>IFERROR(IF(OR($Q392="",$N392="",$S392=""),"",($Q392-$N392)*IF($G392="Buy",1,-1)*$S392*VLOOKUP($F392,'⚙️ Setelan'!$A$14:$F$20,4,FALSE)),"")</f>
        <v/>
      </c>
      <c r="W392" s="65" t="str">
        <f>IFERROR(IF(OR($S392="",$F392=""),"",$S392*VLOOKUP($F392,'⚙️ Setelan'!$A$14:$F$20,5,FALSE)),"")</f>
        <v/>
      </c>
      <c r="X392" s="65" t="str">
        <f t="shared" si="45"/>
        <v/>
      </c>
      <c r="Y392" s="63" t="str">
        <f t="shared" si="46"/>
        <v/>
      </c>
      <c r="Z392" s="58" t="str">
        <f t="shared" si="47"/>
        <v/>
      </c>
      <c r="AA392" s="66" t="str">
        <f t="shared" si="48"/>
        <v/>
      </c>
      <c r="AB392" s="62"/>
      <c r="AC392" s="62"/>
      <c r="AD392" s="63" t="str">
        <f>IFERROR(IF(OR($AB392="",$T392="",$T392=0),"",ROUND(ABS($N392-$AB392)*$S392*VLOOKUP($F392,'⚙️ Setelan'!$A$14:$F$20,4,FALSE)/$T392,2)),"")</f>
        <v/>
      </c>
      <c r="AE392" s="63" t="str">
        <f>IFERROR(IF(OR($AC392="",$T392="",$T392=0),"",ROUND(ABS($AC392-$N392)*$S392*VLOOKUP($F392,'⚙️ Setelan'!$A$14:$F$20,4,FALSE)/$T392,2)),"")</f>
        <v/>
      </c>
      <c r="AF392" s="61"/>
      <c r="AG392" s="61"/>
      <c r="AH392" s="61"/>
      <c r="AI392" s="61"/>
      <c r="AJ392" s="61"/>
      <c r="AK392" s="67"/>
      <c r="AL392" s="58" t="str">
        <f>IF(OR($C392="",$B392=""),"",IF(AND($Z391="Loss",$B392=$B391,MOD($C392-$D391,1)*1440&lt;'⚙️ Setelan'!$B$9),"⚠️ Revenge",""))</f>
        <v/>
      </c>
      <c r="AM392" s="68"/>
      <c r="AN392" s="58" t="str">
        <f>IF($AM392="","",IFERROR(_xlfn.IMAGE(IF(REGEXMATCH($AM392,"\.(png|jpg|jpeg|gif)$"),$AM392,"https://s3.tradingview.com/snapshots/"&amp;LOWER(MID(REGEXEXTRACT($AM392,"/x/([A-Za-z0-9]+)"),1,1))&amp;"/"&amp;REGEXEXTRACT($AM392,"/x/([A-Za-z0-9]+)")&amp;".png"),1),"⚠️ link tidak dikenali"))</f>
        <v/>
      </c>
      <c r="AO392" s="68"/>
      <c r="AP392" s="58" t="str">
        <f>IF($AO392="","",IFERROR(_xlfn.IMAGE(IF(REGEXMATCH($AO392,"\.(png|jpg|jpeg|gif)$"),$AO392,"https://s3.tradingview.com/snapshots/"&amp;LOWER(MID(REGEXEXTRACT($AO392,"/x/([A-Za-z0-9]+)"),1,1))&amp;"/"&amp;REGEXEXTRACT($AO392,"/x/([A-Za-z0-9]+)")&amp;".png"),1),"⚠️ link tidak dikenali"))</f>
        <v/>
      </c>
      <c r="AQ392" s="66">
        <f>IF($Z392="",0,IF(AND(OR('📊 Dashboard'!$B$4="(Semua)",$F392='📊 Dashboard'!$B$4),OR('📊 Dashboard'!$B$5="(Semua)",$H392='📊 Dashboard'!$B$5),OR('📊 Dashboard'!$B$6="(Semua)",$E392='📊 Dashboard'!$B$6),OR('📊 Dashboard'!$B$7="(Semua)",$AF392='📊 Dashboard'!$B$7),OR('📊 Dashboard'!$B$8="(Semua)",$AG392='📊 Dashboard'!$B$8),OR('📊 Dashboard'!$B$9="(Semua)",$K392='📊 Dashboard'!$B$9)),1,0))</f>
        <v>0</v>
      </c>
      <c r="AR392" s="69"/>
    </row>
    <row r="393" ht="58" customHeight="1" spans="1:44">
      <c r="A393" s="58" t="str">
        <f t="shared" si="42"/>
        <v/>
      </c>
      <c r="B393" s="59"/>
      <c r="C393" s="60"/>
      <c r="D393" s="60"/>
      <c r="E393" s="58" t="str">
        <f t="shared" si="43"/>
        <v/>
      </c>
      <c r="F393" s="61"/>
      <c r="G393" s="61"/>
      <c r="H393" s="61"/>
      <c r="I393" s="61"/>
      <c r="J393" s="61"/>
      <c r="K393" s="61"/>
      <c r="L393" s="61"/>
      <c r="M393" s="61"/>
      <c r="N393" s="62"/>
      <c r="O393" s="62"/>
      <c r="P393" s="62"/>
      <c r="Q393" s="62"/>
      <c r="R393" s="63" t="str">
        <f>IFERROR(IF(OR($N393="",$O393="",$F393=""),"",ROUND(('⚙️ Setelan'!$B$3*'⚙️ Setelan'!$B$4/100)/(ABS($N393-$O393)*VLOOKUP($F393,'⚙️ Setelan'!$A$14:$F$20,4,FALSE)),2)),"")</f>
        <v/>
      </c>
      <c r="S393" s="64"/>
      <c r="T393" s="65" t="str">
        <f>IFERROR(IF(OR($N393="",$O393="",$S393=""),"",ABS($N393-$O393)*$S393*VLOOKUP($F393,'⚙️ Setelan'!$A$14:$F$20,4,FALSE)),"")</f>
        <v/>
      </c>
      <c r="U393" s="63" t="str">
        <f t="shared" si="44"/>
        <v/>
      </c>
      <c r="V393" s="65" t="str">
        <f>IFERROR(IF(OR($Q393="",$N393="",$S393=""),"",($Q393-$N393)*IF($G393="Buy",1,-1)*$S393*VLOOKUP($F393,'⚙️ Setelan'!$A$14:$F$20,4,FALSE)),"")</f>
        <v/>
      </c>
      <c r="W393" s="65" t="str">
        <f>IFERROR(IF(OR($S393="",$F393=""),"",$S393*VLOOKUP($F393,'⚙️ Setelan'!$A$14:$F$20,5,FALSE)),"")</f>
        <v/>
      </c>
      <c r="X393" s="65" t="str">
        <f t="shared" si="45"/>
        <v/>
      </c>
      <c r="Y393" s="63" t="str">
        <f t="shared" si="46"/>
        <v/>
      </c>
      <c r="Z393" s="58" t="str">
        <f t="shared" si="47"/>
        <v/>
      </c>
      <c r="AA393" s="66" t="str">
        <f t="shared" si="48"/>
        <v/>
      </c>
      <c r="AB393" s="62"/>
      <c r="AC393" s="62"/>
      <c r="AD393" s="63" t="str">
        <f>IFERROR(IF(OR($AB393="",$T393="",$T393=0),"",ROUND(ABS($N393-$AB393)*$S393*VLOOKUP($F393,'⚙️ Setelan'!$A$14:$F$20,4,FALSE)/$T393,2)),"")</f>
        <v/>
      </c>
      <c r="AE393" s="63" t="str">
        <f>IFERROR(IF(OR($AC393="",$T393="",$T393=0),"",ROUND(ABS($AC393-$N393)*$S393*VLOOKUP($F393,'⚙️ Setelan'!$A$14:$F$20,4,FALSE)/$T393,2)),"")</f>
        <v/>
      </c>
      <c r="AF393" s="61"/>
      <c r="AG393" s="61"/>
      <c r="AH393" s="61"/>
      <c r="AI393" s="61"/>
      <c r="AJ393" s="61"/>
      <c r="AK393" s="67"/>
      <c r="AL393" s="58" t="str">
        <f>IF(OR($C393="",$B393=""),"",IF(AND($Z392="Loss",$B393=$B392,MOD($C393-$D392,1)*1440&lt;'⚙️ Setelan'!$B$9),"⚠️ Revenge",""))</f>
        <v/>
      </c>
      <c r="AM393" s="68"/>
      <c r="AN393" s="58" t="str">
        <f>IF($AM393="","",IFERROR(_xlfn.IMAGE(IF(REGEXMATCH($AM393,"\.(png|jpg|jpeg|gif)$"),$AM393,"https://s3.tradingview.com/snapshots/"&amp;LOWER(MID(REGEXEXTRACT($AM393,"/x/([A-Za-z0-9]+)"),1,1))&amp;"/"&amp;REGEXEXTRACT($AM393,"/x/([A-Za-z0-9]+)")&amp;".png"),1),"⚠️ link tidak dikenali"))</f>
        <v/>
      </c>
      <c r="AO393" s="68"/>
      <c r="AP393" s="58" t="str">
        <f>IF($AO393="","",IFERROR(_xlfn.IMAGE(IF(REGEXMATCH($AO393,"\.(png|jpg|jpeg|gif)$"),$AO393,"https://s3.tradingview.com/snapshots/"&amp;LOWER(MID(REGEXEXTRACT($AO393,"/x/([A-Za-z0-9]+)"),1,1))&amp;"/"&amp;REGEXEXTRACT($AO393,"/x/([A-Za-z0-9]+)")&amp;".png"),1),"⚠️ link tidak dikenali"))</f>
        <v/>
      </c>
      <c r="AQ393" s="66">
        <f>IF($Z393="",0,IF(AND(OR('📊 Dashboard'!$B$4="(Semua)",$F393='📊 Dashboard'!$B$4),OR('📊 Dashboard'!$B$5="(Semua)",$H393='📊 Dashboard'!$B$5),OR('📊 Dashboard'!$B$6="(Semua)",$E393='📊 Dashboard'!$B$6),OR('📊 Dashboard'!$B$7="(Semua)",$AF393='📊 Dashboard'!$B$7),OR('📊 Dashboard'!$B$8="(Semua)",$AG393='📊 Dashboard'!$B$8),OR('📊 Dashboard'!$B$9="(Semua)",$K393='📊 Dashboard'!$B$9)),1,0))</f>
        <v>0</v>
      </c>
      <c r="AR393" s="69"/>
    </row>
    <row r="394" ht="58" customHeight="1" spans="1:44">
      <c r="A394" s="58" t="str">
        <f t="shared" si="42"/>
        <v/>
      </c>
      <c r="B394" s="59"/>
      <c r="C394" s="60"/>
      <c r="D394" s="60"/>
      <c r="E394" s="58" t="str">
        <f t="shared" si="43"/>
        <v/>
      </c>
      <c r="F394" s="61"/>
      <c r="G394" s="61"/>
      <c r="H394" s="61"/>
      <c r="I394" s="61"/>
      <c r="J394" s="61"/>
      <c r="K394" s="61"/>
      <c r="L394" s="61"/>
      <c r="M394" s="61"/>
      <c r="N394" s="62"/>
      <c r="O394" s="62"/>
      <c r="P394" s="62"/>
      <c r="Q394" s="62"/>
      <c r="R394" s="63" t="str">
        <f>IFERROR(IF(OR($N394="",$O394="",$F394=""),"",ROUND(('⚙️ Setelan'!$B$3*'⚙️ Setelan'!$B$4/100)/(ABS($N394-$O394)*VLOOKUP($F394,'⚙️ Setelan'!$A$14:$F$20,4,FALSE)),2)),"")</f>
        <v/>
      </c>
      <c r="S394" s="64"/>
      <c r="T394" s="65" t="str">
        <f>IFERROR(IF(OR($N394="",$O394="",$S394=""),"",ABS($N394-$O394)*$S394*VLOOKUP($F394,'⚙️ Setelan'!$A$14:$F$20,4,FALSE)),"")</f>
        <v/>
      </c>
      <c r="U394" s="63" t="str">
        <f t="shared" si="44"/>
        <v/>
      </c>
      <c r="V394" s="65" t="str">
        <f>IFERROR(IF(OR($Q394="",$N394="",$S394=""),"",($Q394-$N394)*IF($G394="Buy",1,-1)*$S394*VLOOKUP($F394,'⚙️ Setelan'!$A$14:$F$20,4,FALSE)),"")</f>
        <v/>
      </c>
      <c r="W394" s="65" t="str">
        <f>IFERROR(IF(OR($S394="",$F394=""),"",$S394*VLOOKUP($F394,'⚙️ Setelan'!$A$14:$F$20,5,FALSE)),"")</f>
        <v/>
      </c>
      <c r="X394" s="65" t="str">
        <f t="shared" si="45"/>
        <v/>
      </c>
      <c r="Y394" s="63" t="str">
        <f t="shared" si="46"/>
        <v/>
      </c>
      <c r="Z394" s="58" t="str">
        <f t="shared" si="47"/>
        <v/>
      </c>
      <c r="AA394" s="66" t="str">
        <f t="shared" si="48"/>
        <v/>
      </c>
      <c r="AB394" s="62"/>
      <c r="AC394" s="62"/>
      <c r="AD394" s="63" t="str">
        <f>IFERROR(IF(OR($AB394="",$T394="",$T394=0),"",ROUND(ABS($N394-$AB394)*$S394*VLOOKUP($F394,'⚙️ Setelan'!$A$14:$F$20,4,FALSE)/$T394,2)),"")</f>
        <v/>
      </c>
      <c r="AE394" s="63" t="str">
        <f>IFERROR(IF(OR($AC394="",$T394="",$T394=0),"",ROUND(ABS($AC394-$N394)*$S394*VLOOKUP($F394,'⚙️ Setelan'!$A$14:$F$20,4,FALSE)/$T394,2)),"")</f>
        <v/>
      </c>
      <c r="AF394" s="61"/>
      <c r="AG394" s="61"/>
      <c r="AH394" s="61"/>
      <c r="AI394" s="61"/>
      <c r="AJ394" s="61"/>
      <c r="AK394" s="67"/>
      <c r="AL394" s="58" t="str">
        <f>IF(OR($C394="",$B394=""),"",IF(AND($Z393="Loss",$B394=$B393,MOD($C394-$D393,1)*1440&lt;'⚙️ Setelan'!$B$9),"⚠️ Revenge",""))</f>
        <v/>
      </c>
      <c r="AM394" s="68"/>
      <c r="AN394" s="58" t="str">
        <f>IF($AM394="","",IFERROR(_xlfn.IMAGE(IF(REGEXMATCH($AM394,"\.(png|jpg|jpeg|gif)$"),$AM394,"https://s3.tradingview.com/snapshots/"&amp;LOWER(MID(REGEXEXTRACT($AM394,"/x/([A-Za-z0-9]+)"),1,1))&amp;"/"&amp;REGEXEXTRACT($AM394,"/x/([A-Za-z0-9]+)")&amp;".png"),1),"⚠️ link tidak dikenali"))</f>
        <v/>
      </c>
      <c r="AO394" s="68"/>
      <c r="AP394" s="58" t="str">
        <f>IF($AO394="","",IFERROR(_xlfn.IMAGE(IF(REGEXMATCH($AO394,"\.(png|jpg|jpeg|gif)$"),$AO394,"https://s3.tradingview.com/snapshots/"&amp;LOWER(MID(REGEXEXTRACT($AO394,"/x/([A-Za-z0-9]+)"),1,1))&amp;"/"&amp;REGEXEXTRACT($AO394,"/x/([A-Za-z0-9]+)")&amp;".png"),1),"⚠️ link tidak dikenali"))</f>
        <v/>
      </c>
      <c r="AQ394" s="66">
        <f>IF($Z394="",0,IF(AND(OR('📊 Dashboard'!$B$4="(Semua)",$F394='📊 Dashboard'!$B$4),OR('📊 Dashboard'!$B$5="(Semua)",$H394='📊 Dashboard'!$B$5),OR('📊 Dashboard'!$B$6="(Semua)",$E394='📊 Dashboard'!$B$6),OR('📊 Dashboard'!$B$7="(Semua)",$AF394='📊 Dashboard'!$B$7),OR('📊 Dashboard'!$B$8="(Semua)",$AG394='📊 Dashboard'!$B$8),OR('📊 Dashboard'!$B$9="(Semua)",$K394='📊 Dashboard'!$B$9)),1,0))</f>
        <v>0</v>
      </c>
      <c r="AR394" s="69"/>
    </row>
    <row r="395" ht="58" customHeight="1" spans="1:44">
      <c r="A395" s="58" t="str">
        <f t="shared" si="42"/>
        <v/>
      </c>
      <c r="B395" s="59"/>
      <c r="C395" s="60"/>
      <c r="D395" s="60"/>
      <c r="E395" s="58" t="str">
        <f t="shared" si="43"/>
        <v/>
      </c>
      <c r="F395" s="61"/>
      <c r="G395" s="61"/>
      <c r="H395" s="61"/>
      <c r="I395" s="61"/>
      <c r="J395" s="61"/>
      <c r="K395" s="61"/>
      <c r="L395" s="61"/>
      <c r="M395" s="61"/>
      <c r="N395" s="62"/>
      <c r="O395" s="62"/>
      <c r="P395" s="62"/>
      <c r="Q395" s="62"/>
      <c r="R395" s="63" t="str">
        <f>IFERROR(IF(OR($N395="",$O395="",$F395=""),"",ROUND(('⚙️ Setelan'!$B$3*'⚙️ Setelan'!$B$4/100)/(ABS($N395-$O395)*VLOOKUP($F395,'⚙️ Setelan'!$A$14:$F$20,4,FALSE)),2)),"")</f>
        <v/>
      </c>
      <c r="S395" s="64"/>
      <c r="T395" s="65" t="str">
        <f>IFERROR(IF(OR($N395="",$O395="",$S395=""),"",ABS($N395-$O395)*$S395*VLOOKUP($F395,'⚙️ Setelan'!$A$14:$F$20,4,FALSE)),"")</f>
        <v/>
      </c>
      <c r="U395" s="63" t="str">
        <f t="shared" si="44"/>
        <v/>
      </c>
      <c r="V395" s="65" t="str">
        <f>IFERROR(IF(OR($Q395="",$N395="",$S395=""),"",($Q395-$N395)*IF($G395="Buy",1,-1)*$S395*VLOOKUP($F395,'⚙️ Setelan'!$A$14:$F$20,4,FALSE)),"")</f>
        <v/>
      </c>
      <c r="W395" s="65" t="str">
        <f>IFERROR(IF(OR($S395="",$F395=""),"",$S395*VLOOKUP($F395,'⚙️ Setelan'!$A$14:$F$20,5,FALSE)),"")</f>
        <v/>
      </c>
      <c r="X395" s="65" t="str">
        <f t="shared" si="45"/>
        <v/>
      </c>
      <c r="Y395" s="63" t="str">
        <f t="shared" si="46"/>
        <v/>
      </c>
      <c r="Z395" s="58" t="str">
        <f t="shared" si="47"/>
        <v/>
      </c>
      <c r="AA395" s="66" t="str">
        <f t="shared" si="48"/>
        <v/>
      </c>
      <c r="AB395" s="62"/>
      <c r="AC395" s="62"/>
      <c r="AD395" s="63" t="str">
        <f>IFERROR(IF(OR($AB395="",$T395="",$T395=0),"",ROUND(ABS($N395-$AB395)*$S395*VLOOKUP($F395,'⚙️ Setelan'!$A$14:$F$20,4,FALSE)/$T395,2)),"")</f>
        <v/>
      </c>
      <c r="AE395" s="63" t="str">
        <f>IFERROR(IF(OR($AC395="",$T395="",$T395=0),"",ROUND(ABS($AC395-$N395)*$S395*VLOOKUP($F395,'⚙️ Setelan'!$A$14:$F$20,4,FALSE)/$T395,2)),"")</f>
        <v/>
      </c>
      <c r="AF395" s="61"/>
      <c r="AG395" s="61"/>
      <c r="AH395" s="61"/>
      <c r="AI395" s="61"/>
      <c r="AJ395" s="61"/>
      <c r="AK395" s="67"/>
      <c r="AL395" s="58" t="str">
        <f>IF(OR($C395="",$B395=""),"",IF(AND($Z394="Loss",$B395=$B394,MOD($C395-$D394,1)*1440&lt;'⚙️ Setelan'!$B$9),"⚠️ Revenge",""))</f>
        <v/>
      </c>
      <c r="AM395" s="68"/>
      <c r="AN395" s="58" t="str">
        <f>IF($AM395="","",IFERROR(_xlfn.IMAGE(IF(REGEXMATCH($AM395,"\.(png|jpg|jpeg|gif)$"),$AM395,"https://s3.tradingview.com/snapshots/"&amp;LOWER(MID(REGEXEXTRACT($AM395,"/x/([A-Za-z0-9]+)"),1,1))&amp;"/"&amp;REGEXEXTRACT($AM395,"/x/([A-Za-z0-9]+)")&amp;".png"),1),"⚠️ link tidak dikenali"))</f>
        <v/>
      </c>
      <c r="AO395" s="68"/>
      <c r="AP395" s="58" t="str">
        <f>IF($AO395="","",IFERROR(_xlfn.IMAGE(IF(REGEXMATCH($AO395,"\.(png|jpg|jpeg|gif)$"),$AO395,"https://s3.tradingview.com/snapshots/"&amp;LOWER(MID(REGEXEXTRACT($AO395,"/x/([A-Za-z0-9]+)"),1,1))&amp;"/"&amp;REGEXEXTRACT($AO395,"/x/([A-Za-z0-9]+)")&amp;".png"),1),"⚠️ link tidak dikenali"))</f>
        <v/>
      </c>
      <c r="AQ395" s="66">
        <f>IF($Z395="",0,IF(AND(OR('📊 Dashboard'!$B$4="(Semua)",$F395='📊 Dashboard'!$B$4),OR('📊 Dashboard'!$B$5="(Semua)",$H395='📊 Dashboard'!$B$5),OR('📊 Dashboard'!$B$6="(Semua)",$E395='📊 Dashboard'!$B$6),OR('📊 Dashboard'!$B$7="(Semua)",$AF395='📊 Dashboard'!$B$7),OR('📊 Dashboard'!$B$8="(Semua)",$AG395='📊 Dashboard'!$B$8),OR('📊 Dashboard'!$B$9="(Semua)",$K395='📊 Dashboard'!$B$9)),1,0))</f>
        <v>0</v>
      </c>
      <c r="AR395" s="69"/>
    </row>
    <row r="396" ht="58" customHeight="1" spans="1:44">
      <c r="A396" s="58" t="str">
        <f t="shared" si="42"/>
        <v/>
      </c>
      <c r="B396" s="59"/>
      <c r="C396" s="60"/>
      <c r="D396" s="60"/>
      <c r="E396" s="58" t="str">
        <f t="shared" si="43"/>
        <v/>
      </c>
      <c r="F396" s="61"/>
      <c r="G396" s="61"/>
      <c r="H396" s="61"/>
      <c r="I396" s="61"/>
      <c r="J396" s="61"/>
      <c r="K396" s="61"/>
      <c r="L396" s="61"/>
      <c r="M396" s="61"/>
      <c r="N396" s="62"/>
      <c r="O396" s="62"/>
      <c r="P396" s="62"/>
      <c r="Q396" s="62"/>
      <c r="R396" s="63" t="str">
        <f>IFERROR(IF(OR($N396="",$O396="",$F396=""),"",ROUND(('⚙️ Setelan'!$B$3*'⚙️ Setelan'!$B$4/100)/(ABS($N396-$O396)*VLOOKUP($F396,'⚙️ Setelan'!$A$14:$F$20,4,FALSE)),2)),"")</f>
        <v/>
      </c>
      <c r="S396" s="64"/>
      <c r="T396" s="65" t="str">
        <f>IFERROR(IF(OR($N396="",$O396="",$S396=""),"",ABS($N396-$O396)*$S396*VLOOKUP($F396,'⚙️ Setelan'!$A$14:$F$20,4,FALSE)),"")</f>
        <v/>
      </c>
      <c r="U396" s="63" t="str">
        <f t="shared" si="44"/>
        <v/>
      </c>
      <c r="V396" s="65" t="str">
        <f>IFERROR(IF(OR($Q396="",$N396="",$S396=""),"",($Q396-$N396)*IF($G396="Buy",1,-1)*$S396*VLOOKUP($F396,'⚙️ Setelan'!$A$14:$F$20,4,FALSE)),"")</f>
        <v/>
      </c>
      <c r="W396" s="65" t="str">
        <f>IFERROR(IF(OR($S396="",$F396=""),"",$S396*VLOOKUP($F396,'⚙️ Setelan'!$A$14:$F$20,5,FALSE)),"")</f>
        <v/>
      </c>
      <c r="X396" s="65" t="str">
        <f t="shared" si="45"/>
        <v/>
      </c>
      <c r="Y396" s="63" t="str">
        <f t="shared" si="46"/>
        <v/>
      </c>
      <c r="Z396" s="58" t="str">
        <f t="shared" si="47"/>
        <v/>
      </c>
      <c r="AA396" s="66" t="str">
        <f t="shared" si="48"/>
        <v/>
      </c>
      <c r="AB396" s="62"/>
      <c r="AC396" s="62"/>
      <c r="AD396" s="63" t="str">
        <f>IFERROR(IF(OR($AB396="",$T396="",$T396=0),"",ROUND(ABS($N396-$AB396)*$S396*VLOOKUP($F396,'⚙️ Setelan'!$A$14:$F$20,4,FALSE)/$T396,2)),"")</f>
        <v/>
      </c>
      <c r="AE396" s="63" t="str">
        <f>IFERROR(IF(OR($AC396="",$T396="",$T396=0),"",ROUND(ABS($AC396-$N396)*$S396*VLOOKUP($F396,'⚙️ Setelan'!$A$14:$F$20,4,FALSE)/$T396,2)),"")</f>
        <v/>
      </c>
      <c r="AF396" s="61"/>
      <c r="AG396" s="61"/>
      <c r="AH396" s="61"/>
      <c r="AI396" s="61"/>
      <c r="AJ396" s="61"/>
      <c r="AK396" s="67"/>
      <c r="AL396" s="58" t="str">
        <f>IF(OR($C396="",$B396=""),"",IF(AND($Z395="Loss",$B396=$B395,MOD($C396-$D395,1)*1440&lt;'⚙️ Setelan'!$B$9),"⚠️ Revenge",""))</f>
        <v/>
      </c>
      <c r="AM396" s="68"/>
      <c r="AN396" s="58" t="str">
        <f>IF($AM396="","",IFERROR(_xlfn.IMAGE(IF(REGEXMATCH($AM396,"\.(png|jpg|jpeg|gif)$"),$AM396,"https://s3.tradingview.com/snapshots/"&amp;LOWER(MID(REGEXEXTRACT($AM396,"/x/([A-Za-z0-9]+)"),1,1))&amp;"/"&amp;REGEXEXTRACT($AM396,"/x/([A-Za-z0-9]+)")&amp;".png"),1),"⚠️ link tidak dikenali"))</f>
        <v/>
      </c>
      <c r="AO396" s="68"/>
      <c r="AP396" s="58" t="str">
        <f>IF($AO396="","",IFERROR(_xlfn.IMAGE(IF(REGEXMATCH($AO396,"\.(png|jpg|jpeg|gif)$"),$AO396,"https://s3.tradingview.com/snapshots/"&amp;LOWER(MID(REGEXEXTRACT($AO396,"/x/([A-Za-z0-9]+)"),1,1))&amp;"/"&amp;REGEXEXTRACT($AO396,"/x/([A-Za-z0-9]+)")&amp;".png"),1),"⚠️ link tidak dikenali"))</f>
        <v/>
      </c>
      <c r="AQ396" s="66">
        <f>IF($Z396="",0,IF(AND(OR('📊 Dashboard'!$B$4="(Semua)",$F396='📊 Dashboard'!$B$4),OR('📊 Dashboard'!$B$5="(Semua)",$H396='📊 Dashboard'!$B$5),OR('📊 Dashboard'!$B$6="(Semua)",$E396='📊 Dashboard'!$B$6),OR('📊 Dashboard'!$B$7="(Semua)",$AF396='📊 Dashboard'!$B$7),OR('📊 Dashboard'!$B$8="(Semua)",$AG396='📊 Dashboard'!$B$8),OR('📊 Dashboard'!$B$9="(Semua)",$K396='📊 Dashboard'!$B$9)),1,0))</f>
        <v>0</v>
      </c>
      <c r="AR396" s="69"/>
    </row>
    <row r="397" ht="58" customHeight="1" spans="1:44">
      <c r="A397" s="58" t="str">
        <f t="shared" si="42"/>
        <v/>
      </c>
      <c r="B397" s="59"/>
      <c r="C397" s="60"/>
      <c r="D397" s="60"/>
      <c r="E397" s="58" t="str">
        <f t="shared" si="43"/>
        <v/>
      </c>
      <c r="F397" s="61"/>
      <c r="G397" s="61"/>
      <c r="H397" s="61"/>
      <c r="I397" s="61"/>
      <c r="J397" s="61"/>
      <c r="K397" s="61"/>
      <c r="L397" s="61"/>
      <c r="M397" s="61"/>
      <c r="N397" s="62"/>
      <c r="O397" s="62"/>
      <c r="P397" s="62"/>
      <c r="Q397" s="62"/>
      <c r="R397" s="63" t="str">
        <f>IFERROR(IF(OR($N397="",$O397="",$F397=""),"",ROUND(('⚙️ Setelan'!$B$3*'⚙️ Setelan'!$B$4/100)/(ABS($N397-$O397)*VLOOKUP($F397,'⚙️ Setelan'!$A$14:$F$20,4,FALSE)),2)),"")</f>
        <v/>
      </c>
      <c r="S397" s="64"/>
      <c r="T397" s="65" t="str">
        <f>IFERROR(IF(OR($N397="",$O397="",$S397=""),"",ABS($N397-$O397)*$S397*VLOOKUP($F397,'⚙️ Setelan'!$A$14:$F$20,4,FALSE)),"")</f>
        <v/>
      </c>
      <c r="U397" s="63" t="str">
        <f t="shared" si="44"/>
        <v/>
      </c>
      <c r="V397" s="65" t="str">
        <f>IFERROR(IF(OR($Q397="",$N397="",$S397=""),"",($Q397-$N397)*IF($G397="Buy",1,-1)*$S397*VLOOKUP($F397,'⚙️ Setelan'!$A$14:$F$20,4,FALSE)),"")</f>
        <v/>
      </c>
      <c r="W397" s="65" t="str">
        <f>IFERROR(IF(OR($S397="",$F397=""),"",$S397*VLOOKUP($F397,'⚙️ Setelan'!$A$14:$F$20,5,FALSE)),"")</f>
        <v/>
      </c>
      <c r="X397" s="65" t="str">
        <f t="shared" si="45"/>
        <v/>
      </c>
      <c r="Y397" s="63" t="str">
        <f t="shared" si="46"/>
        <v/>
      </c>
      <c r="Z397" s="58" t="str">
        <f t="shared" si="47"/>
        <v/>
      </c>
      <c r="AA397" s="66" t="str">
        <f t="shared" si="48"/>
        <v/>
      </c>
      <c r="AB397" s="62"/>
      <c r="AC397" s="62"/>
      <c r="AD397" s="63" t="str">
        <f>IFERROR(IF(OR($AB397="",$T397="",$T397=0),"",ROUND(ABS($N397-$AB397)*$S397*VLOOKUP($F397,'⚙️ Setelan'!$A$14:$F$20,4,FALSE)/$T397,2)),"")</f>
        <v/>
      </c>
      <c r="AE397" s="63" t="str">
        <f>IFERROR(IF(OR($AC397="",$T397="",$T397=0),"",ROUND(ABS($AC397-$N397)*$S397*VLOOKUP($F397,'⚙️ Setelan'!$A$14:$F$20,4,FALSE)/$T397,2)),"")</f>
        <v/>
      </c>
      <c r="AF397" s="61"/>
      <c r="AG397" s="61"/>
      <c r="AH397" s="61"/>
      <c r="AI397" s="61"/>
      <c r="AJ397" s="61"/>
      <c r="AK397" s="67"/>
      <c r="AL397" s="58" t="str">
        <f>IF(OR($C397="",$B397=""),"",IF(AND($Z396="Loss",$B397=$B396,MOD($C397-$D396,1)*1440&lt;'⚙️ Setelan'!$B$9),"⚠️ Revenge",""))</f>
        <v/>
      </c>
      <c r="AM397" s="68"/>
      <c r="AN397" s="58" t="str">
        <f>IF($AM397="","",IFERROR(_xlfn.IMAGE(IF(REGEXMATCH($AM397,"\.(png|jpg|jpeg|gif)$"),$AM397,"https://s3.tradingview.com/snapshots/"&amp;LOWER(MID(REGEXEXTRACT($AM397,"/x/([A-Za-z0-9]+)"),1,1))&amp;"/"&amp;REGEXEXTRACT($AM397,"/x/([A-Za-z0-9]+)")&amp;".png"),1),"⚠️ link tidak dikenali"))</f>
        <v/>
      </c>
      <c r="AO397" s="68"/>
      <c r="AP397" s="58" t="str">
        <f>IF($AO397="","",IFERROR(_xlfn.IMAGE(IF(REGEXMATCH($AO397,"\.(png|jpg|jpeg|gif)$"),$AO397,"https://s3.tradingview.com/snapshots/"&amp;LOWER(MID(REGEXEXTRACT($AO397,"/x/([A-Za-z0-9]+)"),1,1))&amp;"/"&amp;REGEXEXTRACT($AO397,"/x/([A-Za-z0-9]+)")&amp;".png"),1),"⚠️ link tidak dikenali"))</f>
        <v/>
      </c>
      <c r="AQ397" s="66">
        <f>IF($Z397="",0,IF(AND(OR('📊 Dashboard'!$B$4="(Semua)",$F397='📊 Dashboard'!$B$4),OR('📊 Dashboard'!$B$5="(Semua)",$H397='📊 Dashboard'!$B$5),OR('📊 Dashboard'!$B$6="(Semua)",$E397='📊 Dashboard'!$B$6),OR('📊 Dashboard'!$B$7="(Semua)",$AF397='📊 Dashboard'!$B$7),OR('📊 Dashboard'!$B$8="(Semua)",$AG397='📊 Dashboard'!$B$8),OR('📊 Dashboard'!$B$9="(Semua)",$K397='📊 Dashboard'!$B$9)),1,0))</f>
        <v>0</v>
      </c>
      <c r="AR397" s="69"/>
    </row>
    <row r="398" ht="58" customHeight="1" spans="1:44">
      <c r="A398" s="58" t="str">
        <f t="shared" si="42"/>
        <v/>
      </c>
      <c r="B398" s="59"/>
      <c r="C398" s="60"/>
      <c r="D398" s="60"/>
      <c r="E398" s="58" t="str">
        <f t="shared" si="43"/>
        <v/>
      </c>
      <c r="F398" s="61"/>
      <c r="G398" s="61"/>
      <c r="H398" s="61"/>
      <c r="I398" s="61"/>
      <c r="J398" s="61"/>
      <c r="K398" s="61"/>
      <c r="L398" s="61"/>
      <c r="M398" s="61"/>
      <c r="N398" s="62"/>
      <c r="O398" s="62"/>
      <c r="P398" s="62"/>
      <c r="Q398" s="62"/>
      <c r="R398" s="63" t="str">
        <f>IFERROR(IF(OR($N398="",$O398="",$F398=""),"",ROUND(('⚙️ Setelan'!$B$3*'⚙️ Setelan'!$B$4/100)/(ABS($N398-$O398)*VLOOKUP($F398,'⚙️ Setelan'!$A$14:$F$20,4,FALSE)),2)),"")</f>
        <v/>
      </c>
      <c r="S398" s="64"/>
      <c r="T398" s="65" t="str">
        <f>IFERROR(IF(OR($N398="",$O398="",$S398=""),"",ABS($N398-$O398)*$S398*VLOOKUP($F398,'⚙️ Setelan'!$A$14:$F$20,4,FALSE)),"")</f>
        <v/>
      </c>
      <c r="U398" s="63" t="str">
        <f t="shared" si="44"/>
        <v/>
      </c>
      <c r="V398" s="65" t="str">
        <f>IFERROR(IF(OR($Q398="",$N398="",$S398=""),"",($Q398-$N398)*IF($G398="Buy",1,-1)*$S398*VLOOKUP($F398,'⚙️ Setelan'!$A$14:$F$20,4,FALSE)),"")</f>
        <v/>
      </c>
      <c r="W398" s="65" t="str">
        <f>IFERROR(IF(OR($S398="",$F398=""),"",$S398*VLOOKUP($F398,'⚙️ Setelan'!$A$14:$F$20,5,FALSE)),"")</f>
        <v/>
      </c>
      <c r="X398" s="65" t="str">
        <f t="shared" si="45"/>
        <v/>
      </c>
      <c r="Y398" s="63" t="str">
        <f t="shared" si="46"/>
        <v/>
      </c>
      <c r="Z398" s="58" t="str">
        <f t="shared" si="47"/>
        <v/>
      </c>
      <c r="AA398" s="66" t="str">
        <f t="shared" si="48"/>
        <v/>
      </c>
      <c r="AB398" s="62"/>
      <c r="AC398" s="62"/>
      <c r="AD398" s="63" t="str">
        <f>IFERROR(IF(OR($AB398="",$T398="",$T398=0),"",ROUND(ABS($N398-$AB398)*$S398*VLOOKUP($F398,'⚙️ Setelan'!$A$14:$F$20,4,FALSE)/$T398,2)),"")</f>
        <v/>
      </c>
      <c r="AE398" s="63" t="str">
        <f>IFERROR(IF(OR($AC398="",$T398="",$T398=0),"",ROUND(ABS($AC398-$N398)*$S398*VLOOKUP($F398,'⚙️ Setelan'!$A$14:$F$20,4,FALSE)/$T398,2)),"")</f>
        <v/>
      </c>
      <c r="AF398" s="61"/>
      <c r="AG398" s="61"/>
      <c r="AH398" s="61"/>
      <c r="AI398" s="61"/>
      <c r="AJ398" s="61"/>
      <c r="AK398" s="67"/>
      <c r="AL398" s="58" t="str">
        <f>IF(OR($C398="",$B398=""),"",IF(AND($Z397="Loss",$B398=$B397,MOD($C398-$D397,1)*1440&lt;'⚙️ Setelan'!$B$9),"⚠️ Revenge",""))</f>
        <v/>
      </c>
      <c r="AM398" s="68"/>
      <c r="AN398" s="58" t="str">
        <f>IF($AM398="","",IFERROR(_xlfn.IMAGE(IF(REGEXMATCH($AM398,"\.(png|jpg|jpeg|gif)$"),$AM398,"https://s3.tradingview.com/snapshots/"&amp;LOWER(MID(REGEXEXTRACT($AM398,"/x/([A-Za-z0-9]+)"),1,1))&amp;"/"&amp;REGEXEXTRACT($AM398,"/x/([A-Za-z0-9]+)")&amp;".png"),1),"⚠️ link tidak dikenali"))</f>
        <v/>
      </c>
      <c r="AO398" s="68"/>
      <c r="AP398" s="58" t="str">
        <f>IF($AO398="","",IFERROR(_xlfn.IMAGE(IF(REGEXMATCH($AO398,"\.(png|jpg|jpeg|gif)$"),$AO398,"https://s3.tradingview.com/snapshots/"&amp;LOWER(MID(REGEXEXTRACT($AO398,"/x/([A-Za-z0-9]+)"),1,1))&amp;"/"&amp;REGEXEXTRACT($AO398,"/x/([A-Za-z0-9]+)")&amp;".png"),1),"⚠️ link tidak dikenali"))</f>
        <v/>
      </c>
      <c r="AQ398" s="66">
        <f>IF($Z398="",0,IF(AND(OR('📊 Dashboard'!$B$4="(Semua)",$F398='📊 Dashboard'!$B$4),OR('📊 Dashboard'!$B$5="(Semua)",$H398='📊 Dashboard'!$B$5),OR('📊 Dashboard'!$B$6="(Semua)",$E398='📊 Dashboard'!$B$6),OR('📊 Dashboard'!$B$7="(Semua)",$AF398='📊 Dashboard'!$B$7),OR('📊 Dashboard'!$B$8="(Semua)",$AG398='📊 Dashboard'!$B$8),OR('📊 Dashboard'!$B$9="(Semua)",$K398='📊 Dashboard'!$B$9)),1,0))</f>
        <v>0</v>
      </c>
      <c r="AR398" s="69"/>
    </row>
    <row r="399" ht="58" customHeight="1" spans="1:44">
      <c r="A399" s="58" t="str">
        <f t="shared" si="42"/>
        <v/>
      </c>
      <c r="B399" s="59"/>
      <c r="C399" s="60"/>
      <c r="D399" s="60"/>
      <c r="E399" s="58" t="str">
        <f t="shared" si="43"/>
        <v/>
      </c>
      <c r="F399" s="61"/>
      <c r="G399" s="61"/>
      <c r="H399" s="61"/>
      <c r="I399" s="61"/>
      <c r="J399" s="61"/>
      <c r="K399" s="61"/>
      <c r="L399" s="61"/>
      <c r="M399" s="61"/>
      <c r="N399" s="62"/>
      <c r="O399" s="62"/>
      <c r="P399" s="62"/>
      <c r="Q399" s="62"/>
      <c r="R399" s="63" t="str">
        <f>IFERROR(IF(OR($N399="",$O399="",$F399=""),"",ROUND(('⚙️ Setelan'!$B$3*'⚙️ Setelan'!$B$4/100)/(ABS($N399-$O399)*VLOOKUP($F399,'⚙️ Setelan'!$A$14:$F$20,4,FALSE)),2)),"")</f>
        <v/>
      </c>
      <c r="S399" s="64"/>
      <c r="T399" s="65" t="str">
        <f>IFERROR(IF(OR($N399="",$O399="",$S399=""),"",ABS($N399-$O399)*$S399*VLOOKUP($F399,'⚙️ Setelan'!$A$14:$F$20,4,FALSE)),"")</f>
        <v/>
      </c>
      <c r="U399" s="63" t="str">
        <f t="shared" si="44"/>
        <v/>
      </c>
      <c r="V399" s="65" t="str">
        <f>IFERROR(IF(OR($Q399="",$N399="",$S399=""),"",($Q399-$N399)*IF($G399="Buy",1,-1)*$S399*VLOOKUP($F399,'⚙️ Setelan'!$A$14:$F$20,4,FALSE)),"")</f>
        <v/>
      </c>
      <c r="W399" s="65" t="str">
        <f>IFERROR(IF(OR($S399="",$F399=""),"",$S399*VLOOKUP($F399,'⚙️ Setelan'!$A$14:$F$20,5,FALSE)),"")</f>
        <v/>
      </c>
      <c r="X399" s="65" t="str">
        <f t="shared" si="45"/>
        <v/>
      </c>
      <c r="Y399" s="63" t="str">
        <f t="shared" si="46"/>
        <v/>
      </c>
      <c r="Z399" s="58" t="str">
        <f t="shared" si="47"/>
        <v/>
      </c>
      <c r="AA399" s="66" t="str">
        <f t="shared" si="48"/>
        <v/>
      </c>
      <c r="AB399" s="62"/>
      <c r="AC399" s="62"/>
      <c r="AD399" s="63" t="str">
        <f>IFERROR(IF(OR($AB399="",$T399="",$T399=0),"",ROUND(ABS($N399-$AB399)*$S399*VLOOKUP($F399,'⚙️ Setelan'!$A$14:$F$20,4,FALSE)/$T399,2)),"")</f>
        <v/>
      </c>
      <c r="AE399" s="63" t="str">
        <f>IFERROR(IF(OR($AC399="",$T399="",$T399=0),"",ROUND(ABS($AC399-$N399)*$S399*VLOOKUP($F399,'⚙️ Setelan'!$A$14:$F$20,4,FALSE)/$T399,2)),"")</f>
        <v/>
      </c>
      <c r="AF399" s="61"/>
      <c r="AG399" s="61"/>
      <c r="AH399" s="61"/>
      <c r="AI399" s="61"/>
      <c r="AJ399" s="61"/>
      <c r="AK399" s="67"/>
      <c r="AL399" s="58" t="str">
        <f>IF(OR($C399="",$B399=""),"",IF(AND($Z398="Loss",$B399=$B398,MOD($C399-$D398,1)*1440&lt;'⚙️ Setelan'!$B$9),"⚠️ Revenge",""))</f>
        <v/>
      </c>
      <c r="AM399" s="68"/>
      <c r="AN399" s="58" t="str">
        <f>IF($AM399="","",IFERROR(_xlfn.IMAGE(IF(REGEXMATCH($AM399,"\.(png|jpg|jpeg|gif)$"),$AM399,"https://s3.tradingview.com/snapshots/"&amp;LOWER(MID(REGEXEXTRACT($AM399,"/x/([A-Za-z0-9]+)"),1,1))&amp;"/"&amp;REGEXEXTRACT($AM399,"/x/([A-Za-z0-9]+)")&amp;".png"),1),"⚠️ link tidak dikenali"))</f>
        <v/>
      </c>
      <c r="AO399" s="68"/>
      <c r="AP399" s="58" t="str">
        <f>IF($AO399="","",IFERROR(_xlfn.IMAGE(IF(REGEXMATCH($AO399,"\.(png|jpg|jpeg|gif)$"),$AO399,"https://s3.tradingview.com/snapshots/"&amp;LOWER(MID(REGEXEXTRACT($AO399,"/x/([A-Za-z0-9]+)"),1,1))&amp;"/"&amp;REGEXEXTRACT($AO399,"/x/([A-Za-z0-9]+)")&amp;".png"),1),"⚠️ link tidak dikenali"))</f>
        <v/>
      </c>
      <c r="AQ399" s="66">
        <f>IF($Z399="",0,IF(AND(OR('📊 Dashboard'!$B$4="(Semua)",$F399='📊 Dashboard'!$B$4),OR('📊 Dashboard'!$B$5="(Semua)",$H399='📊 Dashboard'!$B$5),OR('📊 Dashboard'!$B$6="(Semua)",$E399='📊 Dashboard'!$B$6),OR('📊 Dashboard'!$B$7="(Semua)",$AF399='📊 Dashboard'!$B$7),OR('📊 Dashboard'!$B$8="(Semua)",$AG399='📊 Dashboard'!$B$8),OR('📊 Dashboard'!$B$9="(Semua)",$K399='📊 Dashboard'!$B$9)),1,0))</f>
        <v>0</v>
      </c>
      <c r="AR399" s="69"/>
    </row>
    <row r="400" ht="58" customHeight="1" spans="1:44">
      <c r="A400" s="58" t="str">
        <f t="shared" si="42"/>
        <v/>
      </c>
      <c r="B400" s="59"/>
      <c r="C400" s="60"/>
      <c r="D400" s="60"/>
      <c r="E400" s="58" t="str">
        <f t="shared" si="43"/>
        <v/>
      </c>
      <c r="F400" s="61"/>
      <c r="G400" s="61"/>
      <c r="H400" s="61"/>
      <c r="I400" s="61"/>
      <c r="J400" s="61"/>
      <c r="K400" s="61"/>
      <c r="L400" s="61"/>
      <c r="M400" s="61"/>
      <c r="N400" s="62"/>
      <c r="O400" s="62"/>
      <c r="P400" s="62"/>
      <c r="Q400" s="62"/>
      <c r="R400" s="63" t="str">
        <f>IFERROR(IF(OR($N400="",$O400="",$F400=""),"",ROUND(('⚙️ Setelan'!$B$3*'⚙️ Setelan'!$B$4/100)/(ABS($N400-$O400)*VLOOKUP($F400,'⚙️ Setelan'!$A$14:$F$20,4,FALSE)),2)),"")</f>
        <v/>
      </c>
      <c r="S400" s="64"/>
      <c r="T400" s="65" t="str">
        <f>IFERROR(IF(OR($N400="",$O400="",$S400=""),"",ABS($N400-$O400)*$S400*VLOOKUP($F400,'⚙️ Setelan'!$A$14:$F$20,4,FALSE)),"")</f>
        <v/>
      </c>
      <c r="U400" s="63" t="str">
        <f t="shared" si="44"/>
        <v/>
      </c>
      <c r="V400" s="65" t="str">
        <f>IFERROR(IF(OR($Q400="",$N400="",$S400=""),"",($Q400-$N400)*IF($G400="Buy",1,-1)*$S400*VLOOKUP($F400,'⚙️ Setelan'!$A$14:$F$20,4,FALSE)),"")</f>
        <v/>
      </c>
      <c r="W400" s="65" t="str">
        <f>IFERROR(IF(OR($S400="",$F400=""),"",$S400*VLOOKUP($F400,'⚙️ Setelan'!$A$14:$F$20,5,FALSE)),"")</f>
        <v/>
      </c>
      <c r="X400" s="65" t="str">
        <f t="shared" si="45"/>
        <v/>
      </c>
      <c r="Y400" s="63" t="str">
        <f t="shared" si="46"/>
        <v/>
      </c>
      <c r="Z400" s="58" t="str">
        <f t="shared" si="47"/>
        <v/>
      </c>
      <c r="AA400" s="66" t="str">
        <f t="shared" si="48"/>
        <v/>
      </c>
      <c r="AB400" s="62"/>
      <c r="AC400" s="62"/>
      <c r="AD400" s="63" t="str">
        <f>IFERROR(IF(OR($AB400="",$T400="",$T400=0),"",ROUND(ABS($N400-$AB400)*$S400*VLOOKUP($F400,'⚙️ Setelan'!$A$14:$F$20,4,FALSE)/$T400,2)),"")</f>
        <v/>
      </c>
      <c r="AE400" s="63" t="str">
        <f>IFERROR(IF(OR($AC400="",$T400="",$T400=0),"",ROUND(ABS($AC400-$N400)*$S400*VLOOKUP($F400,'⚙️ Setelan'!$A$14:$F$20,4,FALSE)/$T400,2)),"")</f>
        <v/>
      </c>
      <c r="AF400" s="61"/>
      <c r="AG400" s="61"/>
      <c r="AH400" s="61"/>
      <c r="AI400" s="61"/>
      <c r="AJ400" s="61"/>
      <c r="AK400" s="67"/>
      <c r="AL400" s="58" t="str">
        <f>IF(OR($C400="",$B400=""),"",IF(AND($Z399="Loss",$B400=$B399,MOD($C400-$D399,1)*1440&lt;'⚙️ Setelan'!$B$9),"⚠️ Revenge",""))</f>
        <v/>
      </c>
      <c r="AM400" s="68"/>
      <c r="AN400" s="58" t="str">
        <f>IF($AM400="","",IFERROR(_xlfn.IMAGE(IF(REGEXMATCH($AM400,"\.(png|jpg|jpeg|gif)$"),$AM400,"https://s3.tradingview.com/snapshots/"&amp;LOWER(MID(REGEXEXTRACT($AM400,"/x/([A-Za-z0-9]+)"),1,1))&amp;"/"&amp;REGEXEXTRACT($AM400,"/x/([A-Za-z0-9]+)")&amp;".png"),1),"⚠️ link tidak dikenali"))</f>
        <v/>
      </c>
      <c r="AO400" s="68"/>
      <c r="AP400" s="58" t="str">
        <f>IF($AO400="","",IFERROR(_xlfn.IMAGE(IF(REGEXMATCH($AO400,"\.(png|jpg|jpeg|gif)$"),$AO400,"https://s3.tradingview.com/snapshots/"&amp;LOWER(MID(REGEXEXTRACT($AO400,"/x/([A-Za-z0-9]+)"),1,1))&amp;"/"&amp;REGEXEXTRACT($AO400,"/x/([A-Za-z0-9]+)")&amp;".png"),1),"⚠️ link tidak dikenali"))</f>
        <v/>
      </c>
      <c r="AQ400" s="66">
        <f>IF($Z400="",0,IF(AND(OR('📊 Dashboard'!$B$4="(Semua)",$F400='📊 Dashboard'!$B$4),OR('📊 Dashboard'!$B$5="(Semua)",$H400='📊 Dashboard'!$B$5),OR('📊 Dashboard'!$B$6="(Semua)",$E400='📊 Dashboard'!$B$6),OR('📊 Dashboard'!$B$7="(Semua)",$AF400='📊 Dashboard'!$B$7),OR('📊 Dashboard'!$B$8="(Semua)",$AG400='📊 Dashboard'!$B$8),OR('📊 Dashboard'!$B$9="(Semua)",$K400='📊 Dashboard'!$B$9)),1,0))</f>
        <v>0</v>
      </c>
      <c r="AR400" s="69"/>
    </row>
    <row r="401" ht="58" customHeight="1" spans="1:44">
      <c r="A401" s="58" t="str">
        <f t="shared" si="42"/>
        <v/>
      </c>
      <c r="B401" s="59"/>
      <c r="C401" s="60"/>
      <c r="D401" s="60"/>
      <c r="E401" s="58" t="str">
        <f t="shared" si="43"/>
        <v/>
      </c>
      <c r="F401" s="61"/>
      <c r="G401" s="61"/>
      <c r="H401" s="61"/>
      <c r="I401" s="61"/>
      <c r="J401" s="61"/>
      <c r="K401" s="61"/>
      <c r="L401" s="61"/>
      <c r="M401" s="61"/>
      <c r="N401" s="62"/>
      <c r="O401" s="62"/>
      <c r="P401" s="62"/>
      <c r="Q401" s="62"/>
      <c r="R401" s="63" t="str">
        <f>IFERROR(IF(OR($N401="",$O401="",$F401=""),"",ROUND(('⚙️ Setelan'!$B$3*'⚙️ Setelan'!$B$4/100)/(ABS($N401-$O401)*VLOOKUP($F401,'⚙️ Setelan'!$A$14:$F$20,4,FALSE)),2)),"")</f>
        <v/>
      </c>
      <c r="S401" s="64"/>
      <c r="T401" s="65" t="str">
        <f>IFERROR(IF(OR($N401="",$O401="",$S401=""),"",ABS($N401-$O401)*$S401*VLOOKUP($F401,'⚙️ Setelan'!$A$14:$F$20,4,FALSE)),"")</f>
        <v/>
      </c>
      <c r="U401" s="63" t="str">
        <f t="shared" si="44"/>
        <v/>
      </c>
      <c r="V401" s="65" t="str">
        <f>IFERROR(IF(OR($Q401="",$N401="",$S401=""),"",($Q401-$N401)*IF($G401="Buy",1,-1)*$S401*VLOOKUP($F401,'⚙️ Setelan'!$A$14:$F$20,4,FALSE)),"")</f>
        <v/>
      </c>
      <c r="W401" s="65" t="str">
        <f>IFERROR(IF(OR($S401="",$F401=""),"",$S401*VLOOKUP($F401,'⚙️ Setelan'!$A$14:$F$20,5,FALSE)),"")</f>
        <v/>
      </c>
      <c r="X401" s="65" t="str">
        <f t="shared" si="45"/>
        <v/>
      </c>
      <c r="Y401" s="63" t="str">
        <f t="shared" si="46"/>
        <v/>
      </c>
      <c r="Z401" s="58" t="str">
        <f t="shared" si="47"/>
        <v/>
      </c>
      <c r="AA401" s="66" t="str">
        <f t="shared" si="48"/>
        <v/>
      </c>
      <c r="AB401" s="62"/>
      <c r="AC401" s="62"/>
      <c r="AD401" s="63" t="str">
        <f>IFERROR(IF(OR($AB401="",$T401="",$T401=0),"",ROUND(ABS($N401-$AB401)*$S401*VLOOKUP($F401,'⚙️ Setelan'!$A$14:$F$20,4,FALSE)/$T401,2)),"")</f>
        <v/>
      </c>
      <c r="AE401" s="63" t="str">
        <f>IFERROR(IF(OR($AC401="",$T401="",$T401=0),"",ROUND(ABS($AC401-$N401)*$S401*VLOOKUP($F401,'⚙️ Setelan'!$A$14:$F$20,4,FALSE)/$T401,2)),"")</f>
        <v/>
      </c>
      <c r="AF401" s="61"/>
      <c r="AG401" s="61"/>
      <c r="AH401" s="61"/>
      <c r="AI401" s="61"/>
      <c r="AJ401" s="61"/>
      <c r="AK401" s="67"/>
      <c r="AL401" s="58" t="str">
        <f>IF(OR($C401="",$B401=""),"",IF(AND($Z400="Loss",$B401=$B400,MOD($C401-$D400,1)*1440&lt;'⚙️ Setelan'!$B$9),"⚠️ Revenge",""))</f>
        <v/>
      </c>
      <c r="AM401" s="68"/>
      <c r="AN401" s="58" t="str">
        <f>IF($AM401="","",IFERROR(_xlfn.IMAGE(IF(REGEXMATCH($AM401,"\.(png|jpg|jpeg|gif)$"),$AM401,"https://s3.tradingview.com/snapshots/"&amp;LOWER(MID(REGEXEXTRACT($AM401,"/x/([A-Za-z0-9]+)"),1,1))&amp;"/"&amp;REGEXEXTRACT($AM401,"/x/([A-Za-z0-9]+)")&amp;".png"),1),"⚠️ link tidak dikenali"))</f>
        <v/>
      </c>
      <c r="AO401" s="68"/>
      <c r="AP401" s="58" t="str">
        <f>IF($AO401="","",IFERROR(_xlfn.IMAGE(IF(REGEXMATCH($AO401,"\.(png|jpg|jpeg|gif)$"),$AO401,"https://s3.tradingview.com/snapshots/"&amp;LOWER(MID(REGEXEXTRACT($AO401,"/x/([A-Za-z0-9]+)"),1,1))&amp;"/"&amp;REGEXEXTRACT($AO401,"/x/([A-Za-z0-9]+)")&amp;".png"),1),"⚠️ link tidak dikenali"))</f>
        <v/>
      </c>
      <c r="AQ401" s="66">
        <f>IF($Z401="",0,IF(AND(OR('📊 Dashboard'!$B$4="(Semua)",$F401='📊 Dashboard'!$B$4),OR('📊 Dashboard'!$B$5="(Semua)",$H401='📊 Dashboard'!$B$5),OR('📊 Dashboard'!$B$6="(Semua)",$E401='📊 Dashboard'!$B$6),OR('📊 Dashboard'!$B$7="(Semua)",$AF401='📊 Dashboard'!$B$7),OR('📊 Dashboard'!$B$8="(Semua)",$AG401='📊 Dashboard'!$B$8),OR('📊 Dashboard'!$B$9="(Semua)",$K401='📊 Dashboard'!$B$9)),1,0))</f>
        <v>0</v>
      </c>
      <c r="AR401" s="69"/>
    </row>
    <row r="402" ht="58" customHeight="1" spans="1:44">
      <c r="A402" s="58" t="str">
        <f t="shared" si="42"/>
        <v/>
      </c>
      <c r="B402" s="59"/>
      <c r="C402" s="60"/>
      <c r="D402" s="60"/>
      <c r="E402" s="58" t="str">
        <f t="shared" si="43"/>
        <v/>
      </c>
      <c r="F402" s="61"/>
      <c r="G402" s="61"/>
      <c r="H402" s="61"/>
      <c r="I402" s="61"/>
      <c r="J402" s="61"/>
      <c r="K402" s="61"/>
      <c r="L402" s="61"/>
      <c r="M402" s="61"/>
      <c r="N402" s="62"/>
      <c r="O402" s="62"/>
      <c r="P402" s="62"/>
      <c r="Q402" s="62"/>
      <c r="R402" s="63" t="str">
        <f>IFERROR(IF(OR($N402="",$O402="",$F402=""),"",ROUND(('⚙️ Setelan'!$B$3*'⚙️ Setelan'!$B$4/100)/(ABS($N402-$O402)*VLOOKUP($F402,'⚙️ Setelan'!$A$14:$F$20,4,FALSE)),2)),"")</f>
        <v/>
      </c>
      <c r="S402" s="64"/>
      <c r="T402" s="65" t="str">
        <f>IFERROR(IF(OR($N402="",$O402="",$S402=""),"",ABS($N402-$O402)*$S402*VLOOKUP($F402,'⚙️ Setelan'!$A$14:$F$20,4,FALSE)),"")</f>
        <v/>
      </c>
      <c r="U402" s="63" t="str">
        <f t="shared" si="44"/>
        <v/>
      </c>
      <c r="V402" s="65" t="str">
        <f>IFERROR(IF(OR($Q402="",$N402="",$S402=""),"",($Q402-$N402)*IF($G402="Buy",1,-1)*$S402*VLOOKUP($F402,'⚙️ Setelan'!$A$14:$F$20,4,FALSE)),"")</f>
        <v/>
      </c>
      <c r="W402" s="65" t="str">
        <f>IFERROR(IF(OR($S402="",$F402=""),"",$S402*VLOOKUP($F402,'⚙️ Setelan'!$A$14:$F$20,5,FALSE)),"")</f>
        <v/>
      </c>
      <c r="X402" s="65" t="str">
        <f t="shared" si="45"/>
        <v/>
      </c>
      <c r="Y402" s="63" t="str">
        <f t="shared" si="46"/>
        <v/>
      </c>
      <c r="Z402" s="58" t="str">
        <f t="shared" si="47"/>
        <v/>
      </c>
      <c r="AA402" s="66" t="str">
        <f t="shared" si="48"/>
        <v/>
      </c>
      <c r="AB402" s="62"/>
      <c r="AC402" s="62"/>
      <c r="AD402" s="63" t="str">
        <f>IFERROR(IF(OR($AB402="",$T402="",$T402=0),"",ROUND(ABS($N402-$AB402)*$S402*VLOOKUP($F402,'⚙️ Setelan'!$A$14:$F$20,4,FALSE)/$T402,2)),"")</f>
        <v/>
      </c>
      <c r="AE402" s="63" t="str">
        <f>IFERROR(IF(OR($AC402="",$T402="",$T402=0),"",ROUND(ABS($AC402-$N402)*$S402*VLOOKUP($F402,'⚙️ Setelan'!$A$14:$F$20,4,FALSE)/$T402,2)),"")</f>
        <v/>
      </c>
      <c r="AF402" s="61"/>
      <c r="AG402" s="61"/>
      <c r="AH402" s="61"/>
      <c r="AI402" s="61"/>
      <c r="AJ402" s="61"/>
      <c r="AK402" s="67"/>
      <c r="AL402" s="58" t="str">
        <f>IF(OR($C402="",$B402=""),"",IF(AND($Z401="Loss",$B402=$B401,MOD($C402-$D401,1)*1440&lt;'⚙️ Setelan'!$B$9),"⚠️ Revenge",""))</f>
        <v/>
      </c>
      <c r="AM402" s="68"/>
      <c r="AN402" s="58" t="str">
        <f>IF($AM402="","",IFERROR(_xlfn.IMAGE(IF(REGEXMATCH($AM402,"\.(png|jpg|jpeg|gif)$"),$AM402,"https://s3.tradingview.com/snapshots/"&amp;LOWER(MID(REGEXEXTRACT($AM402,"/x/([A-Za-z0-9]+)"),1,1))&amp;"/"&amp;REGEXEXTRACT($AM402,"/x/([A-Za-z0-9]+)")&amp;".png"),1),"⚠️ link tidak dikenali"))</f>
        <v/>
      </c>
      <c r="AO402" s="68"/>
      <c r="AP402" s="58" t="str">
        <f>IF($AO402="","",IFERROR(_xlfn.IMAGE(IF(REGEXMATCH($AO402,"\.(png|jpg|jpeg|gif)$"),$AO402,"https://s3.tradingview.com/snapshots/"&amp;LOWER(MID(REGEXEXTRACT($AO402,"/x/([A-Za-z0-9]+)"),1,1))&amp;"/"&amp;REGEXEXTRACT($AO402,"/x/([A-Za-z0-9]+)")&amp;".png"),1),"⚠️ link tidak dikenali"))</f>
        <v/>
      </c>
      <c r="AQ402" s="66">
        <f>IF($Z402="",0,IF(AND(OR('📊 Dashboard'!$B$4="(Semua)",$F402='📊 Dashboard'!$B$4),OR('📊 Dashboard'!$B$5="(Semua)",$H402='📊 Dashboard'!$B$5),OR('📊 Dashboard'!$B$6="(Semua)",$E402='📊 Dashboard'!$B$6),OR('📊 Dashboard'!$B$7="(Semua)",$AF402='📊 Dashboard'!$B$7),OR('📊 Dashboard'!$B$8="(Semua)",$AG402='📊 Dashboard'!$B$8),OR('📊 Dashboard'!$B$9="(Semua)",$K402='📊 Dashboard'!$B$9)),1,0))</f>
        <v>0</v>
      </c>
      <c r="AR402" s="69"/>
    </row>
    <row r="403" ht="58" customHeight="1" spans="1:44">
      <c r="A403" s="58" t="str">
        <f t="shared" si="42"/>
        <v/>
      </c>
      <c r="B403" s="59"/>
      <c r="C403" s="60"/>
      <c r="D403" s="60"/>
      <c r="E403" s="58" t="str">
        <f t="shared" si="43"/>
        <v/>
      </c>
      <c r="F403" s="61"/>
      <c r="G403" s="61"/>
      <c r="H403" s="61"/>
      <c r="I403" s="61"/>
      <c r="J403" s="61"/>
      <c r="K403" s="61"/>
      <c r="L403" s="61"/>
      <c r="M403" s="61"/>
      <c r="N403" s="62"/>
      <c r="O403" s="62"/>
      <c r="P403" s="62"/>
      <c r="Q403" s="62"/>
      <c r="R403" s="63" t="str">
        <f>IFERROR(IF(OR($N403="",$O403="",$F403=""),"",ROUND(('⚙️ Setelan'!$B$3*'⚙️ Setelan'!$B$4/100)/(ABS($N403-$O403)*VLOOKUP($F403,'⚙️ Setelan'!$A$14:$F$20,4,FALSE)),2)),"")</f>
        <v/>
      </c>
      <c r="S403" s="64"/>
      <c r="T403" s="65" t="str">
        <f>IFERROR(IF(OR($N403="",$O403="",$S403=""),"",ABS($N403-$O403)*$S403*VLOOKUP($F403,'⚙️ Setelan'!$A$14:$F$20,4,FALSE)),"")</f>
        <v/>
      </c>
      <c r="U403" s="63" t="str">
        <f t="shared" si="44"/>
        <v/>
      </c>
      <c r="V403" s="65" t="str">
        <f>IFERROR(IF(OR($Q403="",$N403="",$S403=""),"",($Q403-$N403)*IF($G403="Buy",1,-1)*$S403*VLOOKUP($F403,'⚙️ Setelan'!$A$14:$F$20,4,FALSE)),"")</f>
        <v/>
      </c>
      <c r="W403" s="65" t="str">
        <f>IFERROR(IF(OR($S403="",$F403=""),"",$S403*VLOOKUP($F403,'⚙️ Setelan'!$A$14:$F$20,5,FALSE)),"")</f>
        <v/>
      </c>
      <c r="X403" s="65" t="str">
        <f t="shared" si="45"/>
        <v/>
      </c>
      <c r="Y403" s="63" t="str">
        <f t="shared" si="46"/>
        <v/>
      </c>
      <c r="Z403" s="58" t="str">
        <f t="shared" si="47"/>
        <v/>
      </c>
      <c r="AA403" s="66" t="str">
        <f t="shared" si="48"/>
        <v/>
      </c>
      <c r="AB403" s="62"/>
      <c r="AC403" s="62"/>
      <c r="AD403" s="63" t="str">
        <f>IFERROR(IF(OR($AB403="",$T403="",$T403=0),"",ROUND(ABS($N403-$AB403)*$S403*VLOOKUP($F403,'⚙️ Setelan'!$A$14:$F$20,4,FALSE)/$T403,2)),"")</f>
        <v/>
      </c>
      <c r="AE403" s="63" t="str">
        <f>IFERROR(IF(OR($AC403="",$T403="",$T403=0),"",ROUND(ABS($AC403-$N403)*$S403*VLOOKUP($F403,'⚙️ Setelan'!$A$14:$F$20,4,FALSE)/$T403,2)),"")</f>
        <v/>
      </c>
      <c r="AF403" s="61"/>
      <c r="AG403" s="61"/>
      <c r="AH403" s="61"/>
      <c r="AI403" s="61"/>
      <c r="AJ403" s="61"/>
      <c r="AK403" s="67"/>
      <c r="AL403" s="58" t="str">
        <f>IF(OR($C403="",$B403=""),"",IF(AND($Z402="Loss",$B403=$B402,MOD($C403-$D402,1)*1440&lt;'⚙️ Setelan'!$B$9),"⚠️ Revenge",""))</f>
        <v/>
      </c>
      <c r="AM403" s="68"/>
      <c r="AN403" s="58" t="str">
        <f>IF($AM403="","",IFERROR(_xlfn.IMAGE(IF(REGEXMATCH($AM403,"\.(png|jpg|jpeg|gif)$"),$AM403,"https://s3.tradingview.com/snapshots/"&amp;LOWER(MID(REGEXEXTRACT($AM403,"/x/([A-Za-z0-9]+)"),1,1))&amp;"/"&amp;REGEXEXTRACT($AM403,"/x/([A-Za-z0-9]+)")&amp;".png"),1),"⚠️ link tidak dikenali"))</f>
        <v/>
      </c>
      <c r="AO403" s="68"/>
      <c r="AP403" s="58" t="str">
        <f>IF($AO403="","",IFERROR(_xlfn.IMAGE(IF(REGEXMATCH($AO403,"\.(png|jpg|jpeg|gif)$"),$AO403,"https://s3.tradingview.com/snapshots/"&amp;LOWER(MID(REGEXEXTRACT($AO403,"/x/([A-Za-z0-9]+)"),1,1))&amp;"/"&amp;REGEXEXTRACT($AO403,"/x/([A-Za-z0-9]+)")&amp;".png"),1),"⚠️ link tidak dikenali"))</f>
        <v/>
      </c>
      <c r="AQ403" s="66">
        <f>IF($Z403="",0,IF(AND(OR('📊 Dashboard'!$B$4="(Semua)",$F403='📊 Dashboard'!$B$4),OR('📊 Dashboard'!$B$5="(Semua)",$H403='📊 Dashboard'!$B$5),OR('📊 Dashboard'!$B$6="(Semua)",$E403='📊 Dashboard'!$B$6),OR('📊 Dashboard'!$B$7="(Semua)",$AF403='📊 Dashboard'!$B$7),OR('📊 Dashboard'!$B$8="(Semua)",$AG403='📊 Dashboard'!$B$8),OR('📊 Dashboard'!$B$9="(Semua)",$K403='📊 Dashboard'!$B$9)),1,0))</f>
        <v>0</v>
      </c>
      <c r="AR403" s="69"/>
    </row>
    <row r="404" ht="58" customHeight="1" spans="1:44">
      <c r="A404" s="58" t="str">
        <f t="shared" si="42"/>
        <v/>
      </c>
      <c r="B404" s="59"/>
      <c r="C404" s="60"/>
      <c r="D404" s="60"/>
      <c r="E404" s="58" t="str">
        <f t="shared" si="43"/>
        <v/>
      </c>
      <c r="F404" s="61"/>
      <c r="G404" s="61"/>
      <c r="H404" s="61"/>
      <c r="I404" s="61"/>
      <c r="J404" s="61"/>
      <c r="K404" s="61"/>
      <c r="L404" s="61"/>
      <c r="M404" s="61"/>
      <c r="N404" s="62"/>
      <c r="O404" s="62"/>
      <c r="P404" s="62"/>
      <c r="Q404" s="62"/>
      <c r="R404" s="63" t="str">
        <f>IFERROR(IF(OR($N404="",$O404="",$F404=""),"",ROUND(('⚙️ Setelan'!$B$3*'⚙️ Setelan'!$B$4/100)/(ABS($N404-$O404)*VLOOKUP($F404,'⚙️ Setelan'!$A$14:$F$20,4,FALSE)),2)),"")</f>
        <v/>
      </c>
      <c r="S404" s="64"/>
      <c r="T404" s="65" t="str">
        <f>IFERROR(IF(OR($N404="",$O404="",$S404=""),"",ABS($N404-$O404)*$S404*VLOOKUP($F404,'⚙️ Setelan'!$A$14:$F$20,4,FALSE)),"")</f>
        <v/>
      </c>
      <c r="U404" s="63" t="str">
        <f t="shared" si="44"/>
        <v/>
      </c>
      <c r="V404" s="65" t="str">
        <f>IFERROR(IF(OR($Q404="",$N404="",$S404=""),"",($Q404-$N404)*IF($G404="Buy",1,-1)*$S404*VLOOKUP($F404,'⚙️ Setelan'!$A$14:$F$20,4,FALSE)),"")</f>
        <v/>
      </c>
      <c r="W404" s="65" t="str">
        <f>IFERROR(IF(OR($S404="",$F404=""),"",$S404*VLOOKUP($F404,'⚙️ Setelan'!$A$14:$F$20,5,FALSE)),"")</f>
        <v/>
      </c>
      <c r="X404" s="65" t="str">
        <f t="shared" si="45"/>
        <v/>
      </c>
      <c r="Y404" s="63" t="str">
        <f t="shared" si="46"/>
        <v/>
      </c>
      <c r="Z404" s="58" t="str">
        <f t="shared" si="47"/>
        <v/>
      </c>
      <c r="AA404" s="66" t="str">
        <f t="shared" si="48"/>
        <v/>
      </c>
      <c r="AB404" s="62"/>
      <c r="AC404" s="62"/>
      <c r="AD404" s="63" t="str">
        <f>IFERROR(IF(OR($AB404="",$T404="",$T404=0),"",ROUND(ABS($N404-$AB404)*$S404*VLOOKUP($F404,'⚙️ Setelan'!$A$14:$F$20,4,FALSE)/$T404,2)),"")</f>
        <v/>
      </c>
      <c r="AE404" s="63" t="str">
        <f>IFERROR(IF(OR($AC404="",$T404="",$T404=0),"",ROUND(ABS($AC404-$N404)*$S404*VLOOKUP($F404,'⚙️ Setelan'!$A$14:$F$20,4,FALSE)/$T404,2)),"")</f>
        <v/>
      </c>
      <c r="AF404" s="61"/>
      <c r="AG404" s="61"/>
      <c r="AH404" s="61"/>
      <c r="AI404" s="61"/>
      <c r="AJ404" s="61"/>
      <c r="AK404" s="67"/>
      <c r="AL404" s="58" t="str">
        <f>IF(OR($C404="",$B404=""),"",IF(AND($Z403="Loss",$B404=$B403,MOD($C404-$D403,1)*1440&lt;'⚙️ Setelan'!$B$9),"⚠️ Revenge",""))</f>
        <v/>
      </c>
      <c r="AM404" s="68"/>
      <c r="AN404" s="58" t="str">
        <f>IF($AM404="","",IFERROR(_xlfn.IMAGE(IF(REGEXMATCH($AM404,"\.(png|jpg|jpeg|gif)$"),$AM404,"https://s3.tradingview.com/snapshots/"&amp;LOWER(MID(REGEXEXTRACT($AM404,"/x/([A-Za-z0-9]+)"),1,1))&amp;"/"&amp;REGEXEXTRACT($AM404,"/x/([A-Za-z0-9]+)")&amp;".png"),1),"⚠️ link tidak dikenali"))</f>
        <v/>
      </c>
      <c r="AO404" s="68"/>
      <c r="AP404" s="58" t="str">
        <f>IF($AO404="","",IFERROR(_xlfn.IMAGE(IF(REGEXMATCH($AO404,"\.(png|jpg|jpeg|gif)$"),$AO404,"https://s3.tradingview.com/snapshots/"&amp;LOWER(MID(REGEXEXTRACT($AO404,"/x/([A-Za-z0-9]+)"),1,1))&amp;"/"&amp;REGEXEXTRACT($AO404,"/x/([A-Za-z0-9]+)")&amp;".png"),1),"⚠️ link tidak dikenali"))</f>
        <v/>
      </c>
      <c r="AQ404" s="66">
        <f>IF($Z404="",0,IF(AND(OR('📊 Dashboard'!$B$4="(Semua)",$F404='📊 Dashboard'!$B$4),OR('📊 Dashboard'!$B$5="(Semua)",$H404='📊 Dashboard'!$B$5),OR('📊 Dashboard'!$B$6="(Semua)",$E404='📊 Dashboard'!$B$6),OR('📊 Dashboard'!$B$7="(Semua)",$AF404='📊 Dashboard'!$B$7),OR('📊 Dashboard'!$B$8="(Semua)",$AG404='📊 Dashboard'!$B$8),OR('📊 Dashboard'!$B$9="(Semua)",$K404='📊 Dashboard'!$B$9)),1,0))</f>
        <v>0</v>
      </c>
      <c r="AR404" s="69"/>
    </row>
    <row r="405" ht="58" customHeight="1" spans="1:44">
      <c r="A405" s="58" t="str">
        <f t="shared" si="42"/>
        <v/>
      </c>
      <c r="B405" s="59"/>
      <c r="C405" s="60"/>
      <c r="D405" s="60"/>
      <c r="E405" s="58" t="str">
        <f t="shared" si="43"/>
        <v/>
      </c>
      <c r="F405" s="61"/>
      <c r="G405" s="61"/>
      <c r="H405" s="61"/>
      <c r="I405" s="61"/>
      <c r="J405" s="61"/>
      <c r="K405" s="61"/>
      <c r="L405" s="61"/>
      <c r="M405" s="61"/>
      <c r="N405" s="62"/>
      <c r="O405" s="62"/>
      <c r="P405" s="62"/>
      <c r="Q405" s="62"/>
      <c r="R405" s="63" t="str">
        <f>IFERROR(IF(OR($N405="",$O405="",$F405=""),"",ROUND(('⚙️ Setelan'!$B$3*'⚙️ Setelan'!$B$4/100)/(ABS($N405-$O405)*VLOOKUP($F405,'⚙️ Setelan'!$A$14:$F$20,4,FALSE)),2)),"")</f>
        <v/>
      </c>
      <c r="S405" s="64"/>
      <c r="T405" s="65" t="str">
        <f>IFERROR(IF(OR($N405="",$O405="",$S405=""),"",ABS($N405-$O405)*$S405*VLOOKUP($F405,'⚙️ Setelan'!$A$14:$F$20,4,FALSE)),"")</f>
        <v/>
      </c>
      <c r="U405" s="63" t="str">
        <f t="shared" si="44"/>
        <v/>
      </c>
      <c r="V405" s="65" t="str">
        <f>IFERROR(IF(OR($Q405="",$N405="",$S405=""),"",($Q405-$N405)*IF($G405="Buy",1,-1)*$S405*VLOOKUP($F405,'⚙️ Setelan'!$A$14:$F$20,4,FALSE)),"")</f>
        <v/>
      </c>
      <c r="W405" s="65" t="str">
        <f>IFERROR(IF(OR($S405="",$F405=""),"",$S405*VLOOKUP($F405,'⚙️ Setelan'!$A$14:$F$20,5,FALSE)),"")</f>
        <v/>
      </c>
      <c r="X405" s="65" t="str">
        <f t="shared" si="45"/>
        <v/>
      </c>
      <c r="Y405" s="63" t="str">
        <f t="shared" si="46"/>
        <v/>
      </c>
      <c r="Z405" s="58" t="str">
        <f t="shared" si="47"/>
        <v/>
      </c>
      <c r="AA405" s="66" t="str">
        <f t="shared" si="48"/>
        <v/>
      </c>
      <c r="AB405" s="62"/>
      <c r="AC405" s="62"/>
      <c r="AD405" s="63" t="str">
        <f>IFERROR(IF(OR($AB405="",$T405="",$T405=0),"",ROUND(ABS($N405-$AB405)*$S405*VLOOKUP($F405,'⚙️ Setelan'!$A$14:$F$20,4,FALSE)/$T405,2)),"")</f>
        <v/>
      </c>
      <c r="AE405" s="63" t="str">
        <f>IFERROR(IF(OR($AC405="",$T405="",$T405=0),"",ROUND(ABS($AC405-$N405)*$S405*VLOOKUP($F405,'⚙️ Setelan'!$A$14:$F$20,4,FALSE)/$T405,2)),"")</f>
        <v/>
      </c>
      <c r="AF405" s="61"/>
      <c r="AG405" s="61"/>
      <c r="AH405" s="61"/>
      <c r="AI405" s="61"/>
      <c r="AJ405" s="61"/>
      <c r="AK405" s="67"/>
      <c r="AL405" s="58" t="str">
        <f>IF(OR($C405="",$B405=""),"",IF(AND($Z404="Loss",$B405=$B404,MOD($C405-$D404,1)*1440&lt;'⚙️ Setelan'!$B$9),"⚠️ Revenge",""))</f>
        <v/>
      </c>
      <c r="AM405" s="68"/>
      <c r="AN405" s="58" t="str">
        <f>IF($AM405="","",IFERROR(_xlfn.IMAGE(IF(REGEXMATCH($AM405,"\.(png|jpg|jpeg|gif)$"),$AM405,"https://s3.tradingview.com/snapshots/"&amp;LOWER(MID(REGEXEXTRACT($AM405,"/x/([A-Za-z0-9]+)"),1,1))&amp;"/"&amp;REGEXEXTRACT($AM405,"/x/([A-Za-z0-9]+)")&amp;".png"),1),"⚠️ link tidak dikenali"))</f>
        <v/>
      </c>
      <c r="AO405" s="68"/>
      <c r="AP405" s="58" t="str">
        <f>IF($AO405="","",IFERROR(_xlfn.IMAGE(IF(REGEXMATCH($AO405,"\.(png|jpg|jpeg|gif)$"),$AO405,"https://s3.tradingview.com/snapshots/"&amp;LOWER(MID(REGEXEXTRACT($AO405,"/x/([A-Za-z0-9]+)"),1,1))&amp;"/"&amp;REGEXEXTRACT($AO405,"/x/([A-Za-z0-9]+)")&amp;".png"),1),"⚠️ link tidak dikenali"))</f>
        <v/>
      </c>
      <c r="AQ405" s="66">
        <f>IF($Z405="",0,IF(AND(OR('📊 Dashboard'!$B$4="(Semua)",$F405='📊 Dashboard'!$B$4),OR('📊 Dashboard'!$B$5="(Semua)",$H405='📊 Dashboard'!$B$5),OR('📊 Dashboard'!$B$6="(Semua)",$E405='📊 Dashboard'!$B$6),OR('📊 Dashboard'!$B$7="(Semua)",$AF405='📊 Dashboard'!$B$7),OR('📊 Dashboard'!$B$8="(Semua)",$AG405='📊 Dashboard'!$B$8),OR('📊 Dashboard'!$B$9="(Semua)",$K405='📊 Dashboard'!$B$9)),1,0))</f>
        <v>0</v>
      </c>
      <c r="AR405" s="69"/>
    </row>
    <row r="406" ht="58" customHeight="1" spans="1:44">
      <c r="A406" s="58" t="str">
        <f t="shared" si="42"/>
        <v/>
      </c>
      <c r="B406" s="59"/>
      <c r="C406" s="60"/>
      <c r="D406" s="60"/>
      <c r="E406" s="58" t="str">
        <f t="shared" si="43"/>
        <v/>
      </c>
      <c r="F406" s="61"/>
      <c r="G406" s="61"/>
      <c r="H406" s="61"/>
      <c r="I406" s="61"/>
      <c r="J406" s="61"/>
      <c r="K406" s="61"/>
      <c r="L406" s="61"/>
      <c r="M406" s="61"/>
      <c r="N406" s="62"/>
      <c r="O406" s="62"/>
      <c r="P406" s="62"/>
      <c r="Q406" s="62"/>
      <c r="R406" s="63" t="str">
        <f>IFERROR(IF(OR($N406="",$O406="",$F406=""),"",ROUND(('⚙️ Setelan'!$B$3*'⚙️ Setelan'!$B$4/100)/(ABS($N406-$O406)*VLOOKUP($F406,'⚙️ Setelan'!$A$14:$F$20,4,FALSE)),2)),"")</f>
        <v/>
      </c>
      <c r="S406" s="64"/>
      <c r="T406" s="65" t="str">
        <f>IFERROR(IF(OR($N406="",$O406="",$S406=""),"",ABS($N406-$O406)*$S406*VLOOKUP($F406,'⚙️ Setelan'!$A$14:$F$20,4,FALSE)),"")</f>
        <v/>
      </c>
      <c r="U406" s="63" t="str">
        <f t="shared" si="44"/>
        <v/>
      </c>
      <c r="V406" s="65" t="str">
        <f>IFERROR(IF(OR($Q406="",$N406="",$S406=""),"",($Q406-$N406)*IF($G406="Buy",1,-1)*$S406*VLOOKUP($F406,'⚙️ Setelan'!$A$14:$F$20,4,FALSE)),"")</f>
        <v/>
      </c>
      <c r="W406" s="65" t="str">
        <f>IFERROR(IF(OR($S406="",$F406=""),"",$S406*VLOOKUP($F406,'⚙️ Setelan'!$A$14:$F$20,5,FALSE)),"")</f>
        <v/>
      </c>
      <c r="X406" s="65" t="str">
        <f t="shared" si="45"/>
        <v/>
      </c>
      <c r="Y406" s="63" t="str">
        <f t="shared" si="46"/>
        <v/>
      </c>
      <c r="Z406" s="58" t="str">
        <f t="shared" si="47"/>
        <v/>
      </c>
      <c r="AA406" s="66" t="str">
        <f t="shared" si="48"/>
        <v/>
      </c>
      <c r="AB406" s="62"/>
      <c r="AC406" s="62"/>
      <c r="AD406" s="63" t="str">
        <f>IFERROR(IF(OR($AB406="",$T406="",$T406=0),"",ROUND(ABS($N406-$AB406)*$S406*VLOOKUP($F406,'⚙️ Setelan'!$A$14:$F$20,4,FALSE)/$T406,2)),"")</f>
        <v/>
      </c>
      <c r="AE406" s="63" t="str">
        <f>IFERROR(IF(OR($AC406="",$T406="",$T406=0),"",ROUND(ABS($AC406-$N406)*$S406*VLOOKUP($F406,'⚙️ Setelan'!$A$14:$F$20,4,FALSE)/$T406,2)),"")</f>
        <v/>
      </c>
      <c r="AF406" s="61"/>
      <c r="AG406" s="61"/>
      <c r="AH406" s="61"/>
      <c r="AI406" s="61"/>
      <c r="AJ406" s="61"/>
      <c r="AK406" s="67"/>
      <c r="AL406" s="58" t="str">
        <f>IF(OR($C406="",$B406=""),"",IF(AND($Z405="Loss",$B406=$B405,MOD($C406-$D405,1)*1440&lt;'⚙️ Setelan'!$B$9),"⚠️ Revenge",""))</f>
        <v/>
      </c>
      <c r="AM406" s="68"/>
      <c r="AN406" s="58" t="str">
        <f>IF($AM406="","",IFERROR(_xlfn.IMAGE(IF(REGEXMATCH($AM406,"\.(png|jpg|jpeg|gif)$"),$AM406,"https://s3.tradingview.com/snapshots/"&amp;LOWER(MID(REGEXEXTRACT($AM406,"/x/([A-Za-z0-9]+)"),1,1))&amp;"/"&amp;REGEXEXTRACT($AM406,"/x/([A-Za-z0-9]+)")&amp;".png"),1),"⚠️ link tidak dikenali"))</f>
        <v/>
      </c>
      <c r="AO406" s="68"/>
      <c r="AP406" s="58" t="str">
        <f>IF($AO406="","",IFERROR(_xlfn.IMAGE(IF(REGEXMATCH($AO406,"\.(png|jpg|jpeg|gif)$"),$AO406,"https://s3.tradingview.com/snapshots/"&amp;LOWER(MID(REGEXEXTRACT($AO406,"/x/([A-Za-z0-9]+)"),1,1))&amp;"/"&amp;REGEXEXTRACT($AO406,"/x/([A-Za-z0-9]+)")&amp;".png"),1),"⚠️ link tidak dikenali"))</f>
        <v/>
      </c>
      <c r="AQ406" s="66">
        <f>IF($Z406="",0,IF(AND(OR('📊 Dashboard'!$B$4="(Semua)",$F406='📊 Dashboard'!$B$4),OR('📊 Dashboard'!$B$5="(Semua)",$H406='📊 Dashboard'!$B$5),OR('📊 Dashboard'!$B$6="(Semua)",$E406='📊 Dashboard'!$B$6),OR('📊 Dashboard'!$B$7="(Semua)",$AF406='📊 Dashboard'!$B$7),OR('📊 Dashboard'!$B$8="(Semua)",$AG406='📊 Dashboard'!$B$8),OR('📊 Dashboard'!$B$9="(Semua)",$K406='📊 Dashboard'!$B$9)),1,0))</f>
        <v>0</v>
      </c>
      <c r="AR406" s="69"/>
    </row>
    <row r="407" ht="58" customHeight="1" spans="1:44">
      <c r="A407" s="58" t="str">
        <f t="shared" si="42"/>
        <v/>
      </c>
      <c r="B407" s="59"/>
      <c r="C407" s="60"/>
      <c r="D407" s="60"/>
      <c r="E407" s="58" t="str">
        <f t="shared" si="43"/>
        <v/>
      </c>
      <c r="F407" s="61"/>
      <c r="G407" s="61"/>
      <c r="H407" s="61"/>
      <c r="I407" s="61"/>
      <c r="J407" s="61"/>
      <c r="K407" s="61"/>
      <c r="L407" s="61"/>
      <c r="M407" s="61"/>
      <c r="N407" s="62"/>
      <c r="O407" s="62"/>
      <c r="P407" s="62"/>
      <c r="Q407" s="62"/>
      <c r="R407" s="63" t="str">
        <f>IFERROR(IF(OR($N407="",$O407="",$F407=""),"",ROUND(('⚙️ Setelan'!$B$3*'⚙️ Setelan'!$B$4/100)/(ABS($N407-$O407)*VLOOKUP($F407,'⚙️ Setelan'!$A$14:$F$20,4,FALSE)),2)),"")</f>
        <v/>
      </c>
      <c r="S407" s="64"/>
      <c r="T407" s="65" t="str">
        <f>IFERROR(IF(OR($N407="",$O407="",$S407=""),"",ABS($N407-$O407)*$S407*VLOOKUP($F407,'⚙️ Setelan'!$A$14:$F$20,4,FALSE)),"")</f>
        <v/>
      </c>
      <c r="U407" s="63" t="str">
        <f t="shared" si="44"/>
        <v/>
      </c>
      <c r="V407" s="65" t="str">
        <f>IFERROR(IF(OR($Q407="",$N407="",$S407=""),"",($Q407-$N407)*IF($G407="Buy",1,-1)*$S407*VLOOKUP($F407,'⚙️ Setelan'!$A$14:$F$20,4,FALSE)),"")</f>
        <v/>
      </c>
      <c r="W407" s="65" t="str">
        <f>IFERROR(IF(OR($S407="",$F407=""),"",$S407*VLOOKUP($F407,'⚙️ Setelan'!$A$14:$F$20,5,FALSE)),"")</f>
        <v/>
      </c>
      <c r="X407" s="65" t="str">
        <f t="shared" si="45"/>
        <v/>
      </c>
      <c r="Y407" s="63" t="str">
        <f t="shared" si="46"/>
        <v/>
      </c>
      <c r="Z407" s="58" t="str">
        <f t="shared" si="47"/>
        <v/>
      </c>
      <c r="AA407" s="66" t="str">
        <f t="shared" si="48"/>
        <v/>
      </c>
      <c r="AB407" s="62"/>
      <c r="AC407" s="62"/>
      <c r="AD407" s="63" t="str">
        <f>IFERROR(IF(OR($AB407="",$T407="",$T407=0),"",ROUND(ABS($N407-$AB407)*$S407*VLOOKUP($F407,'⚙️ Setelan'!$A$14:$F$20,4,FALSE)/$T407,2)),"")</f>
        <v/>
      </c>
      <c r="AE407" s="63" t="str">
        <f>IFERROR(IF(OR($AC407="",$T407="",$T407=0),"",ROUND(ABS($AC407-$N407)*$S407*VLOOKUP($F407,'⚙️ Setelan'!$A$14:$F$20,4,FALSE)/$T407,2)),"")</f>
        <v/>
      </c>
      <c r="AF407" s="61"/>
      <c r="AG407" s="61"/>
      <c r="AH407" s="61"/>
      <c r="AI407" s="61"/>
      <c r="AJ407" s="61"/>
      <c r="AK407" s="67"/>
      <c r="AL407" s="58" t="str">
        <f>IF(OR($C407="",$B407=""),"",IF(AND($Z406="Loss",$B407=$B406,MOD($C407-$D406,1)*1440&lt;'⚙️ Setelan'!$B$9),"⚠️ Revenge",""))</f>
        <v/>
      </c>
      <c r="AM407" s="68"/>
      <c r="AN407" s="58" t="str">
        <f>IF($AM407="","",IFERROR(_xlfn.IMAGE(IF(REGEXMATCH($AM407,"\.(png|jpg|jpeg|gif)$"),$AM407,"https://s3.tradingview.com/snapshots/"&amp;LOWER(MID(REGEXEXTRACT($AM407,"/x/([A-Za-z0-9]+)"),1,1))&amp;"/"&amp;REGEXEXTRACT($AM407,"/x/([A-Za-z0-9]+)")&amp;".png"),1),"⚠️ link tidak dikenali"))</f>
        <v/>
      </c>
      <c r="AO407" s="68"/>
      <c r="AP407" s="58" t="str">
        <f>IF($AO407="","",IFERROR(_xlfn.IMAGE(IF(REGEXMATCH($AO407,"\.(png|jpg|jpeg|gif)$"),$AO407,"https://s3.tradingview.com/snapshots/"&amp;LOWER(MID(REGEXEXTRACT($AO407,"/x/([A-Za-z0-9]+)"),1,1))&amp;"/"&amp;REGEXEXTRACT($AO407,"/x/([A-Za-z0-9]+)")&amp;".png"),1),"⚠️ link tidak dikenali"))</f>
        <v/>
      </c>
      <c r="AQ407" s="66">
        <f>IF($Z407="",0,IF(AND(OR('📊 Dashboard'!$B$4="(Semua)",$F407='📊 Dashboard'!$B$4),OR('📊 Dashboard'!$B$5="(Semua)",$H407='📊 Dashboard'!$B$5),OR('📊 Dashboard'!$B$6="(Semua)",$E407='📊 Dashboard'!$B$6),OR('📊 Dashboard'!$B$7="(Semua)",$AF407='📊 Dashboard'!$B$7),OR('📊 Dashboard'!$B$8="(Semua)",$AG407='📊 Dashboard'!$B$8),OR('📊 Dashboard'!$B$9="(Semua)",$K407='📊 Dashboard'!$B$9)),1,0))</f>
        <v>0</v>
      </c>
      <c r="AR407" s="69"/>
    </row>
    <row r="408" ht="58" customHeight="1" spans="1:44">
      <c r="A408" s="58" t="str">
        <f t="shared" si="42"/>
        <v/>
      </c>
      <c r="B408" s="59"/>
      <c r="C408" s="60"/>
      <c r="D408" s="60"/>
      <c r="E408" s="58" t="str">
        <f t="shared" si="43"/>
        <v/>
      </c>
      <c r="F408" s="61"/>
      <c r="G408" s="61"/>
      <c r="H408" s="61"/>
      <c r="I408" s="61"/>
      <c r="J408" s="61"/>
      <c r="K408" s="61"/>
      <c r="L408" s="61"/>
      <c r="M408" s="61"/>
      <c r="N408" s="62"/>
      <c r="O408" s="62"/>
      <c r="P408" s="62"/>
      <c r="Q408" s="62"/>
      <c r="R408" s="63" t="str">
        <f>IFERROR(IF(OR($N408="",$O408="",$F408=""),"",ROUND(('⚙️ Setelan'!$B$3*'⚙️ Setelan'!$B$4/100)/(ABS($N408-$O408)*VLOOKUP($F408,'⚙️ Setelan'!$A$14:$F$20,4,FALSE)),2)),"")</f>
        <v/>
      </c>
      <c r="S408" s="64"/>
      <c r="T408" s="65" t="str">
        <f>IFERROR(IF(OR($N408="",$O408="",$S408=""),"",ABS($N408-$O408)*$S408*VLOOKUP($F408,'⚙️ Setelan'!$A$14:$F$20,4,FALSE)),"")</f>
        <v/>
      </c>
      <c r="U408" s="63" t="str">
        <f t="shared" si="44"/>
        <v/>
      </c>
      <c r="V408" s="65" t="str">
        <f>IFERROR(IF(OR($Q408="",$N408="",$S408=""),"",($Q408-$N408)*IF($G408="Buy",1,-1)*$S408*VLOOKUP($F408,'⚙️ Setelan'!$A$14:$F$20,4,FALSE)),"")</f>
        <v/>
      </c>
      <c r="W408" s="65" t="str">
        <f>IFERROR(IF(OR($S408="",$F408=""),"",$S408*VLOOKUP($F408,'⚙️ Setelan'!$A$14:$F$20,5,FALSE)),"")</f>
        <v/>
      </c>
      <c r="X408" s="65" t="str">
        <f t="shared" si="45"/>
        <v/>
      </c>
      <c r="Y408" s="63" t="str">
        <f t="shared" si="46"/>
        <v/>
      </c>
      <c r="Z408" s="58" t="str">
        <f t="shared" si="47"/>
        <v/>
      </c>
      <c r="AA408" s="66" t="str">
        <f t="shared" si="48"/>
        <v/>
      </c>
      <c r="AB408" s="62"/>
      <c r="AC408" s="62"/>
      <c r="AD408" s="63" t="str">
        <f>IFERROR(IF(OR($AB408="",$T408="",$T408=0),"",ROUND(ABS($N408-$AB408)*$S408*VLOOKUP($F408,'⚙️ Setelan'!$A$14:$F$20,4,FALSE)/$T408,2)),"")</f>
        <v/>
      </c>
      <c r="AE408" s="63" t="str">
        <f>IFERROR(IF(OR($AC408="",$T408="",$T408=0),"",ROUND(ABS($AC408-$N408)*$S408*VLOOKUP($F408,'⚙️ Setelan'!$A$14:$F$20,4,FALSE)/$T408,2)),"")</f>
        <v/>
      </c>
      <c r="AF408" s="61"/>
      <c r="AG408" s="61"/>
      <c r="AH408" s="61"/>
      <c r="AI408" s="61"/>
      <c r="AJ408" s="61"/>
      <c r="AK408" s="67"/>
      <c r="AL408" s="58" t="str">
        <f>IF(OR($C408="",$B408=""),"",IF(AND($Z407="Loss",$B408=$B407,MOD($C408-$D407,1)*1440&lt;'⚙️ Setelan'!$B$9),"⚠️ Revenge",""))</f>
        <v/>
      </c>
      <c r="AM408" s="68"/>
      <c r="AN408" s="58" t="str">
        <f>IF($AM408="","",IFERROR(_xlfn.IMAGE(IF(REGEXMATCH($AM408,"\.(png|jpg|jpeg|gif)$"),$AM408,"https://s3.tradingview.com/snapshots/"&amp;LOWER(MID(REGEXEXTRACT($AM408,"/x/([A-Za-z0-9]+)"),1,1))&amp;"/"&amp;REGEXEXTRACT($AM408,"/x/([A-Za-z0-9]+)")&amp;".png"),1),"⚠️ link tidak dikenali"))</f>
        <v/>
      </c>
      <c r="AO408" s="68"/>
      <c r="AP408" s="58" t="str">
        <f>IF($AO408="","",IFERROR(_xlfn.IMAGE(IF(REGEXMATCH($AO408,"\.(png|jpg|jpeg|gif)$"),$AO408,"https://s3.tradingview.com/snapshots/"&amp;LOWER(MID(REGEXEXTRACT($AO408,"/x/([A-Za-z0-9]+)"),1,1))&amp;"/"&amp;REGEXEXTRACT($AO408,"/x/([A-Za-z0-9]+)")&amp;".png"),1),"⚠️ link tidak dikenali"))</f>
        <v/>
      </c>
      <c r="AQ408" s="66">
        <f>IF($Z408="",0,IF(AND(OR('📊 Dashboard'!$B$4="(Semua)",$F408='📊 Dashboard'!$B$4),OR('📊 Dashboard'!$B$5="(Semua)",$H408='📊 Dashboard'!$B$5),OR('📊 Dashboard'!$B$6="(Semua)",$E408='📊 Dashboard'!$B$6),OR('📊 Dashboard'!$B$7="(Semua)",$AF408='📊 Dashboard'!$B$7),OR('📊 Dashboard'!$B$8="(Semua)",$AG408='📊 Dashboard'!$B$8),OR('📊 Dashboard'!$B$9="(Semua)",$K408='📊 Dashboard'!$B$9)),1,0))</f>
        <v>0</v>
      </c>
      <c r="AR408" s="69"/>
    </row>
    <row r="409" ht="58" customHeight="1" spans="1:44">
      <c r="A409" s="58" t="str">
        <f t="shared" si="42"/>
        <v/>
      </c>
      <c r="B409" s="59"/>
      <c r="C409" s="60"/>
      <c r="D409" s="60"/>
      <c r="E409" s="58" t="str">
        <f t="shared" si="43"/>
        <v/>
      </c>
      <c r="F409" s="61"/>
      <c r="G409" s="61"/>
      <c r="H409" s="61"/>
      <c r="I409" s="61"/>
      <c r="J409" s="61"/>
      <c r="K409" s="61"/>
      <c r="L409" s="61"/>
      <c r="M409" s="61"/>
      <c r="N409" s="62"/>
      <c r="O409" s="62"/>
      <c r="P409" s="62"/>
      <c r="Q409" s="62"/>
      <c r="R409" s="63" t="str">
        <f>IFERROR(IF(OR($N409="",$O409="",$F409=""),"",ROUND(('⚙️ Setelan'!$B$3*'⚙️ Setelan'!$B$4/100)/(ABS($N409-$O409)*VLOOKUP($F409,'⚙️ Setelan'!$A$14:$F$20,4,FALSE)),2)),"")</f>
        <v/>
      </c>
      <c r="S409" s="64"/>
      <c r="T409" s="65" t="str">
        <f>IFERROR(IF(OR($N409="",$O409="",$S409=""),"",ABS($N409-$O409)*$S409*VLOOKUP($F409,'⚙️ Setelan'!$A$14:$F$20,4,FALSE)),"")</f>
        <v/>
      </c>
      <c r="U409" s="63" t="str">
        <f t="shared" si="44"/>
        <v/>
      </c>
      <c r="V409" s="65" t="str">
        <f>IFERROR(IF(OR($Q409="",$N409="",$S409=""),"",($Q409-$N409)*IF($G409="Buy",1,-1)*$S409*VLOOKUP($F409,'⚙️ Setelan'!$A$14:$F$20,4,FALSE)),"")</f>
        <v/>
      </c>
      <c r="W409" s="65" t="str">
        <f>IFERROR(IF(OR($S409="",$F409=""),"",$S409*VLOOKUP($F409,'⚙️ Setelan'!$A$14:$F$20,5,FALSE)),"")</f>
        <v/>
      </c>
      <c r="X409" s="65" t="str">
        <f t="shared" si="45"/>
        <v/>
      </c>
      <c r="Y409" s="63" t="str">
        <f t="shared" si="46"/>
        <v/>
      </c>
      <c r="Z409" s="58" t="str">
        <f t="shared" si="47"/>
        <v/>
      </c>
      <c r="AA409" s="66" t="str">
        <f t="shared" si="48"/>
        <v/>
      </c>
      <c r="AB409" s="62"/>
      <c r="AC409" s="62"/>
      <c r="AD409" s="63" t="str">
        <f>IFERROR(IF(OR($AB409="",$T409="",$T409=0),"",ROUND(ABS($N409-$AB409)*$S409*VLOOKUP($F409,'⚙️ Setelan'!$A$14:$F$20,4,FALSE)/$T409,2)),"")</f>
        <v/>
      </c>
      <c r="AE409" s="63" t="str">
        <f>IFERROR(IF(OR($AC409="",$T409="",$T409=0),"",ROUND(ABS($AC409-$N409)*$S409*VLOOKUP($F409,'⚙️ Setelan'!$A$14:$F$20,4,FALSE)/$T409,2)),"")</f>
        <v/>
      </c>
      <c r="AF409" s="61"/>
      <c r="AG409" s="61"/>
      <c r="AH409" s="61"/>
      <c r="AI409" s="61"/>
      <c r="AJ409" s="61"/>
      <c r="AK409" s="67"/>
      <c r="AL409" s="58" t="str">
        <f>IF(OR($C409="",$B409=""),"",IF(AND($Z408="Loss",$B409=$B408,MOD($C409-$D408,1)*1440&lt;'⚙️ Setelan'!$B$9),"⚠️ Revenge",""))</f>
        <v/>
      </c>
      <c r="AM409" s="68"/>
      <c r="AN409" s="58" t="str">
        <f>IF($AM409="","",IFERROR(_xlfn.IMAGE(IF(REGEXMATCH($AM409,"\.(png|jpg|jpeg|gif)$"),$AM409,"https://s3.tradingview.com/snapshots/"&amp;LOWER(MID(REGEXEXTRACT($AM409,"/x/([A-Za-z0-9]+)"),1,1))&amp;"/"&amp;REGEXEXTRACT($AM409,"/x/([A-Za-z0-9]+)")&amp;".png"),1),"⚠️ link tidak dikenali"))</f>
        <v/>
      </c>
      <c r="AO409" s="68"/>
      <c r="AP409" s="58" t="str">
        <f>IF($AO409="","",IFERROR(_xlfn.IMAGE(IF(REGEXMATCH($AO409,"\.(png|jpg|jpeg|gif)$"),$AO409,"https://s3.tradingview.com/snapshots/"&amp;LOWER(MID(REGEXEXTRACT($AO409,"/x/([A-Za-z0-9]+)"),1,1))&amp;"/"&amp;REGEXEXTRACT($AO409,"/x/([A-Za-z0-9]+)")&amp;".png"),1),"⚠️ link tidak dikenali"))</f>
        <v/>
      </c>
      <c r="AQ409" s="66">
        <f>IF($Z409="",0,IF(AND(OR('📊 Dashboard'!$B$4="(Semua)",$F409='📊 Dashboard'!$B$4),OR('📊 Dashboard'!$B$5="(Semua)",$H409='📊 Dashboard'!$B$5),OR('📊 Dashboard'!$B$6="(Semua)",$E409='📊 Dashboard'!$B$6),OR('📊 Dashboard'!$B$7="(Semua)",$AF409='📊 Dashboard'!$B$7),OR('📊 Dashboard'!$B$8="(Semua)",$AG409='📊 Dashboard'!$B$8),OR('📊 Dashboard'!$B$9="(Semua)",$K409='📊 Dashboard'!$B$9)),1,0))</f>
        <v>0</v>
      </c>
      <c r="AR409" s="69"/>
    </row>
    <row r="410" ht="58" customHeight="1" spans="1:44">
      <c r="A410" s="58" t="str">
        <f t="shared" si="42"/>
        <v/>
      </c>
      <c r="B410" s="59"/>
      <c r="C410" s="60"/>
      <c r="D410" s="60"/>
      <c r="E410" s="58" t="str">
        <f t="shared" si="43"/>
        <v/>
      </c>
      <c r="F410" s="61"/>
      <c r="G410" s="61"/>
      <c r="H410" s="61"/>
      <c r="I410" s="61"/>
      <c r="J410" s="61"/>
      <c r="K410" s="61"/>
      <c r="L410" s="61"/>
      <c r="M410" s="61"/>
      <c r="N410" s="62"/>
      <c r="O410" s="62"/>
      <c r="P410" s="62"/>
      <c r="Q410" s="62"/>
      <c r="R410" s="63" t="str">
        <f>IFERROR(IF(OR($N410="",$O410="",$F410=""),"",ROUND(('⚙️ Setelan'!$B$3*'⚙️ Setelan'!$B$4/100)/(ABS($N410-$O410)*VLOOKUP($F410,'⚙️ Setelan'!$A$14:$F$20,4,FALSE)),2)),"")</f>
        <v/>
      </c>
      <c r="S410" s="64"/>
      <c r="T410" s="65" t="str">
        <f>IFERROR(IF(OR($N410="",$O410="",$S410=""),"",ABS($N410-$O410)*$S410*VLOOKUP($F410,'⚙️ Setelan'!$A$14:$F$20,4,FALSE)),"")</f>
        <v/>
      </c>
      <c r="U410" s="63" t="str">
        <f t="shared" si="44"/>
        <v/>
      </c>
      <c r="V410" s="65" t="str">
        <f>IFERROR(IF(OR($Q410="",$N410="",$S410=""),"",($Q410-$N410)*IF($G410="Buy",1,-1)*$S410*VLOOKUP($F410,'⚙️ Setelan'!$A$14:$F$20,4,FALSE)),"")</f>
        <v/>
      </c>
      <c r="W410" s="65" t="str">
        <f>IFERROR(IF(OR($S410="",$F410=""),"",$S410*VLOOKUP($F410,'⚙️ Setelan'!$A$14:$F$20,5,FALSE)),"")</f>
        <v/>
      </c>
      <c r="X410" s="65" t="str">
        <f t="shared" si="45"/>
        <v/>
      </c>
      <c r="Y410" s="63" t="str">
        <f t="shared" si="46"/>
        <v/>
      </c>
      <c r="Z410" s="58" t="str">
        <f t="shared" si="47"/>
        <v/>
      </c>
      <c r="AA410" s="66" t="str">
        <f t="shared" si="48"/>
        <v/>
      </c>
      <c r="AB410" s="62"/>
      <c r="AC410" s="62"/>
      <c r="AD410" s="63" t="str">
        <f>IFERROR(IF(OR($AB410="",$T410="",$T410=0),"",ROUND(ABS($N410-$AB410)*$S410*VLOOKUP($F410,'⚙️ Setelan'!$A$14:$F$20,4,FALSE)/$T410,2)),"")</f>
        <v/>
      </c>
      <c r="AE410" s="63" t="str">
        <f>IFERROR(IF(OR($AC410="",$T410="",$T410=0),"",ROUND(ABS($AC410-$N410)*$S410*VLOOKUP($F410,'⚙️ Setelan'!$A$14:$F$20,4,FALSE)/$T410,2)),"")</f>
        <v/>
      </c>
      <c r="AF410" s="61"/>
      <c r="AG410" s="61"/>
      <c r="AH410" s="61"/>
      <c r="AI410" s="61"/>
      <c r="AJ410" s="61"/>
      <c r="AK410" s="67"/>
      <c r="AL410" s="58" t="str">
        <f>IF(OR($C410="",$B410=""),"",IF(AND($Z409="Loss",$B410=$B409,MOD($C410-$D409,1)*1440&lt;'⚙️ Setelan'!$B$9),"⚠️ Revenge",""))</f>
        <v/>
      </c>
      <c r="AM410" s="68"/>
      <c r="AN410" s="58" t="str">
        <f>IF($AM410="","",IFERROR(_xlfn.IMAGE(IF(REGEXMATCH($AM410,"\.(png|jpg|jpeg|gif)$"),$AM410,"https://s3.tradingview.com/snapshots/"&amp;LOWER(MID(REGEXEXTRACT($AM410,"/x/([A-Za-z0-9]+)"),1,1))&amp;"/"&amp;REGEXEXTRACT($AM410,"/x/([A-Za-z0-9]+)")&amp;".png"),1),"⚠️ link tidak dikenali"))</f>
        <v/>
      </c>
      <c r="AO410" s="68"/>
      <c r="AP410" s="58" t="str">
        <f>IF($AO410="","",IFERROR(_xlfn.IMAGE(IF(REGEXMATCH($AO410,"\.(png|jpg|jpeg|gif)$"),$AO410,"https://s3.tradingview.com/snapshots/"&amp;LOWER(MID(REGEXEXTRACT($AO410,"/x/([A-Za-z0-9]+)"),1,1))&amp;"/"&amp;REGEXEXTRACT($AO410,"/x/([A-Za-z0-9]+)")&amp;".png"),1),"⚠️ link tidak dikenali"))</f>
        <v/>
      </c>
      <c r="AQ410" s="66">
        <f>IF($Z410="",0,IF(AND(OR('📊 Dashboard'!$B$4="(Semua)",$F410='📊 Dashboard'!$B$4),OR('📊 Dashboard'!$B$5="(Semua)",$H410='📊 Dashboard'!$B$5),OR('📊 Dashboard'!$B$6="(Semua)",$E410='📊 Dashboard'!$B$6),OR('📊 Dashboard'!$B$7="(Semua)",$AF410='📊 Dashboard'!$B$7),OR('📊 Dashboard'!$B$8="(Semua)",$AG410='📊 Dashboard'!$B$8),OR('📊 Dashboard'!$B$9="(Semua)",$K410='📊 Dashboard'!$B$9)),1,0))</f>
        <v>0</v>
      </c>
      <c r="AR410" s="69"/>
    </row>
    <row r="411" ht="58" customHeight="1" spans="1:44">
      <c r="A411" s="58" t="str">
        <f t="shared" si="42"/>
        <v/>
      </c>
      <c r="B411" s="59"/>
      <c r="C411" s="60"/>
      <c r="D411" s="60"/>
      <c r="E411" s="58" t="str">
        <f t="shared" si="43"/>
        <v/>
      </c>
      <c r="F411" s="61"/>
      <c r="G411" s="61"/>
      <c r="H411" s="61"/>
      <c r="I411" s="61"/>
      <c r="J411" s="61"/>
      <c r="K411" s="61"/>
      <c r="L411" s="61"/>
      <c r="M411" s="61"/>
      <c r="N411" s="62"/>
      <c r="O411" s="62"/>
      <c r="P411" s="62"/>
      <c r="Q411" s="62"/>
      <c r="R411" s="63" t="str">
        <f>IFERROR(IF(OR($N411="",$O411="",$F411=""),"",ROUND(('⚙️ Setelan'!$B$3*'⚙️ Setelan'!$B$4/100)/(ABS($N411-$O411)*VLOOKUP($F411,'⚙️ Setelan'!$A$14:$F$20,4,FALSE)),2)),"")</f>
        <v/>
      </c>
      <c r="S411" s="64"/>
      <c r="T411" s="65" t="str">
        <f>IFERROR(IF(OR($N411="",$O411="",$S411=""),"",ABS($N411-$O411)*$S411*VLOOKUP($F411,'⚙️ Setelan'!$A$14:$F$20,4,FALSE)),"")</f>
        <v/>
      </c>
      <c r="U411" s="63" t="str">
        <f t="shared" si="44"/>
        <v/>
      </c>
      <c r="V411" s="65" t="str">
        <f>IFERROR(IF(OR($Q411="",$N411="",$S411=""),"",($Q411-$N411)*IF($G411="Buy",1,-1)*$S411*VLOOKUP($F411,'⚙️ Setelan'!$A$14:$F$20,4,FALSE)),"")</f>
        <v/>
      </c>
      <c r="W411" s="65" t="str">
        <f>IFERROR(IF(OR($S411="",$F411=""),"",$S411*VLOOKUP($F411,'⚙️ Setelan'!$A$14:$F$20,5,FALSE)),"")</f>
        <v/>
      </c>
      <c r="X411" s="65" t="str">
        <f t="shared" si="45"/>
        <v/>
      </c>
      <c r="Y411" s="63" t="str">
        <f t="shared" si="46"/>
        <v/>
      </c>
      <c r="Z411" s="58" t="str">
        <f t="shared" si="47"/>
        <v/>
      </c>
      <c r="AA411" s="66" t="str">
        <f t="shared" si="48"/>
        <v/>
      </c>
      <c r="AB411" s="62"/>
      <c r="AC411" s="62"/>
      <c r="AD411" s="63" t="str">
        <f>IFERROR(IF(OR($AB411="",$T411="",$T411=0),"",ROUND(ABS($N411-$AB411)*$S411*VLOOKUP($F411,'⚙️ Setelan'!$A$14:$F$20,4,FALSE)/$T411,2)),"")</f>
        <v/>
      </c>
      <c r="AE411" s="63" t="str">
        <f>IFERROR(IF(OR($AC411="",$T411="",$T411=0),"",ROUND(ABS($AC411-$N411)*$S411*VLOOKUP($F411,'⚙️ Setelan'!$A$14:$F$20,4,FALSE)/$T411,2)),"")</f>
        <v/>
      </c>
      <c r="AF411" s="61"/>
      <c r="AG411" s="61"/>
      <c r="AH411" s="61"/>
      <c r="AI411" s="61"/>
      <c r="AJ411" s="61"/>
      <c r="AK411" s="67"/>
      <c r="AL411" s="58" t="str">
        <f>IF(OR($C411="",$B411=""),"",IF(AND($Z410="Loss",$B411=$B410,MOD($C411-$D410,1)*1440&lt;'⚙️ Setelan'!$B$9),"⚠️ Revenge",""))</f>
        <v/>
      </c>
      <c r="AM411" s="68"/>
      <c r="AN411" s="58" t="str">
        <f>IF($AM411="","",IFERROR(_xlfn.IMAGE(IF(REGEXMATCH($AM411,"\.(png|jpg|jpeg|gif)$"),$AM411,"https://s3.tradingview.com/snapshots/"&amp;LOWER(MID(REGEXEXTRACT($AM411,"/x/([A-Za-z0-9]+)"),1,1))&amp;"/"&amp;REGEXEXTRACT($AM411,"/x/([A-Za-z0-9]+)")&amp;".png"),1),"⚠️ link tidak dikenali"))</f>
        <v/>
      </c>
      <c r="AO411" s="68"/>
      <c r="AP411" s="58" t="str">
        <f>IF($AO411="","",IFERROR(_xlfn.IMAGE(IF(REGEXMATCH($AO411,"\.(png|jpg|jpeg|gif)$"),$AO411,"https://s3.tradingview.com/snapshots/"&amp;LOWER(MID(REGEXEXTRACT($AO411,"/x/([A-Za-z0-9]+)"),1,1))&amp;"/"&amp;REGEXEXTRACT($AO411,"/x/([A-Za-z0-9]+)")&amp;".png"),1),"⚠️ link tidak dikenali"))</f>
        <v/>
      </c>
      <c r="AQ411" s="66">
        <f>IF($Z411="",0,IF(AND(OR('📊 Dashboard'!$B$4="(Semua)",$F411='📊 Dashboard'!$B$4),OR('📊 Dashboard'!$B$5="(Semua)",$H411='📊 Dashboard'!$B$5),OR('📊 Dashboard'!$B$6="(Semua)",$E411='📊 Dashboard'!$B$6),OR('📊 Dashboard'!$B$7="(Semua)",$AF411='📊 Dashboard'!$B$7),OR('📊 Dashboard'!$B$8="(Semua)",$AG411='📊 Dashboard'!$B$8),OR('📊 Dashboard'!$B$9="(Semua)",$K411='📊 Dashboard'!$B$9)),1,0))</f>
        <v>0</v>
      </c>
      <c r="AR411" s="69"/>
    </row>
    <row r="412" ht="58" customHeight="1" spans="1:44">
      <c r="A412" s="58" t="str">
        <f t="shared" si="42"/>
        <v/>
      </c>
      <c r="B412" s="59"/>
      <c r="C412" s="60"/>
      <c r="D412" s="60"/>
      <c r="E412" s="58" t="str">
        <f t="shared" si="43"/>
        <v/>
      </c>
      <c r="F412" s="61"/>
      <c r="G412" s="61"/>
      <c r="H412" s="61"/>
      <c r="I412" s="61"/>
      <c r="J412" s="61"/>
      <c r="K412" s="61"/>
      <c r="L412" s="61"/>
      <c r="M412" s="61"/>
      <c r="N412" s="62"/>
      <c r="O412" s="62"/>
      <c r="P412" s="62"/>
      <c r="Q412" s="62"/>
      <c r="R412" s="63" t="str">
        <f>IFERROR(IF(OR($N412="",$O412="",$F412=""),"",ROUND(('⚙️ Setelan'!$B$3*'⚙️ Setelan'!$B$4/100)/(ABS($N412-$O412)*VLOOKUP($F412,'⚙️ Setelan'!$A$14:$F$20,4,FALSE)),2)),"")</f>
        <v/>
      </c>
      <c r="S412" s="64"/>
      <c r="T412" s="65" t="str">
        <f>IFERROR(IF(OR($N412="",$O412="",$S412=""),"",ABS($N412-$O412)*$S412*VLOOKUP($F412,'⚙️ Setelan'!$A$14:$F$20,4,FALSE)),"")</f>
        <v/>
      </c>
      <c r="U412" s="63" t="str">
        <f t="shared" si="44"/>
        <v/>
      </c>
      <c r="V412" s="65" t="str">
        <f>IFERROR(IF(OR($Q412="",$N412="",$S412=""),"",($Q412-$N412)*IF($G412="Buy",1,-1)*$S412*VLOOKUP($F412,'⚙️ Setelan'!$A$14:$F$20,4,FALSE)),"")</f>
        <v/>
      </c>
      <c r="W412" s="65" t="str">
        <f>IFERROR(IF(OR($S412="",$F412=""),"",$S412*VLOOKUP($F412,'⚙️ Setelan'!$A$14:$F$20,5,FALSE)),"")</f>
        <v/>
      </c>
      <c r="X412" s="65" t="str">
        <f t="shared" si="45"/>
        <v/>
      </c>
      <c r="Y412" s="63" t="str">
        <f t="shared" si="46"/>
        <v/>
      </c>
      <c r="Z412" s="58" t="str">
        <f t="shared" si="47"/>
        <v/>
      </c>
      <c r="AA412" s="66" t="str">
        <f t="shared" si="48"/>
        <v/>
      </c>
      <c r="AB412" s="62"/>
      <c r="AC412" s="62"/>
      <c r="AD412" s="63" t="str">
        <f>IFERROR(IF(OR($AB412="",$T412="",$T412=0),"",ROUND(ABS($N412-$AB412)*$S412*VLOOKUP($F412,'⚙️ Setelan'!$A$14:$F$20,4,FALSE)/$T412,2)),"")</f>
        <v/>
      </c>
      <c r="AE412" s="63" t="str">
        <f>IFERROR(IF(OR($AC412="",$T412="",$T412=0),"",ROUND(ABS($AC412-$N412)*$S412*VLOOKUP($F412,'⚙️ Setelan'!$A$14:$F$20,4,FALSE)/$T412,2)),"")</f>
        <v/>
      </c>
      <c r="AF412" s="61"/>
      <c r="AG412" s="61"/>
      <c r="AH412" s="61"/>
      <c r="AI412" s="61"/>
      <c r="AJ412" s="61"/>
      <c r="AK412" s="67"/>
      <c r="AL412" s="58" t="str">
        <f>IF(OR($C412="",$B412=""),"",IF(AND($Z411="Loss",$B412=$B411,MOD($C412-$D411,1)*1440&lt;'⚙️ Setelan'!$B$9),"⚠️ Revenge",""))</f>
        <v/>
      </c>
      <c r="AM412" s="68"/>
      <c r="AN412" s="58" t="str">
        <f>IF($AM412="","",IFERROR(_xlfn.IMAGE(IF(REGEXMATCH($AM412,"\.(png|jpg|jpeg|gif)$"),$AM412,"https://s3.tradingview.com/snapshots/"&amp;LOWER(MID(REGEXEXTRACT($AM412,"/x/([A-Za-z0-9]+)"),1,1))&amp;"/"&amp;REGEXEXTRACT($AM412,"/x/([A-Za-z0-9]+)")&amp;".png"),1),"⚠️ link tidak dikenali"))</f>
        <v/>
      </c>
      <c r="AO412" s="68"/>
      <c r="AP412" s="58" t="str">
        <f>IF($AO412="","",IFERROR(_xlfn.IMAGE(IF(REGEXMATCH($AO412,"\.(png|jpg|jpeg|gif)$"),$AO412,"https://s3.tradingview.com/snapshots/"&amp;LOWER(MID(REGEXEXTRACT($AO412,"/x/([A-Za-z0-9]+)"),1,1))&amp;"/"&amp;REGEXEXTRACT($AO412,"/x/([A-Za-z0-9]+)")&amp;".png"),1),"⚠️ link tidak dikenali"))</f>
        <v/>
      </c>
      <c r="AQ412" s="66">
        <f>IF($Z412="",0,IF(AND(OR('📊 Dashboard'!$B$4="(Semua)",$F412='📊 Dashboard'!$B$4),OR('📊 Dashboard'!$B$5="(Semua)",$H412='📊 Dashboard'!$B$5),OR('📊 Dashboard'!$B$6="(Semua)",$E412='📊 Dashboard'!$B$6),OR('📊 Dashboard'!$B$7="(Semua)",$AF412='📊 Dashboard'!$B$7),OR('📊 Dashboard'!$B$8="(Semua)",$AG412='📊 Dashboard'!$B$8),OR('📊 Dashboard'!$B$9="(Semua)",$K412='📊 Dashboard'!$B$9)),1,0))</f>
        <v>0</v>
      </c>
      <c r="AR412" s="69"/>
    </row>
    <row r="413" ht="58" customHeight="1" spans="1:44">
      <c r="A413" s="58" t="str">
        <f t="shared" si="42"/>
        <v/>
      </c>
      <c r="B413" s="59"/>
      <c r="C413" s="60"/>
      <c r="D413" s="60"/>
      <c r="E413" s="58" t="str">
        <f t="shared" si="43"/>
        <v/>
      </c>
      <c r="F413" s="61"/>
      <c r="G413" s="61"/>
      <c r="H413" s="61"/>
      <c r="I413" s="61"/>
      <c r="J413" s="61"/>
      <c r="K413" s="61"/>
      <c r="L413" s="61"/>
      <c r="M413" s="61"/>
      <c r="N413" s="62"/>
      <c r="O413" s="62"/>
      <c r="P413" s="62"/>
      <c r="Q413" s="62"/>
      <c r="R413" s="63" t="str">
        <f>IFERROR(IF(OR($N413="",$O413="",$F413=""),"",ROUND(('⚙️ Setelan'!$B$3*'⚙️ Setelan'!$B$4/100)/(ABS($N413-$O413)*VLOOKUP($F413,'⚙️ Setelan'!$A$14:$F$20,4,FALSE)),2)),"")</f>
        <v/>
      </c>
      <c r="S413" s="64"/>
      <c r="T413" s="65" t="str">
        <f>IFERROR(IF(OR($N413="",$O413="",$S413=""),"",ABS($N413-$O413)*$S413*VLOOKUP($F413,'⚙️ Setelan'!$A$14:$F$20,4,FALSE)),"")</f>
        <v/>
      </c>
      <c r="U413" s="63" t="str">
        <f t="shared" si="44"/>
        <v/>
      </c>
      <c r="V413" s="65" t="str">
        <f>IFERROR(IF(OR($Q413="",$N413="",$S413=""),"",($Q413-$N413)*IF($G413="Buy",1,-1)*$S413*VLOOKUP($F413,'⚙️ Setelan'!$A$14:$F$20,4,FALSE)),"")</f>
        <v/>
      </c>
      <c r="W413" s="65" t="str">
        <f>IFERROR(IF(OR($S413="",$F413=""),"",$S413*VLOOKUP($F413,'⚙️ Setelan'!$A$14:$F$20,5,FALSE)),"")</f>
        <v/>
      </c>
      <c r="X413" s="65" t="str">
        <f t="shared" si="45"/>
        <v/>
      </c>
      <c r="Y413" s="63" t="str">
        <f t="shared" si="46"/>
        <v/>
      </c>
      <c r="Z413" s="58" t="str">
        <f t="shared" si="47"/>
        <v/>
      </c>
      <c r="AA413" s="66" t="str">
        <f t="shared" si="48"/>
        <v/>
      </c>
      <c r="AB413" s="62"/>
      <c r="AC413" s="62"/>
      <c r="AD413" s="63" t="str">
        <f>IFERROR(IF(OR($AB413="",$T413="",$T413=0),"",ROUND(ABS($N413-$AB413)*$S413*VLOOKUP($F413,'⚙️ Setelan'!$A$14:$F$20,4,FALSE)/$T413,2)),"")</f>
        <v/>
      </c>
      <c r="AE413" s="63" t="str">
        <f>IFERROR(IF(OR($AC413="",$T413="",$T413=0),"",ROUND(ABS($AC413-$N413)*$S413*VLOOKUP($F413,'⚙️ Setelan'!$A$14:$F$20,4,FALSE)/$T413,2)),"")</f>
        <v/>
      </c>
      <c r="AF413" s="61"/>
      <c r="AG413" s="61"/>
      <c r="AH413" s="61"/>
      <c r="AI413" s="61"/>
      <c r="AJ413" s="61"/>
      <c r="AK413" s="67"/>
      <c r="AL413" s="58" t="str">
        <f>IF(OR($C413="",$B413=""),"",IF(AND($Z412="Loss",$B413=$B412,MOD($C413-$D412,1)*1440&lt;'⚙️ Setelan'!$B$9),"⚠️ Revenge",""))</f>
        <v/>
      </c>
      <c r="AM413" s="68"/>
      <c r="AN413" s="58" t="str">
        <f>IF($AM413="","",IFERROR(_xlfn.IMAGE(IF(REGEXMATCH($AM413,"\.(png|jpg|jpeg|gif)$"),$AM413,"https://s3.tradingview.com/snapshots/"&amp;LOWER(MID(REGEXEXTRACT($AM413,"/x/([A-Za-z0-9]+)"),1,1))&amp;"/"&amp;REGEXEXTRACT($AM413,"/x/([A-Za-z0-9]+)")&amp;".png"),1),"⚠️ link tidak dikenali"))</f>
        <v/>
      </c>
      <c r="AO413" s="68"/>
      <c r="AP413" s="58" t="str">
        <f>IF($AO413="","",IFERROR(_xlfn.IMAGE(IF(REGEXMATCH($AO413,"\.(png|jpg|jpeg|gif)$"),$AO413,"https://s3.tradingview.com/snapshots/"&amp;LOWER(MID(REGEXEXTRACT($AO413,"/x/([A-Za-z0-9]+)"),1,1))&amp;"/"&amp;REGEXEXTRACT($AO413,"/x/([A-Za-z0-9]+)")&amp;".png"),1),"⚠️ link tidak dikenali"))</f>
        <v/>
      </c>
      <c r="AQ413" s="66">
        <f>IF($Z413="",0,IF(AND(OR('📊 Dashboard'!$B$4="(Semua)",$F413='📊 Dashboard'!$B$4),OR('📊 Dashboard'!$B$5="(Semua)",$H413='📊 Dashboard'!$B$5),OR('📊 Dashboard'!$B$6="(Semua)",$E413='📊 Dashboard'!$B$6),OR('📊 Dashboard'!$B$7="(Semua)",$AF413='📊 Dashboard'!$B$7),OR('📊 Dashboard'!$B$8="(Semua)",$AG413='📊 Dashboard'!$B$8),OR('📊 Dashboard'!$B$9="(Semua)",$K413='📊 Dashboard'!$B$9)),1,0))</f>
        <v>0</v>
      </c>
      <c r="AR413" s="69"/>
    </row>
    <row r="414" ht="58" customHeight="1" spans="1:44">
      <c r="A414" s="58" t="str">
        <f t="shared" si="42"/>
        <v/>
      </c>
      <c r="B414" s="59"/>
      <c r="C414" s="60"/>
      <c r="D414" s="60"/>
      <c r="E414" s="58" t="str">
        <f t="shared" si="43"/>
        <v/>
      </c>
      <c r="F414" s="61"/>
      <c r="G414" s="61"/>
      <c r="H414" s="61"/>
      <c r="I414" s="61"/>
      <c r="J414" s="61"/>
      <c r="K414" s="61"/>
      <c r="L414" s="61"/>
      <c r="M414" s="61"/>
      <c r="N414" s="62"/>
      <c r="O414" s="62"/>
      <c r="P414" s="62"/>
      <c r="Q414" s="62"/>
      <c r="R414" s="63" t="str">
        <f>IFERROR(IF(OR($N414="",$O414="",$F414=""),"",ROUND(('⚙️ Setelan'!$B$3*'⚙️ Setelan'!$B$4/100)/(ABS($N414-$O414)*VLOOKUP($F414,'⚙️ Setelan'!$A$14:$F$20,4,FALSE)),2)),"")</f>
        <v/>
      </c>
      <c r="S414" s="64"/>
      <c r="T414" s="65" t="str">
        <f>IFERROR(IF(OR($N414="",$O414="",$S414=""),"",ABS($N414-$O414)*$S414*VLOOKUP($F414,'⚙️ Setelan'!$A$14:$F$20,4,FALSE)),"")</f>
        <v/>
      </c>
      <c r="U414" s="63" t="str">
        <f t="shared" si="44"/>
        <v/>
      </c>
      <c r="V414" s="65" t="str">
        <f>IFERROR(IF(OR($Q414="",$N414="",$S414=""),"",($Q414-$N414)*IF($G414="Buy",1,-1)*$S414*VLOOKUP($F414,'⚙️ Setelan'!$A$14:$F$20,4,FALSE)),"")</f>
        <v/>
      </c>
      <c r="W414" s="65" t="str">
        <f>IFERROR(IF(OR($S414="",$F414=""),"",$S414*VLOOKUP($F414,'⚙️ Setelan'!$A$14:$F$20,5,FALSE)),"")</f>
        <v/>
      </c>
      <c r="X414" s="65" t="str">
        <f t="shared" si="45"/>
        <v/>
      </c>
      <c r="Y414" s="63" t="str">
        <f t="shared" si="46"/>
        <v/>
      </c>
      <c r="Z414" s="58" t="str">
        <f t="shared" si="47"/>
        <v/>
      </c>
      <c r="AA414" s="66" t="str">
        <f t="shared" si="48"/>
        <v/>
      </c>
      <c r="AB414" s="62"/>
      <c r="AC414" s="62"/>
      <c r="AD414" s="63" t="str">
        <f>IFERROR(IF(OR($AB414="",$T414="",$T414=0),"",ROUND(ABS($N414-$AB414)*$S414*VLOOKUP($F414,'⚙️ Setelan'!$A$14:$F$20,4,FALSE)/$T414,2)),"")</f>
        <v/>
      </c>
      <c r="AE414" s="63" t="str">
        <f>IFERROR(IF(OR($AC414="",$T414="",$T414=0),"",ROUND(ABS($AC414-$N414)*$S414*VLOOKUP($F414,'⚙️ Setelan'!$A$14:$F$20,4,FALSE)/$T414,2)),"")</f>
        <v/>
      </c>
      <c r="AF414" s="61"/>
      <c r="AG414" s="61"/>
      <c r="AH414" s="61"/>
      <c r="AI414" s="61"/>
      <c r="AJ414" s="61"/>
      <c r="AK414" s="67"/>
      <c r="AL414" s="58" t="str">
        <f>IF(OR($C414="",$B414=""),"",IF(AND($Z413="Loss",$B414=$B413,MOD($C414-$D413,1)*1440&lt;'⚙️ Setelan'!$B$9),"⚠️ Revenge",""))</f>
        <v/>
      </c>
      <c r="AM414" s="68"/>
      <c r="AN414" s="58" t="str">
        <f>IF($AM414="","",IFERROR(_xlfn.IMAGE(IF(REGEXMATCH($AM414,"\.(png|jpg|jpeg|gif)$"),$AM414,"https://s3.tradingview.com/snapshots/"&amp;LOWER(MID(REGEXEXTRACT($AM414,"/x/([A-Za-z0-9]+)"),1,1))&amp;"/"&amp;REGEXEXTRACT($AM414,"/x/([A-Za-z0-9]+)")&amp;".png"),1),"⚠️ link tidak dikenali"))</f>
        <v/>
      </c>
      <c r="AO414" s="68"/>
      <c r="AP414" s="58" t="str">
        <f>IF($AO414="","",IFERROR(_xlfn.IMAGE(IF(REGEXMATCH($AO414,"\.(png|jpg|jpeg|gif)$"),$AO414,"https://s3.tradingview.com/snapshots/"&amp;LOWER(MID(REGEXEXTRACT($AO414,"/x/([A-Za-z0-9]+)"),1,1))&amp;"/"&amp;REGEXEXTRACT($AO414,"/x/([A-Za-z0-9]+)")&amp;".png"),1),"⚠️ link tidak dikenali"))</f>
        <v/>
      </c>
      <c r="AQ414" s="66">
        <f>IF($Z414="",0,IF(AND(OR('📊 Dashboard'!$B$4="(Semua)",$F414='📊 Dashboard'!$B$4),OR('📊 Dashboard'!$B$5="(Semua)",$H414='📊 Dashboard'!$B$5),OR('📊 Dashboard'!$B$6="(Semua)",$E414='📊 Dashboard'!$B$6),OR('📊 Dashboard'!$B$7="(Semua)",$AF414='📊 Dashboard'!$B$7),OR('📊 Dashboard'!$B$8="(Semua)",$AG414='📊 Dashboard'!$B$8),OR('📊 Dashboard'!$B$9="(Semua)",$K414='📊 Dashboard'!$B$9)),1,0))</f>
        <v>0</v>
      </c>
      <c r="AR414" s="69"/>
    </row>
    <row r="415" ht="58" customHeight="1" spans="1:44">
      <c r="A415" s="58" t="str">
        <f t="shared" si="42"/>
        <v/>
      </c>
      <c r="B415" s="59"/>
      <c r="C415" s="60"/>
      <c r="D415" s="60"/>
      <c r="E415" s="58" t="str">
        <f t="shared" si="43"/>
        <v/>
      </c>
      <c r="F415" s="61"/>
      <c r="G415" s="61"/>
      <c r="H415" s="61"/>
      <c r="I415" s="61"/>
      <c r="J415" s="61"/>
      <c r="K415" s="61"/>
      <c r="L415" s="61"/>
      <c r="M415" s="61"/>
      <c r="N415" s="62"/>
      <c r="O415" s="62"/>
      <c r="P415" s="62"/>
      <c r="Q415" s="62"/>
      <c r="R415" s="63" t="str">
        <f>IFERROR(IF(OR($N415="",$O415="",$F415=""),"",ROUND(('⚙️ Setelan'!$B$3*'⚙️ Setelan'!$B$4/100)/(ABS($N415-$O415)*VLOOKUP($F415,'⚙️ Setelan'!$A$14:$F$20,4,FALSE)),2)),"")</f>
        <v/>
      </c>
      <c r="S415" s="64"/>
      <c r="T415" s="65" t="str">
        <f>IFERROR(IF(OR($N415="",$O415="",$S415=""),"",ABS($N415-$O415)*$S415*VLOOKUP($F415,'⚙️ Setelan'!$A$14:$F$20,4,FALSE)),"")</f>
        <v/>
      </c>
      <c r="U415" s="63" t="str">
        <f t="shared" si="44"/>
        <v/>
      </c>
      <c r="V415" s="65" t="str">
        <f>IFERROR(IF(OR($Q415="",$N415="",$S415=""),"",($Q415-$N415)*IF($G415="Buy",1,-1)*$S415*VLOOKUP($F415,'⚙️ Setelan'!$A$14:$F$20,4,FALSE)),"")</f>
        <v/>
      </c>
      <c r="W415" s="65" t="str">
        <f>IFERROR(IF(OR($S415="",$F415=""),"",$S415*VLOOKUP($F415,'⚙️ Setelan'!$A$14:$F$20,5,FALSE)),"")</f>
        <v/>
      </c>
      <c r="X415" s="65" t="str">
        <f t="shared" si="45"/>
        <v/>
      </c>
      <c r="Y415" s="63" t="str">
        <f t="shared" si="46"/>
        <v/>
      </c>
      <c r="Z415" s="58" t="str">
        <f t="shared" si="47"/>
        <v/>
      </c>
      <c r="AA415" s="66" t="str">
        <f t="shared" si="48"/>
        <v/>
      </c>
      <c r="AB415" s="62"/>
      <c r="AC415" s="62"/>
      <c r="AD415" s="63" t="str">
        <f>IFERROR(IF(OR($AB415="",$T415="",$T415=0),"",ROUND(ABS($N415-$AB415)*$S415*VLOOKUP($F415,'⚙️ Setelan'!$A$14:$F$20,4,FALSE)/$T415,2)),"")</f>
        <v/>
      </c>
      <c r="AE415" s="63" t="str">
        <f>IFERROR(IF(OR($AC415="",$T415="",$T415=0),"",ROUND(ABS($AC415-$N415)*$S415*VLOOKUP($F415,'⚙️ Setelan'!$A$14:$F$20,4,FALSE)/$T415,2)),"")</f>
        <v/>
      </c>
      <c r="AF415" s="61"/>
      <c r="AG415" s="61"/>
      <c r="AH415" s="61"/>
      <c r="AI415" s="61"/>
      <c r="AJ415" s="61"/>
      <c r="AK415" s="67"/>
      <c r="AL415" s="58" t="str">
        <f>IF(OR($C415="",$B415=""),"",IF(AND($Z414="Loss",$B415=$B414,MOD($C415-$D414,1)*1440&lt;'⚙️ Setelan'!$B$9),"⚠️ Revenge",""))</f>
        <v/>
      </c>
      <c r="AM415" s="68"/>
      <c r="AN415" s="58" t="str">
        <f>IF($AM415="","",IFERROR(_xlfn.IMAGE(IF(REGEXMATCH($AM415,"\.(png|jpg|jpeg|gif)$"),$AM415,"https://s3.tradingview.com/snapshots/"&amp;LOWER(MID(REGEXEXTRACT($AM415,"/x/([A-Za-z0-9]+)"),1,1))&amp;"/"&amp;REGEXEXTRACT($AM415,"/x/([A-Za-z0-9]+)")&amp;".png"),1),"⚠️ link tidak dikenali"))</f>
        <v/>
      </c>
      <c r="AO415" s="68"/>
      <c r="AP415" s="58" t="str">
        <f>IF($AO415="","",IFERROR(_xlfn.IMAGE(IF(REGEXMATCH($AO415,"\.(png|jpg|jpeg|gif)$"),$AO415,"https://s3.tradingview.com/snapshots/"&amp;LOWER(MID(REGEXEXTRACT($AO415,"/x/([A-Za-z0-9]+)"),1,1))&amp;"/"&amp;REGEXEXTRACT($AO415,"/x/([A-Za-z0-9]+)")&amp;".png"),1),"⚠️ link tidak dikenali"))</f>
        <v/>
      </c>
      <c r="AQ415" s="66">
        <f>IF($Z415="",0,IF(AND(OR('📊 Dashboard'!$B$4="(Semua)",$F415='📊 Dashboard'!$B$4),OR('📊 Dashboard'!$B$5="(Semua)",$H415='📊 Dashboard'!$B$5),OR('📊 Dashboard'!$B$6="(Semua)",$E415='📊 Dashboard'!$B$6),OR('📊 Dashboard'!$B$7="(Semua)",$AF415='📊 Dashboard'!$B$7),OR('📊 Dashboard'!$B$8="(Semua)",$AG415='📊 Dashboard'!$B$8),OR('📊 Dashboard'!$B$9="(Semua)",$K415='📊 Dashboard'!$B$9)),1,0))</f>
        <v>0</v>
      </c>
      <c r="AR415" s="69"/>
    </row>
    <row r="416" ht="58" customHeight="1" spans="1:44">
      <c r="A416" s="58" t="str">
        <f t="shared" si="42"/>
        <v/>
      </c>
      <c r="B416" s="59"/>
      <c r="C416" s="60"/>
      <c r="D416" s="60"/>
      <c r="E416" s="58" t="str">
        <f t="shared" si="43"/>
        <v/>
      </c>
      <c r="F416" s="61"/>
      <c r="G416" s="61"/>
      <c r="H416" s="61"/>
      <c r="I416" s="61"/>
      <c r="J416" s="61"/>
      <c r="K416" s="61"/>
      <c r="L416" s="61"/>
      <c r="M416" s="61"/>
      <c r="N416" s="62"/>
      <c r="O416" s="62"/>
      <c r="P416" s="62"/>
      <c r="Q416" s="62"/>
      <c r="R416" s="63" t="str">
        <f>IFERROR(IF(OR($N416="",$O416="",$F416=""),"",ROUND(('⚙️ Setelan'!$B$3*'⚙️ Setelan'!$B$4/100)/(ABS($N416-$O416)*VLOOKUP($F416,'⚙️ Setelan'!$A$14:$F$20,4,FALSE)),2)),"")</f>
        <v/>
      </c>
      <c r="S416" s="64"/>
      <c r="T416" s="65" t="str">
        <f>IFERROR(IF(OR($N416="",$O416="",$S416=""),"",ABS($N416-$O416)*$S416*VLOOKUP($F416,'⚙️ Setelan'!$A$14:$F$20,4,FALSE)),"")</f>
        <v/>
      </c>
      <c r="U416" s="63" t="str">
        <f t="shared" si="44"/>
        <v/>
      </c>
      <c r="V416" s="65" t="str">
        <f>IFERROR(IF(OR($Q416="",$N416="",$S416=""),"",($Q416-$N416)*IF($G416="Buy",1,-1)*$S416*VLOOKUP($F416,'⚙️ Setelan'!$A$14:$F$20,4,FALSE)),"")</f>
        <v/>
      </c>
      <c r="W416" s="65" t="str">
        <f>IFERROR(IF(OR($S416="",$F416=""),"",$S416*VLOOKUP($F416,'⚙️ Setelan'!$A$14:$F$20,5,FALSE)),"")</f>
        <v/>
      </c>
      <c r="X416" s="65" t="str">
        <f t="shared" si="45"/>
        <v/>
      </c>
      <c r="Y416" s="63" t="str">
        <f t="shared" si="46"/>
        <v/>
      </c>
      <c r="Z416" s="58" t="str">
        <f t="shared" si="47"/>
        <v/>
      </c>
      <c r="AA416" s="66" t="str">
        <f t="shared" si="48"/>
        <v/>
      </c>
      <c r="AB416" s="62"/>
      <c r="AC416" s="62"/>
      <c r="AD416" s="63" t="str">
        <f>IFERROR(IF(OR($AB416="",$T416="",$T416=0),"",ROUND(ABS($N416-$AB416)*$S416*VLOOKUP($F416,'⚙️ Setelan'!$A$14:$F$20,4,FALSE)/$T416,2)),"")</f>
        <v/>
      </c>
      <c r="AE416" s="63" t="str">
        <f>IFERROR(IF(OR($AC416="",$T416="",$T416=0),"",ROUND(ABS($AC416-$N416)*$S416*VLOOKUP($F416,'⚙️ Setelan'!$A$14:$F$20,4,FALSE)/$T416,2)),"")</f>
        <v/>
      </c>
      <c r="AF416" s="61"/>
      <c r="AG416" s="61"/>
      <c r="AH416" s="61"/>
      <c r="AI416" s="61"/>
      <c r="AJ416" s="61"/>
      <c r="AK416" s="67"/>
      <c r="AL416" s="58" t="str">
        <f>IF(OR($C416="",$B416=""),"",IF(AND($Z415="Loss",$B416=$B415,MOD($C416-$D415,1)*1440&lt;'⚙️ Setelan'!$B$9),"⚠️ Revenge",""))</f>
        <v/>
      </c>
      <c r="AM416" s="68"/>
      <c r="AN416" s="58" t="str">
        <f>IF($AM416="","",IFERROR(_xlfn.IMAGE(IF(REGEXMATCH($AM416,"\.(png|jpg|jpeg|gif)$"),$AM416,"https://s3.tradingview.com/snapshots/"&amp;LOWER(MID(REGEXEXTRACT($AM416,"/x/([A-Za-z0-9]+)"),1,1))&amp;"/"&amp;REGEXEXTRACT($AM416,"/x/([A-Za-z0-9]+)")&amp;".png"),1),"⚠️ link tidak dikenali"))</f>
        <v/>
      </c>
      <c r="AO416" s="68"/>
      <c r="AP416" s="58" t="str">
        <f>IF($AO416="","",IFERROR(_xlfn.IMAGE(IF(REGEXMATCH($AO416,"\.(png|jpg|jpeg|gif)$"),$AO416,"https://s3.tradingview.com/snapshots/"&amp;LOWER(MID(REGEXEXTRACT($AO416,"/x/([A-Za-z0-9]+)"),1,1))&amp;"/"&amp;REGEXEXTRACT($AO416,"/x/([A-Za-z0-9]+)")&amp;".png"),1),"⚠️ link tidak dikenali"))</f>
        <v/>
      </c>
      <c r="AQ416" s="66">
        <f>IF($Z416="",0,IF(AND(OR('📊 Dashboard'!$B$4="(Semua)",$F416='📊 Dashboard'!$B$4),OR('📊 Dashboard'!$B$5="(Semua)",$H416='📊 Dashboard'!$B$5),OR('📊 Dashboard'!$B$6="(Semua)",$E416='📊 Dashboard'!$B$6),OR('📊 Dashboard'!$B$7="(Semua)",$AF416='📊 Dashboard'!$B$7),OR('📊 Dashboard'!$B$8="(Semua)",$AG416='📊 Dashboard'!$B$8),OR('📊 Dashboard'!$B$9="(Semua)",$K416='📊 Dashboard'!$B$9)),1,0))</f>
        <v>0</v>
      </c>
      <c r="AR416" s="69"/>
    </row>
    <row r="417" ht="58" customHeight="1" spans="1:44">
      <c r="A417" s="58" t="str">
        <f t="shared" si="42"/>
        <v/>
      </c>
      <c r="B417" s="59"/>
      <c r="C417" s="60"/>
      <c r="D417" s="60"/>
      <c r="E417" s="58" t="str">
        <f t="shared" si="43"/>
        <v/>
      </c>
      <c r="F417" s="61"/>
      <c r="G417" s="61"/>
      <c r="H417" s="61"/>
      <c r="I417" s="61"/>
      <c r="J417" s="61"/>
      <c r="K417" s="61"/>
      <c r="L417" s="61"/>
      <c r="M417" s="61"/>
      <c r="N417" s="62"/>
      <c r="O417" s="62"/>
      <c r="P417" s="62"/>
      <c r="Q417" s="62"/>
      <c r="R417" s="63" t="str">
        <f>IFERROR(IF(OR($N417="",$O417="",$F417=""),"",ROUND(('⚙️ Setelan'!$B$3*'⚙️ Setelan'!$B$4/100)/(ABS($N417-$O417)*VLOOKUP($F417,'⚙️ Setelan'!$A$14:$F$20,4,FALSE)),2)),"")</f>
        <v/>
      </c>
      <c r="S417" s="64"/>
      <c r="T417" s="65" t="str">
        <f>IFERROR(IF(OR($N417="",$O417="",$S417=""),"",ABS($N417-$O417)*$S417*VLOOKUP($F417,'⚙️ Setelan'!$A$14:$F$20,4,FALSE)),"")</f>
        <v/>
      </c>
      <c r="U417" s="63" t="str">
        <f t="shared" si="44"/>
        <v/>
      </c>
      <c r="V417" s="65" t="str">
        <f>IFERROR(IF(OR($Q417="",$N417="",$S417=""),"",($Q417-$N417)*IF($G417="Buy",1,-1)*$S417*VLOOKUP($F417,'⚙️ Setelan'!$A$14:$F$20,4,FALSE)),"")</f>
        <v/>
      </c>
      <c r="W417" s="65" t="str">
        <f>IFERROR(IF(OR($S417="",$F417=""),"",$S417*VLOOKUP($F417,'⚙️ Setelan'!$A$14:$F$20,5,FALSE)),"")</f>
        <v/>
      </c>
      <c r="X417" s="65" t="str">
        <f t="shared" si="45"/>
        <v/>
      </c>
      <c r="Y417" s="63" t="str">
        <f t="shared" si="46"/>
        <v/>
      </c>
      <c r="Z417" s="58" t="str">
        <f t="shared" si="47"/>
        <v/>
      </c>
      <c r="AA417" s="66" t="str">
        <f t="shared" si="48"/>
        <v/>
      </c>
      <c r="AB417" s="62"/>
      <c r="AC417" s="62"/>
      <c r="AD417" s="63" t="str">
        <f>IFERROR(IF(OR($AB417="",$T417="",$T417=0),"",ROUND(ABS($N417-$AB417)*$S417*VLOOKUP($F417,'⚙️ Setelan'!$A$14:$F$20,4,FALSE)/$T417,2)),"")</f>
        <v/>
      </c>
      <c r="AE417" s="63" t="str">
        <f>IFERROR(IF(OR($AC417="",$T417="",$T417=0),"",ROUND(ABS($AC417-$N417)*$S417*VLOOKUP($F417,'⚙️ Setelan'!$A$14:$F$20,4,FALSE)/$T417,2)),"")</f>
        <v/>
      </c>
      <c r="AF417" s="61"/>
      <c r="AG417" s="61"/>
      <c r="AH417" s="61"/>
      <c r="AI417" s="61"/>
      <c r="AJ417" s="61"/>
      <c r="AK417" s="67"/>
      <c r="AL417" s="58" t="str">
        <f>IF(OR($C417="",$B417=""),"",IF(AND($Z416="Loss",$B417=$B416,MOD($C417-$D416,1)*1440&lt;'⚙️ Setelan'!$B$9),"⚠️ Revenge",""))</f>
        <v/>
      </c>
      <c r="AM417" s="68"/>
      <c r="AN417" s="58" t="str">
        <f>IF($AM417="","",IFERROR(_xlfn.IMAGE(IF(REGEXMATCH($AM417,"\.(png|jpg|jpeg|gif)$"),$AM417,"https://s3.tradingview.com/snapshots/"&amp;LOWER(MID(REGEXEXTRACT($AM417,"/x/([A-Za-z0-9]+)"),1,1))&amp;"/"&amp;REGEXEXTRACT($AM417,"/x/([A-Za-z0-9]+)")&amp;".png"),1),"⚠️ link tidak dikenali"))</f>
        <v/>
      </c>
      <c r="AO417" s="68"/>
      <c r="AP417" s="58" t="str">
        <f>IF($AO417="","",IFERROR(_xlfn.IMAGE(IF(REGEXMATCH($AO417,"\.(png|jpg|jpeg|gif)$"),$AO417,"https://s3.tradingview.com/snapshots/"&amp;LOWER(MID(REGEXEXTRACT($AO417,"/x/([A-Za-z0-9]+)"),1,1))&amp;"/"&amp;REGEXEXTRACT($AO417,"/x/([A-Za-z0-9]+)")&amp;".png"),1),"⚠️ link tidak dikenali"))</f>
        <v/>
      </c>
      <c r="AQ417" s="66">
        <f>IF($Z417="",0,IF(AND(OR('📊 Dashboard'!$B$4="(Semua)",$F417='📊 Dashboard'!$B$4),OR('📊 Dashboard'!$B$5="(Semua)",$H417='📊 Dashboard'!$B$5),OR('📊 Dashboard'!$B$6="(Semua)",$E417='📊 Dashboard'!$B$6),OR('📊 Dashboard'!$B$7="(Semua)",$AF417='📊 Dashboard'!$B$7),OR('📊 Dashboard'!$B$8="(Semua)",$AG417='📊 Dashboard'!$B$8),OR('📊 Dashboard'!$B$9="(Semua)",$K417='📊 Dashboard'!$B$9)),1,0))</f>
        <v>0</v>
      </c>
      <c r="AR417" s="69"/>
    </row>
    <row r="418" ht="58" customHeight="1" spans="1:44">
      <c r="A418" s="58" t="str">
        <f t="shared" si="42"/>
        <v/>
      </c>
      <c r="B418" s="59"/>
      <c r="C418" s="60"/>
      <c r="D418" s="60"/>
      <c r="E418" s="58" t="str">
        <f t="shared" si="43"/>
        <v/>
      </c>
      <c r="F418" s="61"/>
      <c r="G418" s="61"/>
      <c r="H418" s="61"/>
      <c r="I418" s="61"/>
      <c r="J418" s="61"/>
      <c r="K418" s="61"/>
      <c r="L418" s="61"/>
      <c r="M418" s="61"/>
      <c r="N418" s="62"/>
      <c r="O418" s="62"/>
      <c r="P418" s="62"/>
      <c r="Q418" s="62"/>
      <c r="R418" s="63" t="str">
        <f>IFERROR(IF(OR($N418="",$O418="",$F418=""),"",ROUND(('⚙️ Setelan'!$B$3*'⚙️ Setelan'!$B$4/100)/(ABS($N418-$O418)*VLOOKUP($F418,'⚙️ Setelan'!$A$14:$F$20,4,FALSE)),2)),"")</f>
        <v/>
      </c>
      <c r="S418" s="64"/>
      <c r="T418" s="65" t="str">
        <f>IFERROR(IF(OR($N418="",$O418="",$S418=""),"",ABS($N418-$O418)*$S418*VLOOKUP($F418,'⚙️ Setelan'!$A$14:$F$20,4,FALSE)),"")</f>
        <v/>
      </c>
      <c r="U418" s="63" t="str">
        <f t="shared" si="44"/>
        <v/>
      </c>
      <c r="V418" s="65" t="str">
        <f>IFERROR(IF(OR($Q418="",$N418="",$S418=""),"",($Q418-$N418)*IF($G418="Buy",1,-1)*$S418*VLOOKUP($F418,'⚙️ Setelan'!$A$14:$F$20,4,FALSE)),"")</f>
        <v/>
      </c>
      <c r="W418" s="65" t="str">
        <f>IFERROR(IF(OR($S418="",$F418=""),"",$S418*VLOOKUP($F418,'⚙️ Setelan'!$A$14:$F$20,5,FALSE)),"")</f>
        <v/>
      </c>
      <c r="X418" s="65" t="str">
        <f t="shared" si="45"/>
        <v/>
      </c>
      <c r="Y418" s="63" t="str">
        <f t="shared" si="46"/>
        <v/>
      </c>
      <c r="Z418" s="58" t="str">
        <f t="shared" si="47"/>
        <v/>
      </c>
      <c r="AA418" s="66" t="str">
        <f t="shared" si="48"/>
        <v/>
      </c>
      <c r="AB418" s="62"/>
      <c r="AC418" s="62"/>
      <c r="AD418" s="63" t="str">
        <f>IFERROR(IF(OR($AB418="",$T418="",$T418=0),"",ROUND(ABS($N418-$AB418)*$S418*VLOOKUP($F418,'⚙️ Setelan'!$A$14:$F$20,4,FALSE)/$T418,2)),"")</f>
        <v/>
      </c>
      <c r="AE418" s="63" t="str">
        <f>IFERROR(IF(OR($AC418="",$T418="",$T418=0),"",ROUND(ABS($AC418-$N418)*$S418*VLOOKUP($F418,'⚙️ Setelan'!$A$14:$F$20,4,FALSE)/$T418,2)),"")</f>
        <v/>
      </c>
      <c r="AF418" s="61"/>
      <c r="AG418" s="61"/>
      <c r="AH418" s="61"/>
      <c r="AI418" s="61"/>
      <c r="AJ418" s="61"/>
      <c r="AK418" s="67"/>
      <c r="AL418" s="58" t="str">
        <f>IF(OR($C418="",$B418=""),"",IF(AND($Z417="Loss",$B418=$B417,MOD($C418-$D417,1)*1440&lt;'⚙️ Setelan'!$B$9),"⚠️ Revenge",""))</f>
        <v/>
      </c>
      <c r="AM418" s="68"/>
      <c r="AN418" s="58" t="str">
        <f>IF($AM418="","",IFERROR(_xlfn.IMAGE(IF(REGEXMATCH($AM418,"\.(png|jpg|jpeg|gif)$"),$AM418,"https://s3.tradingview.com/snapshots/"&amp;LOWER(MID(REGEXEXTRACT($AM418,"/x/([A-Za-z0-9]+)"),1,1))&amp;"/"&amp;REGEXEXTRACT($AM418,"/x/([A-Za-z0-9]+)")&amp;".png"),1),"⚠️ link tidak dikenali"))</f>
        <v/>
      </c>
      <c r="AO418" s="68"/>
      <c r="AP418" s="58" t="str">
        <f>IF($AO418="","",IFERROR(_xlfn.IMAGE(IF(REGEXMATCH($AO418,"\.(png|jpg|jpeg|gif)$"),$AO418,"https://s3.tradingview.com/snapshots/"&amp;LOWER(MID(REGEXEXTRACT($AO418,"/x/([A-Za-z0-9]+)"),1,1))&amp;"/"&amp;REGEXEXTRACT($AO418,"/x/([A-Za-z0-9]+)")&amp;".png"),1),"⚠️ link tidak dikenali"))</f>
        <v/>
      </c>
      <c r="AQ418" s="66">
        <f>IF($Z418="",0,IF(AND(OR('📊 Dashboard'!$B$4="(Semua)",$F418='📊 Dashboard'!$B$4),OR('📊 Dashboard'!$B$5="(Semua)",$H418='📊 Dashboard'!$B$5),OR('📊 Dashboard'!$B$6="(Semua)",$E418='📊 Dashboard'!$B$6),OR('📊 Dashboard'!$B$7="(Semua)",$AF418='📊 Dashboard'!$B$7),OR('📊 Dashboard'!$B$8="(Semua)",$AG418='📊 Dashboard'!$B$8),OR('📊 Dashboard'!$B$9="(Semua)",$K418='📊 Dashboard'!$B$9)),1,0))</f>
        <v>0</v>
      </c>
      <c r="AR418" s="69"/>
    </row>
    <row r="419" ht="58" customHeight="1" spans="1:44">
      <c r="A419" s="58" t="str">
        <f t="shared" si="42"/>
        <v/>
      </c>
      <c r="B419" s="59"/>
      <c r="C419" s="60"/>
      <c r="D419" s="60"/>
      <c r="E419" s="58" t="str">
        <f t="shared" si="43"/>
        <v/>
      </c>
      <c r="F419" s="61"/>
      <c r="G419" s="61"/>
      <c r="H419" s="61"/>
      <c r="I419" s="61"/>
      <c r="J419" s="61"/>
      <c r="K419" s="61"/>
      <c r="L419" s="61"/>
      <c r="M419" s="61"/>
      <c r="N419" s="62"/>
      <c r="O419" s="62"/>
      <c r="P419" s="62"/>
      <c r="Q419" s="62"/>
      <c r="R419" s="63" t="str">
        <f>IFERROR(IF(OR($N419="",$O419="",$F419=""),"",ROUND(('⚙️ Setelan'!$B$3*'⚙️ Setelan'!$B$4/100)/(ABS($N419-$O419)*VLOOKUP($F419,'⚙️ Setelan'!$A$14:$F$20,4,FALSE)),2)),"")</f>
        <v/>
      </c>
      <c r="S419" s="64"/>
      <c r="T419" s="65" t="str">
        <f>IFERROR(IF(OR($N419="",$O419="",$S419=""),"",ABS($N419-$O419)*$S419*VLOOKUP($F419,'⚙️ Setelan'!$A$14:$F$20,4,FALSE)),"")</f>
        <v/>
      </c>
      <c r="U419" s="63" t="str">
        <f t="shared" si="44"/>
        <v/>
      </c>
      <c r="V419" s="65" t="str">
        <f>IFERROR(IF(OR($Q419="",$N419="",$S419=""),"",($Q419-$N419)*IF($G419="Buy",1,-1)*$S419*VLOOKUP($F419,'⚙️ Setelan'!$A$14:$F$20,4,FALSE)),"")</f>
        <v/>
      </c>
      <c r="W419" s="65" t="str">
        <f>IFERROR(IF(OR($S419="",$F419=""),"",$S419*VLOOKUP($F419,'⚙️ Setelan'!$A$14:$F$20,5,FALSE)),"")</f>
        <v/>
      </c>
      <c r="X419" s="65" t="str">
        <f t="shared" si="45"/>
        <v/>
      </c>
      <c r="Y419" s="63" t="str">
        <f t="shared" si="46"/>
        <v/>
      </c>
      <c r="Z419" s="58" t="str">
        <f t="shared" si="47"/>
        <v/>
      </c>
      <c r="AA419" s="66" t="str">
        <f t="shared" si="48"/>
        <v/>
      </c>
      <c r="AB419" s="62"/>
      <c r="AC419" s="62"/>
      <c r="AD419" s="63" t="str">
        <f>IFERROR(IF(OR($AB419="",$T419="",$T419=0),"",ROUND(ABS($N419-$AB419)*$S419*VLOOKUP($F419,'⚙️ Setelan'!$A$14:$F$20,4,FALSE)/$T419,2)),"")</f>
        <v/>
      </c>
      <c r="AE419" s="63" t="str">
        <f>IFERROR(IF(OR($AC419="",$T419="",$T419=0),"",ROUND(ABS($AC419-$N419)*$S419*VLOOKUP($F419,'⚙️ Setelan'!$A$14:$F$20,4,FALSE)/$T419,2)),"")</f>
        <v/>
      </c>
      <c r="AF419" s="61"/>
      <c r="AG419" s="61"/>
      <c r="AH419" s="61"/>
      <c r="AI419" s="61"/>
      <c r="AJ419" s="61"/>
      <c r="AK419" s="67"/>
      <c r="AL419" s="58" t="str">
        <f>IF(OR($C419="",$B419=""),"",IF(AND($Z418="Loss",$B419=$B418,MOD($C419-$D418,1)*1440&lt;'⚙️ Setelan'!$B$9),"⚠️ Revenge",""))</f>
        <v/>
      </c>
      <c r="AM419" s="68"/>
      <c r="AN419" s="58" t="str">
        <f>IF($AM419="","",IFERROR(_xlfn.IMAGE(IF(REGEXMATCH($AM419,"\.(png|jpg|jpeg|gif)$"),$AM419,"https://s3.tradingview.com/snapshots/"&amp;LOWER(MID(REGEXEXTRACT($AM419,"/x/([A-Za-z0-9]+)"),1,1))&amp;"/"&amp;REGEXEXTRACT($AM419,"/x/([A-Za-z0-9]+)")&amp;".png"),1),"⚠️ link tidak dikenali"))</f>
        <v/>
      </c>
      <c r="AO419" s="68"/>
      <c r="AP419" s="58" t="str">
        <f>IF($AO419="","",IFERROR(_xlfn.IMAGE(IF(REGEXMATCH($AO419,"\.(png|jpg|jpeg|gif)$"),$AO419,"https://s3.tradingview.com/snapshots/"&amp;LOWER(MID(REGEXEXTRACT($AO419,"/x/([A-Za-z0-9]+)"),1,1))&amp;"/"&amp;REGEXEXTRACT($AO419,"/x/([A-Za-z0-9]+)")&amp;".png"),1),"⚠️ link tidak dikenali"))</f>
        <v/>
      </c>
      <c r="AQ419" s="66">
        <f>IF($Z419="",0,IF(AND(OR('📊 Dashboard'!$B$4="(Semua)",$F419='📊 Dashboard'!$B$4),OR('📊 Dashboard'!$B$5="(Semua)",$H419='📊 Dashboard'!$B$5),OR('📊 Dashboard'!$B$6="(Semua)",$E419='📊 Dashboard'!$B$6),OR('📊 Dashboard'!$B$7="(Semua)",$AF419='📊 Dashboard'!$B$7),OR('📊 Dashboard'!$B$8="(Semua)",$AG419='📊 Dashboard'!$B$8),OR('📊 Dashboard'!$B$9="(Semua)",$K419='📊 Dashboard'!$B$9)),1,0))</f>
        <v>0</v>
      </c>
      <c r="AR419" s="69"/>
    </row>
    <row r="420" ht="58" customHeight="1" spans="1:44">
      <c r="A420" s="58" t="str">
        <f t="shared" si="42"/>
        <v/>
      </c>
      <c r="B420" s="59"/>
      <c r="C420" s="60"/>
      <c r="D420" s="60"/>
      <c r="E420" s="58" t="str">
        <f t="shared" si="43"/>
        <v/>
      </c>
      <c r="F420" s="61"/>
      <c r="G420" s="61"/>
      <c r="H420" s="61"/>
      <c r="I420" s="61"/>
      <c r="J420" s="61"/>
      <c r="K420" s="61"/>
      <c r="L420" s="61"/>
      <c r="M420" s="61"/>
      <c r="N420" s="62"/>
      <c r="O420" s="62"/>
      <c r="P420" s="62"/>
      <c r="Q420" s="62"/>
      <c r="R420" s="63" t="str">
        <f>IFERROR(IF(OR($N420="",$O420="",$F420=""),"",ROUND(('⚙️ Setelan'!$B$3*'⚙️ Setelan'!$B$4/100)/(ABS($N420-$O420)*VLOOKUP($F420,'⚙️ Setelan'!$A$14:$F$20,4,FALSE)),2)),"")</f>
        <v/>
      </c>
      <c r="S420" s="64"/>
      <c r="T420" s="65" t="str">
        <f>IFERROR(IF(OR($N420="",$O420="",$S420=""),"",ABS($N420-$O420)*$S420*VLOOKUP($F420,'⚙️ Setelan'!$A$14:$F$20,4,FALSE)),"")</f>
        <v/>
      </c>
      <c r="U420" s="63" t="str">
        <f t="shared" si="44"/>
        <v/>
      </c>
      <c r="V420" s="65" t="str">
        <f>IFERROR(IF(OR($Q420="",$N420="",$S420=""),"",($Q420-$N420)*IF($G420="Buy",1,-1)*$S420*VLOOKUP($F420,'⚙️ Setelan'!$A$14:$F$20,4,FALSE)),"")</f>
        <v/>
      </c>
      <c r="W420" s="65" t="str">
        <f>IFERROR(IF(OR($S420="",$F420=""),"",$S420*VLOOKUP($F420,'⚙️ Setelan'!$A$14:$F$20,5,FALSE)),"")</f>
        <v/>
      </c>
      <c r="X420" s="65" t="str">
        <f t="shared" si="45"/>
        <v/>
      </c>
      <c r="Y420" s="63" t="str">
        <f t="shared" si="46"/>
        <v/>
      </c>
      <c r="Z420" s="58" t="str">
        <f t="shared" si="47"/>
        <v/>
      </c>
      <c r="AA420" s="66" t="str">
        <f t="shared" si="48"/>
        <v/>
      </c>
      <c r="AB420" s="62"/>
      <c r="AC420" s="62"/>
      <c r="AD420" s="63" t="str">
        <f>IFERROR(IF(OR($AB420="",$T420="",$T420=0),"",ROUND(ABS($N420-$AB420)*$S420*VLOOKUP($F420,'⚙️ Setelan'!$A$14:$F$20,4,FALSE)/$T420,2)),"")</f>
        <v/>
      </c>
      <c r="AE420" s="63" t="str">
        <f>IFERROR(IF(OR($AC420="",$T420="",$T420=0),"",ROUND(ABS($AC420-$N420)*$S420*VLOOKUP($F420,'⚙️ Setelan'!$A$14:$F$20,4,FALSE)/$T420,2)),"")</f>
        <v/>
      </c>
      <c r="AF420" s="61"/>
      <c r="AG420" s="61"/>
      <c r="AH420" s="61"/>
      <c r="AI420" s="61"/>
      <c r="AJ420" s="61"/>
      <c r="AK420" s="67"/>
      <c r="AL420" s="58" t="str">
        <f>IF(OR($C420="",$B420=""),"",IF(AND($Z419="Loss",$B420=$B419,MOD($C420-$D419,1)*1440&lt;'⚙️ Setelan'!$B$9),"⚠️ Revenge",""))</f>
        <v/>
      </c>
      <c r="AM420" s="68"/>
      <c r="AN420" s="58" t="str">
        <f>IF($AM420="","",IFERROR(_xlfn.IMAGE(IF(REGEXMATCH($AM420,"\.(png|jpg|jpeg|gif)$"),$AM420,"https://s3.tradingview.com/snapshots/"&amp;LOWER(MID(REGEXEXTRACT($AM420,"/x/([A-Za-z0-9]+)"),1,1))&amp;"/"&amp;REGEXEXTRACT($AM420,"/x/([A-Za-z0-9]+)")&amp;".png"),1),"⚠️ link tidak dikenali"))</f>
        <v/>
      </c>
      <c r="AO420" s="68"/>
      <c r="AP420" s="58" t="str">
        <f>IF($AO420="","",IFERROR(_xlfn.IMAGE(IF(REGEXMATCH($AO420,"\.(png|jpg|jpeg|gif)$"),$AO420,"https://s3.tradingview.com/snapshots/"&amp;LOWER(MID(REGEXEXTRACT($AO420,"/x/([A-Za-z0-9]+)"),1,1))&amp;"/"&amp;REGEXEXTRACT($AO420,"/x/([A-Za-z0-9]+)")&amp;".png"),1),"⚠️ link tidak dikenali"))</f>
        <v/>
      </c>
      <c r="AQ420" s="66">
        <f>IF($Z420="",0,IF(AND(OR('📊 Dashboard'!$B$4="(Semua)",$F420='📊 Dashboard'!$B$4),OR('📊 Dashboard'!$B$5="(Semua)",$H420='📊 Dashboard'!$B$5),OR('📊 Dashboard'!$B$6="(Semua)",$E420='📊 Dashboard'!$B$6),OR('📊 Dashboard'!$B$7="(Semua)",$AF420='📊 Dashboard'!$B$7),OR('📊 Dashboard'!$B$8="(Semua)",$AG420='📊 Dashboard'!$B$8),OR('📊 Dashboard'!$B$9="(Semua)",$K420='📊 Dashboard'!$B$9)),1,0))</f>
        <v>0</v>
      </c>
      <c r="AR420" s="69"/>
    </row>
    <row r="421" ht="58" customHeight="1" spans="1:44">
      <c r="A421" s="58" t="str">
        <f t="shared" si="42"/>
        <v/>
      </c>
      <c r="B421" s="59"/>
      <c r="C421" s="60"/>
      <c r="D421" s="60"/>
      <c r="E421" s="58" t="str">
        <f t="shared" si="43"/>
        <v/>
      </c>
      <c r="F421" s="61"/>
      <c r="G421" s="61"/>
      <c r="H421" s="61"/>
      <c r="I421" s="61"/>
      <c r="J421" s="61"/>
      <c r="K421" s="61"/>
      <c r="L421" s="61"/>
      <c r="M421" s="61"/>
      <c r="N421" s="62"/>
      <c r="O421" s="62"/>
      <c r="P421" s="62"/>
      <c r="Q421" s="62"/>
      <c r="R421" s="63" t="str">
        <f>IFERROR(IF(OR($N421="",$O421="",$F421=""),"",ROUND(('⚙️ Setelan'!$B$3*'⚙️ Setelan'!$B$4/100)/(ABS($N421-$O421)*VLOOKUP($F421,'⚙️ Setelan'!$A$14:$F$20,4,FALSE)),2)),"")</f>
        <v/>
      </c>
      <c r="S421" s="64"/>
      <c r="T421" s="65" t="str">
        <f>IFERROR(IF(OR($N421="",$O421="",$S421=""),"",ABS($N421-$O421)*$S421*VLOOKUP($F421,'⚙️ Setelan'!$A$14:$F$20,4,FALSE)),"")</f>
        <v/>
      </c>
      <c r="U421" s="63" t="str">
        <f t="shared" si="44"/>
        <v/>
      </c>
      <c r="V421" s="65" t="str">
        <f>IFERROR(IF(OR($Q421="",$N421="",$S421=""),"",($Q421-$N421)*IF($G421="Buy",1,-1)*$S421*VLOOKUP($F421,'⚙️ Setelan'!$A$14:$F$20,4,FALSE)),"")</f>
        <v/>
      </c>
      <c r="W421" s="65" t="str">
        <f>IFERROR(IF(OR($S421="",$F421=""),"",$S421*VLOOKUP($F421,'⚙️ Setelan'!$A$14:$F$20,5,FALSE)),"")</f>
        <v/>
      </c>
      <c r="X421" s="65" t="str">
        <f t="shared" si="45"/>
        <v/>
      </c>
      <c r="Y421" s="63" t="str">
        <f t="shared" si="46"/>
        <v/>
      </c>
      <c r="Z421" s="58" t="str">
        <f t="shared" si="47"/>
        <v/>
      </c>
      <c r="AA421" s="66" t="str">
        <f t="shared" si="48"/>
        <v/>
      </c>
      <c r="AB421" s="62"/>
      <c r="AC421" s="62"/>
      <c r="AD421" s="63" t="str">
        <f>IFERROR(IF(OR($AB421="",$T421="",$T421=0),"",ROUND(ABS($N421-$AB421)*$S421*VLOOKUP($F421,'⚙️ Setelan'!$A$14:$F$20,4,FALSE)/$T421,2)),"")</f>
        <v/>
      </c>
      <c r="AE421" s="63" t="str">
        <f>IFERROR(IF(OR($AC421="",$T421="",$T421=0),"",ROUND(ABS($AC421-$N421)*$S421*VLOOKUP($F421,'⚙️ Setelan'!$A$14:$F$20,4,FALSE)/$T421,2)),"")</f>
        <v/>
      </c>
      <c r="AF421" s="61"/>
      <c r="AG421" s="61"/>
      <c r="AH421" s="61"/>
      <c r="AI421" s="61"/>
      <c r="AJ421" s="61"/>
      <c r="AK421" s="67"/>
      <c r="AL421" s="58" t="str">
        <f>IF(OR($C421="",$B421=""),"",IF(AND($Z420="Loss",$B421=$B420,MOD($C421-$D420,1)*1440&lt;'⚙️ Setelan'!$B$9),"⚠️ Revenge",""))</f>
        <v/>
      </c>
      <c r="AM421" s="68"/>
      <c r="AN421" s="58" t="str">
        <f>IF($AM421="","",IFERROR(_xlfn.IMAGE(IF(REGEXMATCH($AM421,"\.(png|jpg|jpeg|gif)$"),$AM421,"https://s3.tradingview.com/snapshots/"&amp;LOWER(MID(REGEXEXTRACT($AM421,"/x/([A-Za-z0-9]+)"),1,1))&amp;"/"&amp;REGEXEXTRACT($AM421,"/x/([A-Za-z0-9]+)")&amp;".png"),1),"⚠️ link tidak dikenali"))</f>
        <v/>
      </c>
      <c r="AO421" s="68"/>
      <c r="AP421" s="58" t="str">
        <f>IF($AO421="","",IFERROR(_xlfn.IMAGE(IF(REGEXMATCH($AO421,"\.(png|jpg|jpeg|gif)$"),$AO421,"https://s3.tradingview.com/snapshots/"&amp;LOWER(MID(REGEXEXTRACT($AO421,"/x/([A-Za-z0-9]+)"),1,1))&amp;"/"&amp;REGEXEXTRACT($AO421,"/x/([A-Za-z0-9]+)")&amp;".png"),1),"⚠️ link tidak dikenali"))</f>
        <v/>
      </c>
      <c r="AQ421" s="66">
        <f>IF($Z421="",0,IF(AND(OR('📊 Dashboard'!$B$4="(Semua)",$F421='📊 Dashboard'!$B$4),OR('📊 Dashboard'!$B$5="(Semua)",$H421='📊 Dashboard'!$B$5),OR('📊 Dashboard'!$B$6="(Semua)",$E421='📊 Dashboard'!$B$6),OR('📊 Dashboard'!$B$7="(Semua)",$AF421='📊 Dashboard'!$B$7),OR('📊 Dashboard'!$B$8="(Semua)",$AG421='📊 Dashboard'!$B$8),OR('📊 Dashboard'!$B$9="(Semua)",$K421='📊 Dashboard'!$B$9)),1,0))</f>
        <v>0</v>
      </c>
      <c r="AR421" s="69"/>
    </row>
    <row r="422" ht="58" customHeight="1" spans="1:44">
      <c r="A422" s="58" t="str">
        <f t="shared" si="42"/>
        <v/>
      </c>
      <c r="B422" s="59"/>
      <c r="C422" s="60"/>
      <c r="D422" s="60"/>
      <c r="E422" s="58" t="str">
        <f t="shared" si="43"/>
        <v/>
      </c>
      <c r="F422" s="61"/>
      <c r="G422" s="61"/>
      <c r="H422" s="61"/>
      <c r="I422" s="61"/>
      <c r="J422" s="61"/>
      <c r="K422" s="61"/>
      <c r="L422" s="61"/>
      <c r="M422" s="61"/>
      <c r="N422" s="62"/>
      <c r="O422" s="62"/>
      <c r="P422" s="62"/>
      <c r="Q422" s="62"/>
      <c r="R422" s="63" t="str">
        <f>IFERROR(IF(OR($N422="",$O422="",$F422=""),"",ROUND(('⚙️ Setelan'!$B$3*'⚙️ Setelan'!$B$4/100)/(ABS($N422-$O422)*VLOOKUP($F422,'⚙️ Setelan'!$A$14:$F$20,4,FALSE)),2)),"")</f>
        <v/>
      </c>
      <c r="S422" s="64"/>
      <c r="T422" s="65" t="str">
        <f>IFERROR(IF(OR($N422="",$O422="",$S422=""),"",ABS($N422-$O422)*$S422*VLOOKUP($F422,'⚙️ Setelan'!$A$14:$F$20,4,FALSE)),"")</f>
        <v/>
      </c>
      <c r="U422" s="63" t="str">
        <f t="shared" si="44"/>
        <v/>
      </c>
      <c r="V422" s="65" t="str">
        <f>IFERROR(IF(OR($Q422="",$N422="",$S422=""),"",($Q422-$N422)*IF($G422="Buy",1,-1)*$S422*VLOOKUP($F422,'⚙️ Setelan'!$A$14:$F$20,4,FALSE)),"")</f>
        <v/>
      </c>
      <c r="W422" s="65" t="str">
        <f>IFERROR(IF(OR($S422="",$F422=""),"",$S422*VLOOKUP($F422,'⚙️ Setelan'!$A$14:$F$20,5,FALSE)),"")</f>
        <v/>
      </c>
      <c r="X422" s="65" t="str">
        <f t="shared" si="45"/>
        <v/>
      </c>
      <c r="Y422" s="63" t="str">
        <f t="shared" si="46"/>
        <v/>
      </c>
      <c r="Z422" s="58" t="str">
        <f t="shared" si="47"/>
        <v/>
      </c>
      <c r="AA422" s="66" t="str">
        <f t="shared" si="48"/>
        <v/>
      </c>
      <c r="AB422" s="62"/>
      <c r="AC422" s="62"/>
      <c r="AD422" s="63" t="str">
        <f>IFERROR(IF(OR($AB422="",$T422="",$T422=0),"",ROUND(ABS($N422-$AB422)*$S422*VLOOKUP($F422,'⚙️ Setelan'!$A$14:$F$20,4,FALSE)/$T422,2)),"")</f>
        <v/>
      </c>
      <c r="AE422" s="63" t="str">
        <f>IFERROR(IF(OR($AC422="",$T422="",$T422=0),"",ROUND(ABS($AC422-$N422)*$S422*VLOOKUP($F422,'⚙️ Setelan'!$A$14:$F$20,4,FALSE)/$T422,2)),"")</f>
        <v/>
      </c>
      <c r="AF422" s="61"/>
      <c r="AG422" s="61"/>
      <c r="AH422" s="61"/>
      <c r="AI422" s="61"/>
      <c r="AJ422" s="61"/>
      <c r="AK422" s="67"/>
      <c r="AL422" s="58" t="str">
        <f>IF(OR($C422="",$B422=""),"",IF(AND($Z421="Loss",$B422=$B421,MOD($C422-$D421,1)*1440&lt;'⚙️ Setelan'!$B$9),"⚠️ Revenge",""))</f>
        <v/>
      </c>
      <c r="AM422" s="68"/>
      <c r="AN422" s="58" t="str">
        <f>IF($AM422="","",IFERROR(_xlfn.IMAGE(IF(REGEXMATCH($AM422,"\.(png|jpg|jpeg|gif)$"),$AM422,"https://s3.tradingview.com/snapshots/"&amp;LOWER(MID(REGEXEXTRACT($AM422,"/x/([A-Za-z0-9]+)"),1,1))&amp;"/"&amp;REGEXEXTRACT($AM422,"/x/([A-Za-z0-9]+)")&amp;".png"),1),"⚠️ link tidak dikenali"))</f>
        <v/>
      </c>
      <c r="AO422" s="68"/>
      <c r="AP422" s="58" t="str">
        <f>IF($AO422="","",IFERROR(_xlfn.IMAGE(IF(REGEXMATCH($AO422,"\.(png|jpg|jpeg|gif)$"),$AO422,"https://s3.tradingview.com/snapshots/"&amp;LOWER(MID(REGEXEXTRACT($AO422,"/x/([A-Za-z0-9]+)"),1,1))&amp;"/"&amp;REGEXEXTRACT($AO422,"/x/([A-Za-z0-9]+)")&amp;".png"),1),"⚠️ link tidak dikenali"))</f>
        <v/>
      </c>
      <c r="AQ422" s="66">
        <f>IF($Z422="",0,IF(AND(OR('📊 Dashboard'!$B$4="(Semua)",$F422='📊 Dashboard'!$B$4),OR('📊 Dashboard'!$B$5="(Semua)",$H422='📊 Dashboard'!$B$5),OR('📊 Dashboard'!$B$6="(Semua)",$E422='📊 Dashboard'!$B$6),OR('📊 Dashboard'!$B$7="(Semua)",$AF422='📊 Dashboard'!$B$7),OR('📊 Dashboard'!$B$8="(Semua)",$AG422='📊 Dashboard'!$B$8),OR('📊 Dashboard'!$B$9="(Semua)",$K422='📊 Dashboard'!$B$9)),1,0))</f>
        <v>0</v>
      </c>
      <c r="AR422" s="69"/>
    </row>
    <row r="423" ht="58" customHeight="1" spans="1:44">
      <c r="A423" s="58" t="str">
        <f t="shared" si="42"/>
        <v/>
      </c>
      <c r="B423" s="59"/>
      <c r="C423" s="60"/>
      <c r="D423" s="60"/>
      <c r="E423" s="58" t="str">
        <f t="shared" si="43"/>
        <v/>
      </c>
      <c r="F423" s="61"/>
      <c r="G423" s="61"/>
      <c r="H423" s="61"/>
      <c r="I423" s="61"/>
      <c r="J423" s="61"/>
      <c r="K423" s="61"/>
      <c r="L423" s="61"/>
      <c r="M423" s="61"/>
      <c r="N423" s="62"/>
      <c r="O423" s="62"/>
      <c r="P423" s="62"/>
      <c r="Q423" s="62"/>
      <c r="R423" s="63" t="str">
        <f>IFERROR(IF(OR($N423="",$O423="",$F423=""),"",ROUND(('⚙️ Setelan'!$B$3*'⚙️ Setelan'!$B$4/100)/(ABS($N423-$O423)*VLOOKUP($F423,'⚙️ Setelan'!$A$14:$F$20,4,FALSE)),2)),"")</f>
        <v/>
      </c>
      <c r="S423" s="64"/>
      <c r="T423" s="65" t="str">
        <f>IFERROR(IF(OR($N423="",$O423="",$S423=""),"",ABS($N423-$O423)*$S423*VLOOKUP($F423,'⚙️ Setelan'!$A$14:$F$20,4,FALSE)),"")</f>
        <v/>
      </c>
      <c r="U423" s="63" t="str">
        <f t="shared" si="44"/>
        <v/>
      </c>
      <c r="V423" s="65" t="str">
        <f>IFERROR(IF(OR($Q423="",$N423="",$S423=""),"",($Q423-$N423)*IF($G423="Buy",1,-1)*$S423*VLOOKUP($F423,'⚙️ Setelan'!$A$14:$F$20,4,FALSE)),"")</f>
        <v/>
      </c>
      <c r="W423" s="65" t="str">
        <f>IFERROR(IF(OR($S423="",$F423=""),"",$S423*VLOOKUP($F423,'⚙️ Setelan'!$A$14:$F$20,5,FALSE)),"")</f>
        <v/>
      </c>
      <c r="X423" s="65" t="str">
        <f t="shared" si="45"/>
        <v/>
      </c>
      <c r="Y423" s="63" t="str">
        <f t="shared" si="46"/>
        <v/>
      </c>
      <c r="Z423" s="58" t="str">
        <f t="shared" si="47"/>
        <v/>
      </c>
      <c r="AA423" s="66" t="str">
        <f t="shared" si="48"/>
        <v/>
      </c>
      <c r="AB423" s="62"/>
      <c r="AC423" s="62"/>
      <c r="AD423" s="63" t="str">
        <f>IFERROR(IF(OR($AB423="",$T423="",$T423=0),"",ROUND(ABS($N423-$AB423)*$S423*VLOOKUP($F423,'⚙️ Setelan'!$A$14:$F$20,4,FALSE)/$T423,2)),"")</f>
        <v/>
      </c>
      <c r="AE423" s="63" t="str">
        <f>IFERROR(IF(OR($AC423="",$T423="",$T423=0),"",ROUND(ABS($AC423-$N423)*$S423*VLOOKUP($F423,'⚙️ Setelan'!$A$14:$F$20,4,FALSE)/$T423,2)),"")</f>
        <v/>
      </c>
      <c r="AF423" s="61"/>
      <c r="AG423" s="61"/>
      <c r="AH423" s="61"/>
      <c r="AI423" s="61"/>
      <c r="AJ423" s="61"/>
      <c r="AK423" s="67"/>
      <c r="AL423" s="58" t="str">
        <f>IF(OR($C423="",$B423=""),"",IF(AND($Z422="Loss",$B423=$B422,MOD($C423-$D422,1)*1440&lt;'⚙️ Setelan'!$B$9),"⚠️ Revenge",""))</f>
        <v/>
      </c>
      <c r="AM423" s="68"/>
      <c r="AN423" s="58" t="str">
        <f>IF($AM423="","",IFERROR(_xlfn.IMAGE(IF(REGEXMATCH($AM423,"\.(png|jpg|jpeg|gif)$"),$AM423,"https://s3.tradingview.com/snapshots/"&amp;LOWER(MID(REGEXEXTRACT($AM423,"/x/([A-Za-z0-9]+)"),1,1))&amp;"/"&amp;REGEXEXTRACT($AM423,"/x/([A-Za-z0-9]+)")&amp;".png"),1),"⚠️ link tidak dikenali"))</f>
        <v/>
      </c>
      <c r="AO423" s="68"/>
      <c r="AP423" s="58" t="str">
        <f>IF($AO423="","",IFERROR(_xlfn.IMAGE(IF(REGEXMATCH($AO423,"\.(png|jpg|jpeg|gif)$"),$AO423,"https://s3.tradingview.com/snapshots/"&amp;LOWER(MID(REGEXEXTRACT($AO423,"/x/([A-Za-z0-9]+)"),1,1))&amp;"/"&amp;REGEXEXTRACT($AO423,"/x/([A-Za-z0-9]+)")&amp;".png"),1),"⚠️ link tidak dikenali"))</f>
        <v/>
      </c>
      <c r="AQ423" s="66">
        <f>IF($Z423="",0,IF(AND(OR('📊 Dashboard'!$B$4="(Semua)",$F423='📊 Dashboard'!$B$4),OR('📊 Dashboard'!$B$5="(Semua)",$H423='📊 Dashboard'!$B$5),OR('📊 Dashboard'!$B$6="(Semua)",$E423='📊 Dashboard'!$B$6),OR('📊 Dashboard'!$B$7="(Semua)",$AF423='📊 Dashboard'!$B$7),OR('📊 Dashboard'!$B$8="(Semua)",$AG423='📊 Dashboard'!$B$8),OR('📊 Dashboard'!$B$9="(Semua)",$K423='📊 Dashboard'!$B$9)),1,0))</f>
        <v>0</v>
      </c>
      <c r="AR423" s="69"/>
    </row>
    <row r="424" ht="58" customHeight="1" spans="1:44">
      <c r="A424" s="58" t="str">
        <f t="shared" si="42"/>
        <v/>
      </c>
      <c r="B424" s="59"/>
      <c r="C424" s="60"/>
      <c r="D424" s="60"/>
      <c r="E424" s="58" t="str">
        <f t="shared" si="43"/>
        <v/>
      </c>
      <c r="F424" s="61"/>
      <c r="G424" s="61"/>
      <c r="H424" s="61"/>
      <c r="I424" s="61"/>
      <c r="J424" s="61"/>
      <c r="K424" s="61"/>
      <c r="L424" s="61"/>
      <c r="M424" s="61"/>
      <c r="N424" s="62"/>
      <c r="O424" s="62"/>
      <c r="P424" s="62"/>
      <c r="Q424" s="62"/>
      <c r="R424" s="63" t="str">
        <f>IFERROR(IF(OR($N424="",$O424="",$F424=""),"",ROUND(('⚙️ Setelan'!$B$3*'⚙️ Setelan'!$B$4/100)/(ABS($N424-$O424)*VLOOKUP($F424,'⚙️ Setelan'!$A$14:$F$20,4,FALSE)),2)),"")</f>
        <v/>
      </c>
      <c r="S424" s="64"/>
      <c r="T424" s="65" t="str">
        <f>IFERROR(IF(OR($N424="",$O424="",$S424=""),"",ABS($N424-$O424)*$S424*VLOOKUP($F424,'⚙️ Setelan'!$A$14:$F$20,4,FALSE)),"")</f>
        <v/>
      </c>
      <c r="U424" s="63" t="str">
        <f t="shared" si="44"/>
        <v/>
      </c>
      <c r="V424" s="65" t="str">
        <f>IFERROR(IF(OR($Q424="",$N424="",$S424=""),"",($Q424-$N424)*IF($G424="Buy",1,-1)*$S424*VLOOKUP($F424,'⚙️ Setelan'!$A$14:$F$20,4,FALSE)),"")</f>
        <v/>
      </c>
      <c r="W424" s="65" t="str">
        <f>IFERROR(IF(OR($S424="",$F424=""),"",$S424*VLOOKUP($F424,'⚙️ Setelan'!$A$14:$F$20,5,FALSE)),"")</f>
        <v/>
      </c>
      <c r="X424" s="65" t="str">
        <f t="shared" si="45"/>
        <v/>
      </c>
      <c r="Y424" s="63" t="str">
        <f t="shared" si="46"/>
        <v/>
      </c>
      <c r="Z424" s="58" t="str">
        <f t="shared" si="47"/>
        <v/>
      </c>
      <c r="AA424" s="66" t="str">
        <f t="shared" si="48"/>
        <v/>
      </c>
      <c r="AB424" s="62"/>
      <c r="AC424" s="62"/>
      <c r="AD424" s="63" t="str">
        <f>IFERROR(IF(OR($AB424="",$T424="",$T424=0),"",ROUND(ABS($N424-$AB424)*$S424*VLOOKUP($F424,'⚙️ Setelan'!$A$14:$F$20,4,FALSE)/$T424,2)),"")</f>
        <v/>
      </c>
      <c r="AE424" s="63" t="str">
        <f>IFERROR(IF(OR($AC424="",$T424="",$T424=0),"",ROUND(ABS($AC424-$N424)*$S424*VLOOKUP($F424,'⚙️ Setelan'!$A$14:$F$20,4,FALSE)/$T424,2)),"")</f>
        <v/>
      </c>
      <c r="AF424" s="61"/>
      <c r="AG424" s="61"/>
      <c r="AH424" s="61"/>
      <c r="AI424" s="61"/>
      <c r="AJ424" s="61"/>
      <c r="AK424" s="67"/>
      <c r="AL424" s="58" t="str">
        <f>IF(OR($C424="",$B424=""),"",IF(AND($Z423="Loss",$B424=$B423,MOD($C424-$D423,1)*1440&lt;'⚙️ Setelan'!$B$9),"⚠️ Revenge",""))</f>
        <v/>
      </c>
      <c r="AM424" s="68"/>
      <c r="AN424" s="58" t="str">
        <f>IF($AM424="","",IFERROR(_xlfn.IMAGE(IF(REGEXMATCH($AM424,"\.(png|jpg|jpeg|gif)$"),$AM424,"https://s3.tradingview.com/snapshots/"&amp;LOWER(MID(REGEXEXTRACT($AM424,"/x/([A-Za-z0-9]+)"),1,1))&amp;"/"&amp;REGEXEXTRACT($AM424,"/x/([A-Za-z0-9]+)")&amp;".png"),1),"⚠️ link tidak dikenali"))</f>
        <v/>
      </c>
      <c r="AO424" s="68"/>
      <c r="AP424" s="58" t="str">
        <f>IF($AO424="","",IFERROR(_xlfn.IMAGE(IF(REGEXMATCH($AO424,"\.(png|jpg|jpeg|gif)$"),$AO424,"https://s3.tradingview.com/snapshots/"&amp;LOWER(MID(REGEXEXTRACT($AO424,"/x/([A-Za-z0-9]+)"),1,1))&amp;"/"&amp;REGEXEXTRACT($AO424,"/x/([A-Za-z0-9]+)")&amp;".png"),1),"⚠️ link tidak dikenali"))</f>
        <v/>
      </c>
      <c r="AQ424" s="66">
        <f>IF($Z424="",0,IF(AND(OR('📊 Dashboard'!$B$4="(Semua)",$F424='📊 Dashboard'!$B$4),OR('📊 Dashboard'!$B$5="(Semua)",$H424='📊 Dashboard'!$B$5),OR('📊 Dashboard'!$B$6="(Semua)",$E424='📊 Dashboard'!$B$6),OR('📊 Dashboard'!$B$7="(Semua)",$AF424='📊 Dashboard'!$B$7),OR('📊 Dashboard'!$B$8="(Semua)",$AG424='📊 Dashboard'!$B$8),OR('📊 Dashboard'!$B$9="(Semua)",$K424='📊 Dashboard'!$B$9)),1,0))</f>
        <v>0</v>
      </c>
      <c r="AR424" s="69"/>
    </row>
    <row r="425" ht="58" customHeight="1" spans="1:44">
      <c r="A425" s="58" t="str">
        <f t="shared" si="42"/>
        <v/>
      </c>
      <c r="B425" s="59"/>
      <c r="C425" s="60"/>
      <c r="D425" s="60"/>
      <c r="E425" s="58" t="str">
        <f t="shared" si="43"/>
        <v/>
      </c>
      <c r="F425" s="61"/>
      <c r="G425" s="61"/>
      <c r="H425" s="61"/>
      <c r="I425" s="61"/>
      <c r="J425" s="61"/>
      <c r="K425" s="61"/>
      <c r="L425" s="61"/>
      <c r="M425" s="61"/>
      <c r="N425" s="62"/>
      <c r="O425" s="62"/>
      <c r="P425" s="62"/>
      <c r="Q425" s="62"/>
      <c r="R425" s="63" t="str">
        <f>IFERROR(IF(OR($N425="",$O425="",$F425=""),"",ROUND(('⚙️ Setelan'!$B$3*'⚙️ Setelan'!$B$4/100)/(ABS($N425-$O425)*VLOOKUP($F425,'⚙️ Setelan'!$A$14:$F$20,4,FALSE)),2)),"")</f>
        <v/>
      </c>
      <c r="S425" s="64"/>
      <c r="T425" s="65" t="str">
        <f>IFERROR(IF(OR($N425="",$O425="",$S425=""),"",ABS($N425-$O425)*$S425*VLOOKUP($F425,'⚙️ Setelan'!$A$14:$F$20,4,FALSE)),"")</f>
        <v/>
      </c>
      <c r="U425" s="63" t="str">
        <f t="shared" si="44"/>
        <v/>
      </c>
      <c r="V425" s="65" t="str">
        <f>IFERROR(IF(OR($Q425="",$N425="",$S425=""),"",($Q425-$N425)*IF($G425="Buy",1,-1)*$S425*VLOOKUP($F425,'⚙️ Setelan'!$A$14:$F$20,4,FALSE)),"")</f>
        <v/>
      </c>
      <c r="W425" s="65" t="str">
        <f>IFERROR(IF(OR($S425="",$F425=""),"",$S425*VLOOKUP($F425,'⚙️ Setelan'!$A$14:$F$20,5,FALSE)),"")</f>
        <v/>
      </c>
      <c r="X425" s="65" t="str">
        <f t="shared" si="45"/>
        <v/>
      </c>
      <c r="Y425" s="63" t="str">
        <f t="shared" si="46"/>
        <v/>
      </c>
      <c r="Z425" s="58" t="str">
        <f t="shared" si="47"/>
        <v/>
      </c>
      <c r="AA425" s="66" t="str">
        <f t="shared" si="48"/>
        <v/>
      </c>
      <c r="AB425" s="62"/>
      <c r="AC425" s="62"/>
      <c r="AD425" s="63" t="str">
        <f>IFERROR(IF(OR($AB425="",$T425="",$T425=0),"",ROUND(ABS($N425-$AB425)*$S425*VLOOKUP($F425,'⚙️ Setelan'!$A$14:$F$20,4,FALSE)/$T425,2)),"")</f>
        <v/>
      </c>
      <c r="AE425" s="63" t="str">
        <f>IFERROR(IF(OR($AC425="",$T425="",$T425=0),"",ROUND(ABS($AC425-$N425)*$S425*VLOOKUP($F425,'⚙️ Setelan'!$A$14:$F$20,4,FALSE)/$T425,2)),"")</f>
        <v/>
      </c>
      <c r="AF425" s="61"/>
      <c r="AG425" s="61"/>
      <c r="AH425" s="61"/>
      <c r="AI425" s="61"/>
      <c r="AJ425" s="61"/>
      <c r="AK425" s="67"/>
      <c r="AL425" s="58" t="str">
        <f>IF(OR($C425="",$B425=""),"",IF(AND($Z424="Loss",$B425=$B424,MOD($C425-$D424,1)*1440&lt;'⚙️ Setelan'!$B$9),"⚠️ Revenge",""))</f>
        <v/>
      </c>
      <c r="AM425" s="68"/>
      <c r="AN425" s="58" t="str">
        <f>IF($AM425="","",IFERROR(_xlfn.IMAGE(IF(REGEXMATCH($AM425,"\.(png|jpg|jpeg|gif)$"),$AM425,"https://s3.tradingview.com/snapshots/"&amp;LOWER(MID(REGEXEXTRACT($AM425,"/x/([A-Za-z0-9]+)"),1,1))&amp;"/"&amp;REGEXEXTRACT($AM425,"/x/([A-Za-z0-9]+)")&amp;".png"),1),"⚠️ link tidak dikenali"))</f>
        <v/>
      </c>
      <c r="AO425" s="68"/>
      <c r="AP425" s="58" t="str">
        <f>IF($AO425="","",IFERROR(_xlfn.IMAGE(IF(REGEXMATCH($AO425,"\.(png|jpg|jpeg|gif)$"),$AO425,"https://s3.tradingview.com/snapshots/"&amp;LOWER(MID(REGEXEXTRACT($AO425,"/x/([A-Za-z0-9]+)"),1,1))&amp;"/"&amp;REGEXEXTRACT($AO425,"/x/([A-Za-z0-9]+)")&amp;".png"),1),"⚠️ link tidak dikenali"))</f>
        <v/>
      </c>
      <c r="AQ425" s="66">
        <f>IF($Z425="",0,IF(AND(OR('📊 Dashboard'!$B$4="(Semua)",$F425='📊 Dashboard'!$B$4),OR('📊 Dashboard'!$B$5="(Semua)",$H425='📊 Dashboard'!$B$5),OR('📊 Dashboard'!$B$6="(Semua)",$E425='📊 Dashboard'!$B$6),OR('📊 Dashboard'!$B$7="(Semua)",$AF425='📊 Dashboard'!$B$7),OR('📊 Dashboard'!$B$8="(Semua)",$AG425='📊 Dashboard'!$B$8),OR('📊 Dashboard'!$B$9="(Semua)",$K425='📊 Dashboard'!$B$9)),1,0))</f>
        <v>0</v>
      </c>
      <c r="AR425" s="69"/>
    </row>
    <row r="426" ht="58" customHeight="1" spans="1:44">
      <c r="A426" s="58" t="str">
        <f t="shared" si="42"/>
        <v/>
      </c>
      <c r="B426" s="59"/>
      <c r="C426" s="60"/>
      <c r="D426" s="60"/>
      <c r="E426" s="58" t="str">
        <f t="shared" si="43"/>
        <v/>
      </c>
      <c r="F426" s="61"/>
      <c r="G426" s="61"/>
      <c r="H426" s="61"/>
      <c r="I426" s="61"/>
      <c r="J426" s="61"/>
      <c r="K426" s="61"/>
      <c r="L426" s="61"/>
      <c r="M426" s="61"/>
      <c r="N426" s="62"/>
      <c r="O426" s="62"/>
      <c r="P426" s="62"/>
      <c r="Q426" s="62"/>
      <c r="R426" s="63" t="str">
        <f>IFERROR(IF(OR($N426="",$O426="",$F426=""),"",ROUND(('⚙️ Setelan'!$B$3*'⚙️ Setelan'!$B$4/100)/(ABS($N426-$O426)*VLOOKUP($F426,'⚙️ Setelan'!$A$14:$F$20,4,FALSE)),2)),"")</f>
        <v/>
      </c>
      <c r="S426" s="64"/>
      <c r="T426" s="65" t="str">
        <f>IFERROR(IF(OR($N426="",$O426="",$S426=""),"",ABS($N426-$O426)*$S426*VLOOKUP($F426,'⚙️ Setelan'!$A$14:$F$20,4,FALSE)),"")</f>
        <v/>
      </c>
      <c r="U426" s="63" t="str">
        <f t="shared" si="44"/>
        <v/>
      </c>
      <c r="V426" s="65" t="str">
        <f>IFERROR(IF(OR($Q426="",$N426="",$S426=""),"",($Q426-$N426)*IF($G426="Buy",1,-1)*$S426*VLOOKUP($F426,'⚙️ Setelan'!$A$14:$F$20,4,FALSE)),"")</f>
        <v/>
      </c>
      <c r="W426" s="65" t="str">
        <f>IFERROR(IF(OR($S426="",$F426=""),"",$S426*VLOOKUP($F426,'⚙️ Setelan'!$A$14:$F$20,5,FALSE)),"")</f>
        <v/>
      </c>
      <c r="X426" s="65" t="str">
        <f t="shared" si="45"/>
        <v/>
      </c>
      <c r="Y426" s="63" t="str">
        <f t="shared" si="46"/>
        <v/>
      </c>
      <c r="Z426" s="58" t="str">
        <f t="shared" si="47"/>
        <v/>
      </c>
      <c r="AA426" s="66" t="str">
        <f t="shared" si="48"/>
        <v/>
      </c>
      <c r="AB426" s="62"/>
      <c r="AC426" s="62"/>
      <c r="AD426" s="63" t="str">
        <f>IFERROR(IF(OR($AB426="",$T426="",$T426=0),"",ROUND(ABS($N426-$AB426)*$S426*VLOOKUP($F426,'⚙️ Setelan'!$A$14:$F$20,4,FALSE)/$T426,2)),"")</f>
        <v/>
      </c>
      <c r="AE426" s="63" t="str">
        <f>IFERROR(IF(OR($AC426="",$T426="",$T426=0),"",ROUND(ABS($AC426-$N426)*$S426*VLOOKUP($F426,'⚙️ Setelan'!$A$14:$F$20,4,FALSE)/$T426,2)),"")</f>
        <v/>
      </c>
      <c r="AF426" s="61"/>
      <c r="AG426" s="61"/>
      <c r="AH426" s="61"/>
      <c r="AI426" s="61"/>
      <c r="AJ426" s="61"/>
      <c r="AK426" s="67"/>
      <c r="AL426" s="58" t="str">
        <f>IF(OR($C426="",$B426=""),"",IF(AND($Z425="Loss",$B426=$B425,MOD($C426-$D425,1)*1440&lt;'⚙️ Setelan'!$B$9),"⚠️ Revenge",""))</f>
        <v/>
      </c>
      <c r="AM426" s="68"/>
      <c r="AN426" s="58" t="str">
        <f>IF($AM426="","",IFERROR(_xlfn.IMAGE(IF(REGEXMATCH($AM426,"\.(png|jpg|jpeg|gif)$"),$AM426,"https://s3.tradingview.com/snapshots/"&amp;LOWER(MID(REGEXEXTRACT($AM426,"/x/([A-Za-z0-9]+)"),1,1))&amp;"/"&amp;REGEXEXTRACT($AM426,"/x/([A-Za-z0-9]+)")&amp;".png"),1),"⚠️ link tidak dikenali"))</f>
        <v/>
      </c>
      <c r="AO426" s="68"/>
      <c r="AP426" s="58" t="str">
        <f>IF($AO426="","",IFERROR(_xlfn.IMAGE(IF(REGEXMATCH($AO426,"\.(png|jpg|jpeg|gif)$"),$AO426,"https://s3.tradingview.com/snapshots/"&amp;LOWER(MID(REGEXEXTRACT($AO426,"/x/([A-Za-z0-9]+)"),1,1))&amp;"/"&amp;REGEXEXTRACT($AO426,"/x/([A-Za-z0-9]+)")&amp;".png"),1),"⚠️ link tidak dikenali"))</f>
        <v/>
      </c>
      <c r="AQ426" s="66">
        <f>IF($Z426="",0,IF(AND(OR('📊 Dashboard'!$B$4="(Semua)",$F426='📊 Dashboard'!$B$4),OR('📊 Dashboard'!$B$5="(Semua)",$H426='📊 Dashboard'!$B$5),OR('📊 Dashboard'!$B$6="(Semua)",$E426='📊 Dashboard'!$B$6),OR('📊 Dashboard'!$B$7="(Semua)",$AF426='📊 Dashboard'!$B$7),OR('📊 Dashboard'!$B$8="(Semua)",$AG426='📊 Dashboard'!$B$8),OR('📊 Dashboard'!$B$9="(Semua)",$K426='📊 Dashboard'!$B$9)),1,0))</f>
        <v>0</v>
      </c>
      <c r="AR426" s="69"/>
    </row>
    <row r="427" ht="58" customHeight="1" spans="1:44">
      <c r="A427" s="58" t="str">
        <f t="shared" si="42"/>
        <v/>
      </c>
      <c r="B427" s="59"/>
      <c r="C427" s="60"/>
      <c r="D427" s="60"/>
      <c r="E427" s="58" t="str">
        <f t="shared" si="43"/>
        <v/>
      </c>
      <c r="F427" s="61"/>
      <c r="G427" s="61"/>
      <c r="H427" s="61"/>
      <c r="I427" s="61"/>
      <c r="J427" s="61"/>
      <c r="K427" s="61"/>
      <c r="L427" s="61"/>
      <c r="M427" s="61"/>
      <c r="N427" s="62"/>
      <c r="O427" s="62"/>
      <c r="P427" s="62"/>
      <c r="Q427" s="62"/>
      <c r="R427" s="63" t="str">
        <f>IFERROR(IF(OR($N427="",$O427="",$F427=""),"",ROUND(('⚙️ Setelan'!$B$3*'⚙️ Setelan'!$B$4/100)/(ABS($N427-$O427)*VLOOKUP($F427,'⚙️ Setelan'!$A$14:$F$20,4,FALSE)),2)),"")</f>
        <v/>
      </c>
      <c r="S427" s="64"/>
      <c r="T427" s="65" t="str">
        <f>IFERROR(IF(OR($N427="",$O427="",$S427=""),"",ABS($N427-$O427)*$S427*VLOOKUP($F427,'⚙️ Setelan'!$A$14:$F$20,4,FALSE)),"")</f>
        <v/>
      </c>
      <c r="U427" s="63" t="str">
        <f t="shared" si="44"/>
        <v/>
      </c>
      <c r="V427" s="65" t="str">
        <f>IFERROR(IF(OR($Q427="",$N427="",$S427=""),"",($Q427-$N427)*IF($G427="Buy",1,-1)*$S427*VLOOKUP($F427,'⚙️ Setelan'!$A$14:$F$20,4,FALSE)),"")</f>
        <v/>
      </c>
      <c r="W427" s="65" t="str">
        <f>IFERROR(IF(OR($S427="",$F427=""),"",$S427*VLOOKUP($F427,'⚙️ Setelan'!$A$14:$F$20,5,FALSE)),"")</f>
        <v/>
      </c>
      <c r="X427" s="65" t="str">
        <f t="shared" si="45"/>
        <v/>
      </c>
      <c r="Y427" s="63" t="str">
        <f t="shared" si="46"/>
        <v/>
      </c>
      <c r="Z427" s="58" t="str">
        <f t="shared" si="47"/>
        <v/>
      </c>
      <c r="AA427" s="66" t="str">
        <f t="shared" si="48"/>
        <v/>
      </c>
      <c r="AB427" s="62"/>
      <c r="AC427" s="62"/>
      <c r="AD427" s="63" t="str">
        <f>IFERROR(IF(OR($AB427="",$T427="",$T427=0),"",ROUND(ABS($N427-$AB427)*$S427*VLOOKUP($F427,'⚙️ Setelan'!$A$14:$F$20,4,FALSE)/$T427,2)),"")</f>
        <v/>
      </c>
      <c r="AE427" s="63" t="str">
        <f>IFERROR(IF(OR($AC427="",$T427="",$T427=0),"",ROUND(ABS($AC427-$N427)*$S427*VLOOKUP($F427,'⚙️ Setelan'!$A$14:$F$20,4,FALSE)/$T427,2)),"")</f>
        <v/>
      </c>
      <c r="AF427" s="61"/>
      <c r="AG427" s="61"/>
      <c r="AH427" s="61"/>
      <c r="AI427" s="61"/>
      <c r="AJ427" s="61"/>
      <c r="AK427" s="67"/>
      <c r="AL427" s="58" t="str">
        <f>IF(OR($C427="",$B427=""),"",IF(AND($Z426="Loss",$B427=$B426,MOD($C427-$D426,1)*1440&lt;'⚙️ Setelan'!$B$9),"⚠️ Revenge",""))</f>
        <v/>
      </c>
      <c r="AM427" s="68"/>
      <c r="AN427" s="58" t="str">
        <f>IF($AM427="","",IFERROR(_xlfn.IMAGE(IF(REGEXMATCH($AM427,"\.(png|jpg|jpeg|gif)$"),$AM427,"https://s3.tradingview.com/snapshots/"&amp;LOWER(MID(REGEXEXTRACT($AM427,"/x/([A-Za-z0-9]+)"),1,1))&amp;"/"&amp;REGEXEXTRACT($AM427,"/x/([A-Za-z0-9]+)")&amp;".png"),1),"⚠️ link tidak dikenali"))</f>
        <v/>
      </c>
      <c r="AO427" s="68"/>
      <c r="AP427" s="58" t="str">
        <f>IF($AO427="","",IFERROR(_xlfn.IMAGE(IF(REGEXMATCH($AO427,"\.(png|jpg|jpeg|gif)$"),$AO427,"https://s3.tradingview.com/snapshots/"&amp;LOWER(MID(REGEXEXTRACT($AO427,"/x/([A-Za-z0-9]+)"),1,1))&amp;"/"&amp;REGEXEXTRACT($AO427,"/x/([A-Za-z0-9]+)")&amp;".png"),1),"⚠️ link tidak dikenali"))</f>
        <v/>
      </c>
      <c r="AQ427" s="66">
        <f>IF($Z427="",0,IF(AND(OR('📊 Dashboard'!$B$4="(Semua)",$F427='📊 Dashboard'!$B$4),OR('📊 Dashboard'!$B$5="(Semua)",$H427='📊 Dashboard'!$B$5),OR('📊 Dashboard'!$B$6="(Semua)",$E427='📊 Dashboard'!$B$6),OR('📊 Dashboard'!$B$7="(Semua)",$AF427='📊 Dashboard'!$B$7),OR('📊 Dashboard'!$B$8="(Semua)",$AG427='📊 Dashboard'!$B$8),OR('📊 Dashboard'!$B$9="(Semua)",$K427='📊 Dashboard'!$B$9)),1,0))</f>
        <v>0</v>
      </c>
      <c r="AR427" s="69"/>
    </row>
    <row r="428" ht="58" customHeight="1" spans="1:44">
      <c r="A428" s="58" t="str">
        <f t="shared" si="42"/>
        <v/>
      </c>
      <c r="B428" s="59"/>
      <c r="C428" s="60"/>
      <c r="D428" s="60"/>
      <c r="E428" s="58" t="str">
        <f t="shared" si="43"/>
        <v/>
      </c>
      <c r="F428" s="61"/>
      <c r="G428" s="61"/>
      <c r="H428" s="61"/>
      <c r="I428" s="61"/>
      <c r="J428" s="61"/>
      <c r="K428" s="61"/>
      <c r="L428" s="61"/>
      <c r="M428" s="61"/>
      <c r="N428" s="62"/>
      <c r="O428" s="62"/>
      <c r="P428" s="62"/>
      <c r="Q428" s="62"/>
      <c r="R428" s="63" t="str">
        <f>IFERROR(IF(OR($N428="",$O428="",$F428=""),"",ROUND(('⚙️ Setelan'!$B$3*'⚙️ Setelan'!$B$4/100)/(ABS($N428-$O428)*VLOOKUP($F428,'⚙️ Setelan'!$A$14:$F$20,4,FALSE)),2)),"")</f>
        <v/>
      </c>
      <c r="S428" s="64"/>
      <c r="T428" s="65" t="str">
        <f>IFERROR(IF(OR($N428="",$O428="",$S428=""),"",ABS($N428-$O428)*$S428*VLOOKUP($F428,'⚙️ Setelan'!$A$14:$F$20,4,FALSE)),"")</f>
        <v/>
      </c>
      <c r="U428" s="63" t="str">
        <f t="shared" si="44"/>
        <v/>
      </c>
      <c r="V428" s="65" t="str">
        <f>IFERROR(IF(OR($Q428="",$N428="",$S428=""),"",($Q428-$N428)*IF($G428="Buy",1,-1)*$S428*VLOOKUP($F428,'⚙️ Setelan'!$A$14:$F$20,4,FALSE)),"")</f>
        <v/>
      </c>
      <c r="W428" s="65" t="str">
        <f>IFERROR(IF(OR($S428="",$F428=""),"",$S428*VLOOKUP($F428,'⚙️ Setelan'!$A$14:$F$20,5,FALSE)),"")</f>
        <v/>
      </c>
      <c r="X428" s="65" t="str">
        <f t="shared" si="45"/>
        <v/>
      </c>
      <c r="Y428" s="63" t="str">
        <f t="shared" si="46"/>
        <v/>
      </c>
      <c r="Z428" s="58" t="str">
        <f t="shared" si="47"/>
        <v/>
      </c>
      <c r="AA428" s="66" t="str">
        <f t="shared" si="48"/>
        <v/>
      </c>
      <c r="AB428" s="62"/>
      <c r="AC428" s="62"/>
      <c r="AD428" s="63" t="str">
        <f>IFERROR(IF(OR($AB428="",$T428="",$T428=0),"",ROUND(ABS($N428-$AB428)*$S428*VLOOKUP($F428,'⚙️ Setelan'!$A$14:$F$20,4,FALSE)/$T428,2)),"")</f>
        <v/>
      </c>
      <c r="AE428" s="63" t="str">
        <f>IFERROR(IF(OR($AC428="",$T428="",$T428=0),"",ROUND(ABS($AC428-$N428)*$S428*VLOOKUP($F428,'⚙️ Setelan'!$A$14:$F$20,4,FALSE)/$T428,2)),"")</f>
        <v/>
      </c>
      <c r="AF428" s="61"/>
      <c r="AG428" s="61"/>
      <c r="AH428" s="61"/>
      <c r="AI428" s="61"/>
      <c r="AJ428" s="61"/>
      <c r="AK428" s="67"/>
      <c r="AL428" s="58" t="str">
        <f>IF(OR($C428="",$B428=""),"",IF(AND($Z427="Loss",$B428=$B427,MOD($C428-$D427,1)*1440&lt;'⚙️ Setelan'!$B$9),"⚠️ Revenge",""))</f>
        <v/>
      </c>
      <c r="AM428" s="68"/>
      <c r="AN428" s="58" t="str">
        <f>IF($AM428="","",IFERROR(_xlfn.IMAGE(IF(REGEXMATCH($AM428,"\.(png|jpg|jpeg|gif)$"),$AM428,"https://s3.tradingview.com/snapshots/"&amp;LOWER(MID(REGEXEXTRACT($AM428,"/x/([A-Za-z0-9]+)"),1,1))&amp;"/"&amp;REGEXEXTRACT($AM428,"/x/([A-Za-z0-9]+)")&amp;".png"),1),"⚠️ link tidak dikenali"))</f>
        <v/>
      </c>
      <c r="AO428" s="68"/>
      <c r="AP428" s="58" t="str">
        <f>IF($AO428="","",IFERROR(_xlfn.IMAGE(IF(REGEXMATCH($AO428,"\.(png|jpg|jpeg|gif)$"),$AO428,"https://s3.tradingview.com/snapshots/"&amp;LOWER(MID(REGEXEXTRACT($AO428,"/x/([A-Za-z0-9]+)"),1,1))&amp;"/"&amp;REGEXEXTRACT($AO428,"/x/([A-Za-z0-9]+)")&amp;".png"),1),"⚠️ link tidak dikenali"))</f>
        <v/>
      </c>
      <c r="AQ428" s="66">
        <f>IF($Z428="",0,IF(AND(OR('📊 Dashboard'!$B$4="(Semua)",$F428='📊 Dashboard'!$B$4),OR('📊 Dashboard'!$B$5="(Semua)",$H428='📊 Dashboard'!$B$5),OR('📊 Dashboard'!$B$6="(Semua)",$E428='📊 Dashboard'!$B$6),OR('📊 Dashboard'!$B$7="(Semua)",$AF428='📊 Dashboard'!$B$7),OR('📊 Dashboard'!$B$8="(Semua)",$AG428='📊 Dashboard'!$B$8),OR('📊 Dashboard'!$B$9="(Semua)",$K428='📊 Dashboard'!$B$9)),1,0))</f>
        <v>0</v>
      </c>
      <c r="AR428" s="69"/>
    </row>
    <row r="429" ht="58" customHeight="1" spans="1:44">
      <c r="A429" s="58" t="str">
        <f t="shared" si="42"/>
        <v/>
      </c>
      <c r="B429" s="59"/>
      <c r="C429" s="60"/>
      <c r="D429" s="60"/>
      <c r="E429" s="58" t="str">
        <f t="shared" si="43"/>
        <v/>
      </c>
      <c r="F429" s="61"/>
      <c r="G429" s="61"/>
      <c r="H429" s="61"/>
      <c r="I429" s="61"/>
      <c r="J429" s="61"/>
      <c r="K429" s="61"/>
      <c r="L429" s="61"/>
      <c r="M429" s="61"/>
      <c r="N429" s="62"/>
      <c r="O429" s="62"/>
      <c r="P429" s="62"/>
      <c r="Q429" s="62"/>
      <c r="R429" s="63" t="str">
        <f>IFERROR(IF(OR($N429="",$O429="",$F429=""),"",ROUND(('⚙️ Setelan'!$B$3*'⚙️ Setelan'!$B$4/100)/(ABS($N429-$O429)*VLOOKUP($F429,'⚙️ Setelan'!$A$14:$F$20,4,FALSE)),2)),"")</f>
        <v/>
      </c>
      <c r="S429" s="64"/>
      <c r="T429" s="65" t="str">
        <f>IFERROR(IF(OR($N429="",$O429="",$S429=""),"",ABS($N429-$O429)*$S429*VLOOKUP($F429,'⚙️ Setelan'!$A$14:$F$20,4,FALSE)),"")</f>
        <v/>
      </c>
      <c r="U429" s="63" t="str">
        <f t="shared" si="44"/>
        <v/>
      </c>
      <c r="V429" s="65" t="str">
        <f>IFERROR(IF(OR($Q429="",$N429="",$S429=""),"",($Q429-$N429)*IF($G429="Buy",1,-1)*$S429*VLOOKUP($F429,'⚙️ Setelan'!$A$14:$F$20,4,FALSE)),"")</f>
        <v/>
      </c>
      <c r="W429" s="65" t="str">
        <f>IFERROR(IF(OR($S429="",$F429=""),"",$S429*VLOOKUP($F429,'⚙️ Setelan'!$A$14:$F$20,5,FALSE)),"")</f>
        <v/>
      </c>
      <c r="X429" s="65" t="str">
        <f t="shared" si="45"/>
        <v/>
      </c>
      <c r="Y429" s="63" t="str">
        <f t="shared" si="46"/>
        <v/>
      </c>
      <c r="Z429" s="58" t="str">
        <f t="shared" si="47"/>
        <v/>
      </c>
      <c r="AA429" s="66" t="str">
        <f t="shared" si="48"/>
        <v/>
      </c>
      <c r="AB429" s="62"/>
      <c r="AC429" s="62"/>
      <c r="AD429" s="63" t="str">
        <f>IFERROR(IF(OR($AB429="",$T429="",$T429=0),"",ROUND(ABS($N429-$AB429)*$S429*VLOOKUP($F429,'⚙️ Setelan'!$A$14:$F$20,4,FALSE)/$T429,2)),"")</f>
        <v/>
      </c>
      <c r="AE429" s="63" t="str">
        <f>IFERROR(IF(OR($AC429="",$T429="",$T429=0),"",ROUND(ABS($AC429-$N429)*$S429*VLOOKUP($F429,'⚙️ Setelan'!$A$14:$F$20,4,FALSE)/$T429,2)),"")</f>
        <v/>
      </c>
      <c r="AF429" s="61"/>
      <c r="AG429" s="61"/>
      <c r="AH429" s="61"/>
      <c r="AI429" s="61"/>
      <c r="AJ429" s="61"/>
      <c r="AK429" s="67"/>
      <c r="AL429" s="58" t="str">
        <f>IF(OR($C429="",$B429=""),"",IF(AND($Z428="Loss",$B429=$B428,MOD($C429-$D428,1)*1440&lt;'⚙️ Setelan'!$B$9),"⚠️ Revenge",""))</f>
        <v/>
      </c>
      <c r="AM429" s="68"/>
      <c r="AN429" s="58" t="str">
        <f>IF($AM429="","",IFERROR(_xlfn.IMAGE(IF(REGEXMATCH($AM429,"\.(png|jpg|jpeg|gif)$"),$AM429,"https://s3.tradingview.com/snapshots/"&amp;LOWER(MID(REGEXEXTRACT($AM429,"/x/([A-Za-z0-9]+)"),1,1))&amp;"/"&amp;REGEXEXTRACT($AM429,"/x/([A-Za-z0-9]+)")&amp;".png"),1),"⚠️ link tidak dikenali"))</f>
        <v/>
      </c>
      <c r="AO429" s="68"/>
      <c r="AP429" s="58" t="str">
        <f>IF($AO429="","",IFERROR(_xlfn.IMAGE(IF(REGEXMATCH($AO429,"\.(png|jpg|jpeg|gif)$"),$AO429,"https://s3.tradingview.com/snapshots/"&amp;LOWER(MID(REGEXEXTRACT($AO429,"/x/([A-Za-z0-9]+)"),1,1))&amp;"/"&amp;REGEXEXTRACT($AO429,"/x/([A-Za-z0-9]+)")&amp;".png"),1),"⚠️ link tidak dikenali"))</f>
        <v/>
      </c>
      <c r="AQ429" s="66">
        <f>IF($Z429="",0,IF(AND(OR('📊 Dashboard'!$B$4="(Semua)",$F429='📊 Dashboard'!$B$4),OR('📊 Dashboard'!$B$5="(Semua)",$H429='📊 Dashboard'!$B$5),OR('📊 Dashboard'!$B$6="(Semua)",$E429='📊 Dashboard'!$B$6),OR('📊 Dashboard'!$B$7="(Semua)",$AF429='📊 Dashboard'!$B$7),OR('📊 Dashboard'!$B$8="(Semua)",$AG429='📊 Dashboard'!$B$8),OR('📊 Dashboard'!$B$9="(Semua)",$K429='📊 Dashboard'!$B$9)),1,0))</f>
        <v>0</v>
      </c>
      <c r="AR429" s="69"/>
    </row>
    <row r="430" ht="58" customHeight="1" spans="1:44">
      <c r="A430" s="58" t="str">
        <f t="shared" si="42"/>
        <v/>
      </c>
      <c r="B430" s="59"/>
      <c r="C430" s="60"/>
      <c r="D430" s="60"/>
      <c r="E430" s="58" t="str">
        <f t="shared" si="43"/>
        <v/>
      </c>
      <c r="F430" s="61"/>
      <c r="G430" s="61"/>
      <c r="H430" s="61"/>
      <c r="I430" s="61"/>
      <c r="J430" s="61"/>
      <c r="K430" s="61"/>
      <c r="L430" s="61"/>
      <c r="M430" s="61"/>
      <c r="N430" s="62"/>
      <c r="O430" s="62"/>
      <c r="P430" s="62"/>
      <c r="Q430" s="62"/>
      <c r="R430" s="63" t="str">
        <f>IFERROR(IF(OR($N430="",$O430="",$F430=""),"",ROUND(('⚙️ Setelan'!$B$3*'⚙️ Setelan'!$B$4/100)/(ABS($N430-$O430)*VLOOKUP($F430,'⚙️ Setelan'!$A$14:$F$20,4,FALSE)),2)),"")</f>
        <v/>
      </c>
      <c r="S430" s="64"/>
      <c r="T430" s="65" t="str">
        <f>IFERROR(IF(OR($N430="",$O430="",$S430=""),"",ABS($N430-$O430)*$S430*VLOOKUP($F430,'⚙️ Setelan'!$A$14:$F$20,4,FALSE)),"")</f>
        <v/>
      </c>
      <c r="U430" s="63" t="str">
        <f t="shared" si="44"/>
        <v/>
      </c>
      <c r="V430" s="65" t="str">
        <f>IFERROR(IF(OR($Q430="",$N430="",$S430=""),"",($Q430-$N430)*IF($G430="Buy",1,-1)*$S430*VLOOKUP($F430,'⚙️ Setelan'!$A$14:$F$20,4,FALSE)),"")</f>
        <v/>
      </c>
      <c r="W430" s="65" t="str">
        <f>IFERROR(IF(OR($S430="",$F430=""),"",$S430*VLOOKUP($F430,'⚙️ Setelan'!$A$14:$F$20,5,FALSE)),"")</f>
        <v/>
      </c>
      <c r="X430" s="65" t="str">
        <f t="shared" si="45"/>
        <v/>
      </c>
      <c r="Y430" s="63" t="str">
        <f t="shared" si="46"/>
        <v/>
      </c>
      <c r="Z430" s="58" t="str">
        <f t="shared" si="47"/>
        <v/>
      </c>
      <c r="AA430" s="66" t="str">
        <f t="shared" si="48"/>
        <v/>
      </c>
      <c r="AB430" s="62"/>
      <c r="AC430" s="62"/>
      <c r="AD430" s="63" t="str">
        <f>IFERROR(IF(OR($AB430="",$T430="",$T430=0),"",ROUND(ABS($N430-$AB430)*$S430*VLOOKUP($F430,'⚙️ Setelan'!$A$14:$F$20,4,FALSE)/$T430,2)),"")</f>
        <v/>
      </c>
      <c r="AE430" s="63" t="str">
        <f>IFERROR(IF(OR($AC430="",$T430="",$T430=0),"",ROUND(ABS($AC430-$N430)*$S430*VLOOKUP($F430,'⚙️ Setelan'!$A$14:$F$20,4,FALSE)/$T430,2)),"")</f>
        <v/>
      </c>
      <c r="AF430" s="61"/>
      <c r="AG430" s="61"/>
      <c r="AH430" s="61"/>
      <c r="AI430" s="61"/>
      <c r="AJ430" s="61"/>
      <c r="AK430" s="67"/>
      <c r="AL430" s="58" t="str">
        <f>IF(OR($C430="",$B430=""),"",IF(AND($Z429="Loss",$B430=$B429,MOD($C430-$D429,1)*1440&lt;'⚙️ Setelan'!$B$9),"⚠️ Revenge",""))</f>
        <v/>
      </c>
      <c r="AM430" s="68"/>
      <c r="AN430" s="58" t="str">
        <f>IF($AM430="","",IFERROR(_xlfn.IMAGE(IF(REGEXMATCH($AM430,"\.(png|jpg|jpeg|gif)$"),$AM430,"https://s3.tradingview.com/snapshots/"&amp;LOWER(MID(REGEXEXTRACT($AM430,"/x/([A-Za-z0-9]+)"),1,1))&amp;"/"&amp;REGEXEXTRACT($AM430,"/x/([A-Za-z0-9]+)")&amp;".png"),1),"⚠️ link tidak dikenali"))</f>
        <v/>
      </c>
      <c r="AO430" s="68"/>
      <c r="AP430" s="58" t="str">
        <f>IF($AO430="","",IFERROR(_xlfn.IMAGE(IF(REGEXMATCH($AO430,"\.(png|jpg|jpeg|gif)$"),$AO430,"https://s3.tradingview.com/snapshots/"&amp;LOWER(MID(REGEXEXTRACT($AO430,"/x/([A-Za-z0-9]+)"),1,1))&amp;"/"&amp;REGEXEXTRACT($AO430,"/x/([A-Za-z0-9]+)")&amp;".png"),1),"⚠️ link tidak dikenali"))</f>
        <v/>
      </c>
      <c r="AQ430" s="66">
        <f>IF($Z430="",0,IF(AND(OR('📊 Dashboard'!$B$4="(Semua)",$F430='📊 Dashboard'!$B$4),OR('📊 Dashboard'!$B$5="(Semua)",$H430='📊 Dashboard'!$B$5),OR('📊 Dashboard'!$B$6="(Semua)",$E430='📊 Dashboard'!$B$6),OR('📊 Dashboard'!$B$7="(Semua)",$AF430='📊 Dashboard'!$B$7),OR('📊 Dashboard'!$B$8="(Semua)",$AG430='📊 Dashboard'!$B$8),OR('📊 Dashboard'!$B$9="(Semua)",$K430='📊 Dashboard'!$B$9)),1,0))</f>
        <v>0</v>
      </c>
      <c r="AR430" s="69"/>
    </row>
    <row r="431" ht="58" customHeight="1" spans="1:44">
      <c r="A431" s="58" t="str">
        <f t="shared" si="42"/>
        <v/>
      </c>
      <c r="B431" s="59"/>
      <c r="C431" s="60"/>
      <c r="D431" s="60"/>
      <c r="E431" s="58" t="str">
        <f t="shared" si="43"/>
        <v/>
      </c>
      <c r="F431" s="61"/>
      <c r="G431" s="61"/>
      <c r="H431" s="61"/>
      <c r="I431" s="61"/>
      <c r="J431" s="61"/>
      <c r="K431" s="61"/>
      <c r="L431" s="61"/>
      <c r="M431" s="61"/>
      <c r="N431" s="62"/>
      <c r="O431" s="62"/>
      <c r="P431" s="62"/>
      <c r="Q431" s="62"/>
      <c r="R431" s="63" t="str">
        <f>IFERROR(IF(OR($N431="",$O431="",$F431=""),"",ROUND(('⚙️ Setelan'!$B$3*'⚙️ Setelan'!$B$4/100)/(ABS($N431-$O431)*VLOOKUP($F431,'⚙️ Setelan'!$A$14:$F$20,4,FALSE)),2)),"")</f>
        <v/>
      </c>
      <c r="S431" s="64"/>
      <c r="T431" s="65" t="str">
        <f>IFERROR(IF(OR($N431="",$O431="",$S431=""),"",ABS($N431-$O431)*$S431*VLOOKUP($F431,'⚙️ Setelan'!$A$14:$F$20,4,FALSE)),"")</f>
        <v/>
      </c>
      <c r="U431" s="63" t="str">
        <f t="shared" si="44"/>
        <v/>
      </c>
      <c r="V431" s="65" t="str">
        <f>IFERROR(IF(OR($Q431="",$N431="",$S431=""),"",($Q431-$N431)*IF($G431="Buy",1,-1)*$S431*VLOOKUP($F431,'⚙️ Setelan'!$A$14:$F$20,4,FALSE)),"")</f>
        <v/>
      </c>
      <c r="W431" s="65" t="str">
        <f>IFERROR(IF(OR($S431="",$F431=""),"",$S431*VLOOKUP($F431,'⚙️ Setelan'!$A$14:$F$20,5,FALSE)),"")</f>
        <v/>
      </c>
      <c r="X431" s="65" t="str">
        <f t="shared" si="45"/>
        <v/>
      </c>
      <c r="Y431" s="63" t="str">
        <f t="shared" si="46"/>
        <v/>
      </c>
      <c r="Z431" s="58" t="str">
        <f t="shared" si="47"/>
        <v/>
      </c>
      <c r="AA431" s="66" t="str">
        <f t="shared" si="48"/>
        <v/>
      </c>
      <c r="AB431" s="62"/>
      <c r="AC431" s="62"/>
      <c r="AD431" s="63" t="str">
        <f>IFERROR(IF(OR($AB431="",$T431="",$T431=0),"",ROUND(ABS($N431-$AB431)*$S431*VLOOKUP($F431,'⚙️ Setelan'!$A$14:$F$20,4,FALSE)/$T431,2)),"")</f>
        <v/>
      </c>
      <c r="AE431" s="63" t="str">
        <f>IFERROR(IF(OR($AC431="",$T431="",$T431=0),"",ROUND(ABS($AC431-$N431)*$S431*VLOOKUP($F431,'⚙️ Setelan'!$A$14:$F$20,4,FALSE)/$T431,2)),"")</f>
        <v/>
      </c>
      <c r="AF431" s="61"/>
      <c r="AG431" s="61"/>
      <c r="AH431" s="61"/>
      <c r="AI431" s="61"/>
      <c r="AJ431" s="61"/>
      <c r="AK431" s="67"/>
      <c r="AL431" s="58" t="str">
        <f>IF(OR($C431="",$B431=""),"",IF(AND($Z430="Loss",$B431=$B430,MOD($C431-$D430,1)*1440&lt;'⚙️ Setelan'!$B$9),"⚠️ Revenge",""))</f>
        <v/>
      </c>
      <c r="AM431" s="68"/>
      <c r="AN431" s="58" t="str">
        <f>IF($AM431="","",IFERROR(_xlfn.IMAGE(IF(REGEXMATCH($AM431,"\.(png|jpg|jpeg|gif)$"),$AM431,"https://s3.tradingview.com/snapshots/"&amp;LOWER(MID(REGEXEXTRACT($AM431,"/x/([A-Za-z0-9]+)"),1,1))&amp;"/"&amp;REGEXEXTRACT($AM431,"/x/([A-Za-z0-9]+)")&amp;".png"),1),"⚠️ link tidak dikenali"))</f>
        <v/>
      </c>
      <c r="AO431" s="68"/>
      <c r="AP431" s="58" t="str">
        <f>IF($AO431="","",IFERROR(_xlfn.IMAGE(IF(REGEXMATCH($AO431,"\.(png|jpg|jpeg|gif)$"),$AO431,"https://s3.tradingview.com/snapshots/"&amp;LOWER(MID(REGEXEXTRACT($AO431,"/x/([A-Za-z0-9]+)"),1,1))&amp;"/"&amp;REGEXEXTRACT($AO431,"/x/([A-Za-z0-9]+)")&amp;".png"),1),"⚠️ link tidak dikenali"))</f>
        <v/>
      </c>
      <c r="AQ431" s="66">
        <f>IF($Z431="",0,IF(AND(OR('📊 Dashboard'!$B$4="(Semua)",$F431='📊 Dashboard'!$B$4),OR('📊 Dashboard'!$B$5="(Semua)",$H431='📊 Dashboard'!$B$5),OR('📊 Dashboard'!$B$6="(Semua)",$E431='📊 Dashboard'!$B$6),OR('📊 Dashboard'!$B$7="(Semua)",$AF431='📊 Dashboard'!$B$7),OR('📊 Dashboard'!$B$8="(Semua)",$AG431='📊 Dashboard'!$B$8),OR('📊 Dashboard'!$B$9="(Semua)",$K431='📊 Dashboard'!$B$9)),1,0))</f>
        <v>0</v>
      </c>
      <c r="AR431" s="69"/>
    </row>
    <row r="432" ht="58" customHeight="1" spans="1:44">
      <c r="A432" s="58" t="str">
        <f t="shared" si="42"/>
        <v/>
      </c>
      <c r="B432" s="59"/>
      <c r="C432" s="60"/>
      <c r="D432" s="60"/>
      <c r="E432" s="58" t="str">
        <f t="shared" si="43"/>
        <v/>
      </c>
      <c r="F432" s="61"/>
      <c r="G432" s="61"/>
      <c r="H432" s="61"/>
      <c r="I432" s="61"/>
      <c r="J432" s="61"/>
      <c r="K432" s="61"/>
      <c r="L432" s="61"/>
      <c r="M432" s="61"/>
      <c r="N432" s="62"/>
      <c r="O432" s="62"/>
      <c r="P432" s="62"/>
      <c r="Q432" s="62"/>
      <c r="R432" s="63" t="str">
        <f>IFERROR(IF(OR($N432="",$O432="",$F432=""),"",ROUND(('⚙️ Setelan'!$B$3*'⚙️ Setelan'!$B$4/100)/(ABS($N432-$O432)*VLOOKUP($F432,'⚙️ Setelan'!$A$14:$F$20,4,FALSE)),2)),"")</f>
        <v/>
      </c>
      <c r="S432" s="64"/>
      <c r="T432" s="65" t="str">
        <f>IFERROR(IF(OR($N432="",$O432="",$S432=""),"",ABS($N432-$O432)*$S432*VLOOKUP($F432,'⚙️ Setelan'!$A$14:$F$20,4,FALSE)),"")</f>
        <v/>
      </c>
      <c r="U432" s="63" t="str">
        <f t="shared" si="44"/>
        <v/>
      </c>
      <c r="V432" s="65" t="str">
        <f>IFERROR(IF(OR($Q432="",$N432="",$S432=""),"",($Q432-$N432)*IF($G432="Buy",1,-1)*$S432*VLOOKUP($F432,'⚙️ Setelan'!$A$14:$F$20,4,FALSE)),"")</f>
        <v/>
      </c>
      <c r="W432" s="65" t="str">
        <f>IFERROR(IF(OR($S432="",$F432=""),"",$S432*VLOOKUP($F432,'⚙️ Setelan'!$A$14:$F$20,5,FALSE)),"")</f>
        <v/>
      </c>
      <c r="X432" s="65" t="str">
        <f t="shared" si="45"/>
        <v/>
      </c>
      <c r="Y432" s="63" t="str">
        <f t="shared" si="46"/>
        <v/>
      </c>
      <c r="Z432" s="58" t="str">
        <f t="shared" si="47"/>
        <v/>
      </c>
      <c r="AA432" s="66" t="str">
        <f t="shared" si="48"/>
        <v/>
      </c>
      <c r="AB432" s="62"/>
      <c r="AC432" s="62"/>
      <c r="AD432" s="63" t="str">
        <f>IFERROR(IF(OR($AB432="",$T432="",$T432=0),"",ROUND(ABS($N432-$AB432)*$S432*VLOOKUP($F432,'⚙️ Setelan'!$A$14:$F$20,4,FALSE)/$T432,2)),"")</f>
        <v/>
      </c>
      <c r="AE432" s="63" t="str">
        <f>IFERROR(IF(OR($AC432="",$T432="",$T432=0),"",ROUND(ABS($AC432-$N432)*$S432*VLOOKUP($F432,'⚙️ Setelan'!$A$14:$F$20,4,FALSE)/$T432,2)),"")</f>
        <v/>
      </c>
      <c r="AF432" s="61"/>
      <c r="AG432" s="61"/>
      <c r="AH432" s="61"/>
      <c r="AI432" s="61"/>
      <c r="AJ432" s="61"/>
      <c r="AK432" s="67"/>
      <c r="AL432" s="58" t="str">
        <f>IF(OR($C432="",$B432=""),"",IF(AND($Z431="Loss",$B432=$B431,MOD($C432-$D431,1)*1440&lt;'⚙️ Setelan'!$B$9),"⚠️ Revenge",""))</f>
        <v/>
      </c>
      <c r="AM432" s="68"/>
      <c r="AN432" s="58" t="str">
        <f>IF($AM432="","",IFERROR(_xlfn.IMAGE(IF(REGEXMATCH($AM432,"\.(png|jpg|jpeg|gif)$"),$AM432,"https://s3.tradingview.com/snapshots/"&amp;LOWER(MID(REGEXEXTRACT($AM432,"/x/([A-Za-z0-9]+)"),1,1))&amp;"/"&amp;REGEXEXTRACT($AM432,"/x/([A-Za-z0-9]+)")&amp;".png"),1),"⚠️ link tidak dikenali"))</f>
        <v/>
      </c>
      <c r="AO432" s="68"/>
      <c r="AP432" s="58" t="str">
        <f>IF($AO432="","",IFERROR(_xlfn.IMAGE(IF(REGEXMATCH($AO432,"\.(png|jpg|jpeg|gif)$"),$AO432,"https://s3.tradingview.com/snapshots/"&amp;LOWER(MID(REGEXEXTRACT($AO432,"/x/([A-Za-z0-9]+)"),1,1))&amp;"/"&amp;REGEXEXTRACT($AO432,"/x/([A-Za-z0-9]+)")&amp;".png"),1),"⚠️ link tidak dikenali"))</f>
        <v/>
      </c>
      <c r="AQ432" s="66">
        <f>IF($Z432="",0,IF(AND(OR('📊 Dashboard'!$B$4="(Semua)",$F432='📊 Dashboard'!$B$4),OR('📊 Dashboard'!$B$5="(Semua)",$H432='📊 Dashboard'!$B$5),OR('📊 Dashboard'!$B$6="(Semua)",$E432='📊 Dashboard'!$B$6),OR('📊 Dashboard'!$B$7="(Semua)",$AF432='📊 Dashboard'!$B$7),OR('📊 Dashboard'!$B$8="(Semua)",$AG432='📊 Dashboard'!$B$8),OR('📊 Dashboard'!$B$9="(Semua)",$K432='📊 Dashboard'!$B$9)),1,0))</f>
        <v>0</v>
      </c>
      <c r="AR432" s="69"/>
    </row>
    <row r="433" ht="58" customHeight="1" spans="1:44">
      <c r="A433" s="58" t="str">
        <f t="shared" si="42"/>
        <v/>
      </c>
      <c r="B433" s="59"/>
      <c r="C433" s="60"/>
      <c r="D433" s="60"/>
      <c r="E433" s="58" t="str">
        <f t="shared" si="43"/>
        <v/>
      </c>
      <c r="F433" s="61"/>
      <c r="G433" s="61"/>
      <c r="H433" s="61"/>
      <c r="I433" s="61"/>
      <c r="J433" s="61"/>
      <c r="K433" s="61"/>
      <c r="L433" s="61"/>
      <c r="M433" s="61"/>
      <c r="N433" s="62"/>
      <c r="O433" s="62"/>
      <c r="P433" s="62"/>
      <c r="Q433" s="62"/>
      <c r="R433" s="63" t="str">
        <f>IFERROR(IF(OR($N433="",$O433="",$F433=""),"",ROUND(('⚙️ Setelan'!$B$3*'⚙️ Setelan'!$B$4/100)/(ABS($N433-$O433)*VLOOKUP($F433,'⚙️ Setelan'!$A$14:$F$20,4,FALSE)),2)),"")</f>
        <v/>
      </c>
      <c r="S433" s="64"/>
      <c r="T433" s="65" t="str">
        <f>IFERROR(IF(OR($N433="",$O433="",$S433=""),"",ABS($N433-$O433)*$S433*VLOOKUP($F433,'⚙️ Setelan'!$A$14:$F$20,4,FALSE)),"")</f>
        <v/>
      </c>
      <c r="U433" s="63" t="str">
        <f t="shared" si="44"/>
        <v/>
      </c>
      <c r="V433" s="65" t="str">
        <f>IFERROR(IF(OR($Q433="",$N433="",$S433=""),"",($Q433-$N433)*IF($G433="Buy",1,-1)*$S433*VLOOKUP($F433,'⚙️ Setelan'!$A$14:$F$20,4,FALSE)),"")</f>
        <v/>
      </c>
      <c r="W433" s="65" t="str">
        <f>IFERROR(IF(OR($S433="",$F433=""),"",$S433*VLOOKUP($F433,'⚙️ Setelan'!$A$14:$F$20,5,FALSE)),"")</f>
        <v/>
      </c>
      <c r="X433" s="65" t="str">
        <f t="shared" si="45"/>
        <v/>
      </c>
      <c r="Y433" s="63" t="str">
        <f t="shared" si="46"/>
        <v/>
      </c>
      <c r="Z433" s="58" t="str">
        <f t="shared" si="47"/>
        <v/>
      </c>
      <c r="AA433" s="66" t="str">
        <f t="shared" si="48"/>
        <v/>
      </c>
      <c r="AB433" s="62"/>
      <c r="AC433" s="62"/>
      <c r="AD433" s="63" t="str">
        <f>IFERROR(IF(OR($AB433="",$T433="",$T433=0),"",ROUND(ABS($N433-$AB433)*$S433*VLOOKUP($F433,'⚙️ Setelan'!$A$14:$F$20,4,FALSE)/$T433,2)),"")</f>
        <v/>
      </c>
      <c r="AE433" s="63" t="str">
        <f>IFERROR(IF(OR($AC433="",$T433="",$T433=0),"",ROUND(ABS($AC433-$N433)*$S433*VLOOKUP($F433,'⚙️ Setelan'!$A$14:$F$20,4,FALSE)/$T433,2)),"")</f>
        <v/>
      </c>
      <c r="AF433" s="61"/>
      <c r="AG433" s="61"/>
      <c r="AH433" s="61"/>
      <c r="AI433" s="61"/>
      <c r="AJ433" s="61"/>
      <c r="AK433" s="67"/>
      <c r="AL433" s="58" t="str">
        <f>IF(OR($C433="",$B433=""),"",IF(AND($Z432="Loss",$B433=$B432,MOD($C433-$D432,1)*1440&lt;'⚙️ Setelan'!$B$9),"⚠️ Revenge",""))</f>
        <v/>
      </c>
      <c r="AM433" s="68"/>
      <c r="AN433" s="58" t="str">
        <f>IF($AM433="","",IFERROR(_xlfn.IMAGE(IF(REGEXMATCH($AM433,"\.(png|jpg|jpeg|gif)$"),$AM433,"https://s3.tradingview.com/snapshots/"&amp;LOWER(MID(REGEXEXTRACT($AM433,"/x/([A-Za-z0-9]+)"),1,1))&amp;"/"&amp;REGEXEXTRACT($AM433,"/x/([A-Za-z0-9]+)")&amp;".png"),1),"⚠️ link tidak dikenali"))</f>
        <v/>
      </c>
      <c r="AO433" s="68"/>
      <c r="AP433" s="58" t="str">
        <f>IF($AO433="","",IFERROR(_xlfn.IMAGE(IF(REGEXMATCH($AO433,"\.(png|jpg|jpeg|gif)$"),$AO433,"https://s3.tradingview.com/snapshots/"&amp;LOWER(MID(REGEXEXTRACT($AO433,"/x/([A-Za-z0-9]+)"),1,1))&amp;"/"&amp;REGEXEXTRACT($AO433,"/x/([A-Za-z0-9]+)")&amp;".png"),1),"⚠️ link tidak dikenali"))</f>
        <v/>
      </c>
      <c r="AQ433" s="66">
        <f>IF($Z433="",0,IF(AND(OR('📊 Dashboard'!$B$4="(Semua)",$F433='📊 Dashboard'!$B$4),OR('📊 Dashboard'!$B$5="(Semua)",$H433='📊 Dashboard'!$B$5),OR('📊 Dashboard'!$B$6="(Semua)",$E433='📊 Dashboard'!$B$6),OR('📊 Dashboard'!$B$7="(Semua)",$AF433='📊 Dashboard'!$B$7),OR('📊 Dashboard'!$B$8="(Semua)",$AG433='📊 Dashboard'!$B$8),OR('📊 Dashboard'!$B$9="(Semua)",$K433='📊 Dashboard'!$B$9)),1,0))</f>
        <v>0</v>
      </c>
      <c r="AR433" s="69"/>
    </row>
    <row r="434" ht="58" customHeight="1" spans="1:44">
      <c r="A434" s="58" t="str">
        <f t="shared" si="42"/>
        <v/>
      </c>
      <c r="B434" s="59"/>
      <c r="C434" s="60"/>
      <c r="D434" s="60"/>
      <c r="E434" s="58" t="str">
        <f t="shared" si="43"/>
        <v/>
      </c>
      <c r="F434" s="61"/>
      <c r="G434" s="61"/>
      <c r="H434" s="61"/>
      <c r="I434" s="61"/>
      <c r="J434" s="61"/>
      <c r="K434" s="61"/>
      <c r="L434" s="61"/>
      <c r="M434" s="61"/>
      <c r="N434" s="62"/>
      <c r="O434" s="62"/>
      <c r="P434" s="62"/>
      <c r="Q434" s="62"/>
      <c r="R434" s="63" t="str">
        <f>IFERROR(IF(OR($N434="",$O434="",$F434=""),"",ROUND(('⚙️ Setelan'!$B$3*'⚙️ Setelan'!$B$4/100)/(ABS($N434-$O434)*VLOOKUP($F434,'⚙️ Setelan'!$A$14:$F$20,4,FALSE)),2)),"")</f>
        <v/>
      </c>
      <c r="S434" s="64"/>
      <c r="T434" s="65" t="str">
        <f>IFERROR(IF(OR($N434="",$O434="",$S434=""),"",ABS($N434-$O434)*$S434*VLOOKUP($F434,'⚙️ Setelan'!$A$14:$F$20,4,FALSE)),"")</f>
        <v/>
      </c>
      <c r="U434" s="63" t="str">
        <f t="shared" si="44"/>
        <v/>
      </c>
      <c r="V434" s="65" t="str">
        <f>IFERROR(IF(OR($Q434="",$N434="",$S434=""),"",($Q434-$N434)*IF($G434="Buy",1,-1)*$S434*VLOOKUP($F434,'⚙️ Setelan'!$A$14:$F$20,4,FALSE)),"")</f>
        <v/>
      </c>
      <c r="W434" s="65" t="str">
        <f>IFERROR(IF(OR($S434="",$F434=""),"",$S434*VLOOKUP($F434,'⚙️ Setelan'!$A$14:$F$20,5,FALSE)),"")</f>
        <v/>
      </c>
      <c r="X434" s="65" t="str">
        <f t="shared" si="45"/>
        <v/>
      </c>
      <c r="Y434" s="63" t="str">
        <f t="shared" si="46"/>
        <v/>
      </c>
      <c r="Z434" s="58" t="str">
        <f t="shared" si="47"/>
        <v/>
      </c>
      <c r="AA434" s="66" t="str">
        <f t="shared" si="48"/>
        <v/>
      </c>
      <c r="AB434" s="62"/>
      <c r="AC434" s="62"/>
      <c r="AD434" s="63" t="str">
        <f>IFERROR(IF(OR($AB434="",$T434="",$T434=0),"",ROUND(ABS($N434-$AB434)*$S434*VLOOKUP($F434,'⚙️ Setelan'!$A$14:$F$20,4,FALSE)/$T434,2)),"")</f>
        <v/>
      </c>
      <c r="AE434" s="63" t="str">
        <f>IFERROR(IF(OR($AC434="",$T434="",$T434=0),"",ROUND(ABS($AC434-$N434)*$S434*VLOOKUP($F434,'⚙️ Setelan'!$A$14:$F$20,4,FALSE)/$T434,2)),"")</f>
        <v/>
      </c>
      <c r="AF434" s="61"/>
      <c r="AG434" s="61"/>
      <c r="AH434" s="61"/>
      <c r="AI434" s="61"/>
      <c r="AJ434" s="61"/>
      <c r="AK434" s="67"/>
      <c r="AL434" s="58" t="str">
        <f>IF(OR($C434="",$B434=""),"",IF(AND($Z433="Loss",$B434=$B433,MOD($C434-$D433,1)*1440&lt;'⚙️ Setelan'!$B$9),"⚠️ Revenge",""))</f>
        <v/>
      </c>
      <c r="AM434" s="68"/>
      <c r="AN434" s="58" t="str">
        <f>IF($AM434="","",IFERROR(_xlfn.IMAGE(IF(REGEXMATCH($AM434,"\.(png|jpg|jpeg|gif)$"),$AM434,"https://s3.tradingview.com/snapshots/"&amp;LOWER(MID(REGEXEXTRACT($AM434,"/x/([A-Za-z0-9]+)"),1,1))&amp;"/"&amp;REGEXEXTRACT($AM434,"/x/([A-Za-z0-9]+)")&amp;".png"),1),"⚠️ link tidak dikenali"))</f>
        <v/>
      </c>
      <c r="AO434" s="68"/>
      <c r="AP434" s="58" t="str">
        <f>IF($AO434="","",IFERROR(_xlfn.IMAGE(IF(REGEXMATCH($AO434,"\.(png|jpg|jpeg|gif)$"),$AO434,"https://s3.tradingview.com/snapshots/"&amp;LOWER(MID(REGEXEXTRACT($AO434,"/x/([A-Za-z0-9]+)"),1,1))&amp;"/"&amp;REGEXEXTRACT($AO434,"/x/([A-Za-z0-9]+)")&amp;".png"),1),"⚠️ link tidak dikenali"))</f>
        <v/>
      </c>
      <c r="AQ434" s="66">
        <f>IF($Z434="",0,IF(AND(OR('📊 Dashboard'!$B$4="(Semua)",$F434='📊 Dashboard'!$B$4),OR('📊 Dashboard'!$B$5="(Semua)",$H434='📊 Dashboard'!$B$5),OR('📊 Dashboard'!$B$6="(Semua)",$E434='📊 Dashboard'!$B$6),OR('📊 Dashboard'!$B$7="(Semua)",$AF434='📊 Dashboard'!$B$7),OR('📊 Dashboard'!$B$8="(Semua)",$AG434='📊 Dashboard'!$B$8),OR('📊 Dashboard'!$B$9="(Semua)",$K434='📊 Dashboard'!$B$9)),1,0))</f>
        <v>0</v>
      </c>
      <c r="AR434" s="69"/>
    </row>
    <row r="435" ht="58" customHeight="1" spans="1:44">
      <c r="A435" s="58" t="str">
        <f t="shared" si="42"/>
        <v/>
      </c>
      <c r="B435" s="59"/>
      <c r="C435" s="60"/>
      <c r="D435" s="60"/>
      <c r="E435" s="58" t="str">
        <f t="shared" si="43"/>
        <v/>
      </c>
      <c r="F435" s="61"/>
      <c r="G435" s="61"/>
      <c r="H435" s="61"/>
      <c r="I435" s="61"/>
      <c r="J435" s="61"/>
      <c r="K435" s="61"/>
      <c r="L435" s="61"/>
      <c r="M435" s="61"/>
      <c r="N435" s="62"/>
      <c r="O435" s="62"/>
      <c r="P435" s="62"/>
      <c r="Q435" s="62"/>
      <c r="R435" s="63" t="str">
        <f>IFERROR(IF(OR($N435="",$O435="",$F435=""),"",ROUND(('⚙️ Setelan'!$B$3*'⚙️ Setelan'!$B$4/100)/(ABS($N435-$O435)*VLOOKUP($F435,'⚙️ Setelan'!$A$14:$F$20,4,FALSE)),2)),"")</f>
        <v/>
      </c>
      <c r="S435" s="64"/>
      <c r="T435" s="65" t="str">
        <f>IFERROR(IF(OR($N435="",$O435="",$S435=""),"",ABS($N435-$O435)*$S435*VLOOKUP($F435,'⚙️ Setelan'!$A$14:$F$20,4,FALSE)),"")</f>
        <v/>
      </c>
      <c r="U435" s="63" t="str">
        <f t="shared" si="44"/>
        <v/>
      </c>
      <c r="V435" s="65" t="str">
        <f>IFERROR(IF(OR($Q435="",$N435="",$S435=""),"",($Q435-$N435)*IF($G435="Buy",1,-1)*$S435*VLOOKUP($F435,'⚙️ Setelan'!$A$14:$F$20,4,FALSE)),"")</f>
        <v/>
      </c>
      <c r="W435" s="65" t="str">
        <f>IFERROR(IF(OR($S435="",$F435=""),"",$S435*VLOOKUP($F435,'⚙️ Setelan'!$A$14:$F$20,5,FALSE)),"")</f>
        <v/>
      </c>
      <c r="X435" s="65" t="str">
        <f t="shared" si="45"/>
        <v/>
      </c>
      <c r="Y435" s="63" t="str">
        <f t="shared" si="46"/>
        <v/>
      </c>
      <c r="Z435" s="58" t="str">
        <f t="shared" si="47"/>
        <v/>
      </c>
      <c r="AA435" s="66" t="str">
        <f t="shared" si="48"/>
        <v/>
      </c>
      <c r="AB435" s="62"/>
      <c r="AC435" s="62"/>
      <c r="AD435" s="63" t="str">
        <f>IFERROR(IF(OR($AB435="",$T435="",$T435=0),"",ROUND(ABS($N435-$AB435)*$S435*VLOOKUP($F435,'⚙️ Setelan'!$A$14:$F$20,4,FALSE)/$T435,2)),"")</f>
        <v/>
      </c>
      <c r="AE435" s="63" t="str">
        <f>IFERROR(IF(OR($AC435="",$T435="",$T435=0),"",ROUND(ABS($AC435-$N435)*$S435*VLOOKUP($F435,'⚙️ Setelan'!$A$14:$F$20,4,FALSE)/$T435,2)),"")</f>
        <v/>
      </c>
      <c r="AF435" s="61"/>
      <c r="AG435" s="61"/>
      <c r="AH435" s="61"/>
      <c r="AI435" s="61"/>
      <c r="AJ435" s="61"/>
      <c r="AK435" s="67"/>
      <c r="AL435" s="58" t="str">
        <f>IF(OR($C435="",$B435=""),"",IF(AND($Z434="Loss",$B435=$B434,MOD($C435-$D434,1)*1440&lt;'⚙️ Setelan'!$B$9),"⚠️ Revenge",""))</f>
        <v/>
      </c>
      <c r="AM435" s="68"/>
      <c r="AN435" s="58" t="str">
        <f>IF($AM435="","",IFERROR(_xlfn.IMAGE(IF(REGEXMATCH($AM435,"\.(png|jpg|jpeg|gif)$"),$AM435,"https://s3.tradingview.com/snapshots/"&amp;LOWER(MID(REGEXEXTRACT($AM435,"/x/([A-Za-z0-9]+)"),1,1))&amp;"/"&amp;REGEXEXTRACT($AM435,"/x/([A-Za-z0-9]+)")&amp;".png"),1),"⚠️ link tidak dikenali"))</f>
        <v/>
      </c>
      <c r="AO435" s="68"/>
      <c r="AP435" s="58" t="str">
        <f>IF($AO435="","",IFERROR(_xlfn.IMAGE(IF(REGEXMATCH($AO435,"\.(png|jpg|jpeg|gif)$"),$AO435,"https://s3.tradingview.com/snapshots/"&amp;LOWER(MID(REGEXEXTRACT($AO435,"/x/([A-Za-z0-9]+)"),1,1))&amp;"/"&amp;REGEXEXTRACT($AO435,"/x/([A-Za-z0-9]+)")&amp;".png"),1),"⚠️ link tidak dikenali"))</f>
        <v/>
      </c>
      <c r="AQ435" s="66">
        <f>IF($Z435="",0,IF(AND(OR('📊 Dashboard'!$B$4="(Semua)",$F435='📊 Dashboard'!$B$4),OR('📊 Dashboard'!$B$5="(Semua)",$H435='📊 Dashboard'!$B$5),OR('📊 Dashboard'!$B$6="(Semua)",$E435='📊 Dashboard'!$B$6),OR('📊 Dashboard'!$B$7="(Semua)",$AF435='📊 Dashboard'!$B$7),OR('📊 Dashboard'!$B$8="(Semua)",$AG435='📊 Dashboard'!$B$8),OR('📊 Dashboard'!$B$9="(Semua)",$K435='📊 Dashboard'!$B$9)),1,0))</f>
        <v>0</v>
      </c>
      <c r="AR435" s="69"/>
    </row>
    <row r="436" ht="58" customHeight="1" spans="1:44">
      <c r="A436" s="58" t="str">
        <f t="shared" si="42"/>
        <v/>
      </c>
      <c r="B436" s="59"/>
      <c r="C436" s="60"/>
      <c r="D436" s="60"/>
      <c r="E436" s="58" t="str">
        <f t="shared" si="43"/>
        <v/>
      </c>
      <c r="F436" s="61"/>
      <c r="G436" s="61"/>
      <c r="H436" s="61"/>
      <c r="I436" s="61"/>
      <c r="J436" s="61"/>
      <c r="K436" s="61"/>
      <c r="L436" s="61"/>
      <c r="M436" s="61"/>
      <c r="N436" s="62"/>
      <c r="O436" s="62"/>
      <c r="P436" s="62"/>
      <c r="Q436" s="62"/>
      <c r="R436" s="63" t="str">
        <f>IFERROR(IF(OR($N436="",$O436="",$F436=""),"",ROUND(('⚙️ Setelan'!$B$3*'⚙️ Setelan'!$B$4/100)/(ABS($N436-$O436)*VLOOKUP($F436,'⚙️ Setelan'!$A$14:$F$20,4,FALSE)),2)),"")</f>
        <v/>
      </c>
      <c r="S436" s="64"/>
      <c r="T436" s="65" t="str">
        <f>IFERROR(IF(OR($N436="",$O436="",$S436=""),"",ABS($N436-$O436)*$S436*VLOOKUP($F436,'⚙️ Setelan'!$A$14:$F$20,4,FALSE)),"")</f>
        <v/>
      </c>
      <c r="U436" s="63" t="str">
        <f t="shared" si="44"/>
        <v/>
      </c>
      <c r="V436" s="65" t="str">
        <f>IFERROR(IF(OR($Q436="",$N436="",$S436=""),"",($Q436-$N436)*IF($G436="Buy",1,-1)*$S436*VLOOKUP($F436,'⚙️ Setelan'!$A$14:$F$20,4,FALSE)),"")</f>
        <v/>
      </c>
      <c r="W436" s="65" t="str">
        <f>IFERROR(IF(OR($S436="",$F436=""),"",$S436*VLOOKUP($F436,'⚙️ Setelan'!$A$14:$F$20,5,FALSE)),"")</f>
        <v/>
      </c>
      <c r="X436" s="65" t="str">
        <f t="shared" si="45"/>
        <v/>
      </c>
      <c r="Y436" s="63" t="str">
        <f t="shared" si="46"/>
        <v/>
      </c>
      <c r="Z436" s="58" t="str">
        <f t="shared" si="47"/>
        <v/>
      </c>
      <c r="AA436" s="66" t="str">
        <f t="shared" si="48"/>
        <v/>
      </c>
      <c r="AB436" s="62"/>
      <c r="AC436" s="62"/>
      <c r="AD436" s="63" t="str">
        <f>IFERROR(IF(OR($AB436="",$T436="",$T436=0),"",ROUND(ABS($N436-$AB436)*$S436*VLOOKUP($F436,'⚙️ Setelan'!$A$14:$F$20,4,FALSE)/$T436,2)),"")</f>
        <v/>
      </c>
      <c r="AE436" s="63" t="str">
        <f>IFERROR(IF(OR($AC436="",$T436="",$T436=0),"",ROUND(ABS($AC436-$N436)*$S436*VLOOKUP($F436,'⚙️ Setelan'!$A$14:$F$20,4,FALSE)/$T436,2)),"")</f>
        <v/>
      </c>
      <c r="AF436" s="61"/>
      <c r="AG436" s="61"/>
      <c r="AH436" s="61"/>
      <c r="AI436" s="61"/>
      <c r="AJ436" s="61"/>
      <c r="AK436" s="67"/>
      <c r="AL436" s="58" t="str">
        <f>IF(OR($C436="",$B436=""),"",IF(AND($Z435="Loss",$B436=$B435,MOD($C436-$D435,1)*1440&lt;'⚙️ Setelan'!$B$9),"⚠️ Revenge",""))</f>
        <v/>
      </c>
      <c r="AM436" s="68"/>
      <c r="AN436" s="58" t="str">
        <f>IF($AM436="","",IFERROR(_xlfn.IMAGE(IF(REGEXMATCH($AM436,"\.(png|jpg|jpeg|gif)$"),$AM436,"https://s3.tradingview.com/snapshots/"&amp;LOWER(MID(REGEXEXTRACT($AM436,"/x/([A-Za-z0-9]+)"),1,1))&amp;"/"&amp;REGEXEXTRACT($AM436,"/x/([A-Za-z0-9]+)")&amp;".png"),1),"⚠️ link tidak dikenali"))</f>
        <v/>
      </c>
      <c r="AO436" s="68"/>
      <c r="AP436" s="58" t="str">
        <f>IF($AO436="","",IFERROR(_xlfn.IMAGE(IF(REGEXMATCH($AO436,"\.(png|jpg|jpeg|gif)$"),$AO436,"https://s3.tradingview.com/snapshots/"&amp;LOWER(MID(REGEXEXTRACT($AO436,"/x/([A-Za-z0-9]+)"),1,1))&amp;"/"&amp;REGEXEXTRACT($AO436,"/x/([A-Za-z0-9]+)")&amp;".png"),1),"⚠️ link tidak dikenali"))</f>
        <v/>
      </c>
      <c r="AQ436" s="66">
        <f>IF($Z436="",0,IF(AND(OR('📊 Dashboard'!$B$4="(Semua)",$F436='📊 Dashboard'!$B$4),OR('📊 Dashboard'!$B$5="(Semua)",$H436='📊 Dashboard'!$B$5),OR('📊 Dashboard'!$B$6="(Semua)",$E436='📊 Dashboard'!$B$6),OR('📊 Dashboard'!$B$7="(Semua)",$AF436='📊 Dashboard'!$B$7),OR('📊 Dashboard'!$B$8="(Semua)",$AG436='📊 Dashboard'!$B$8),OR('📊 Dashboard'!$B$9="(Semua)",$K436='📊 Dashboard'!$B$9)),1,0))</f>
        <v>0</v>
      </c>
      <c r="AR436" s="69"/>
    </row>
    <row r="437" ht="58" customHeight="1" spans="1:44">
      <c r="A437" s="58" t="str">
        <f t="shared" si="42"/>
        <v/>
      </c>
      <c r="B437" s="59"/>
      <c r="C437" s="60"/>
      <c r="D437" s="60"/>
      <c r="E437" s="58" t="str">
        <f t="shared" si="43"/>
        <v/>
      </c>
      <c r="F437" s="61"/>
      <c r="G437" s="61"/>
      <c r="H437" s="61"/>
      <c r="I437" s="61"/>
      <c r="J437" s="61"/>
      <c r="K437" s="61"/>
      <c r="L437" s="61"/>
      <c r="M437" s="61"/>
      <c r="N437" s="62"/>
      <c r="O437" s="62"/>
      <c r="P437" s="62"/>
      <c r="Q437" s="62"/>
      <c r="R437" s="63" t="str">
        <f>IFERROR(IF(OR($N437="",$O437="",$F437=""),"",ROUND(('⚙️ Setelan'!$B$3*'⚙️ Setelan'!$B$4/100)/(ABS($N437-$O437)*VLOOKUP($F437,'⚙️ Setelan'!$A$14:$F$20,4,FALSE)),2)),"")</f>
        <v/>
      </c>
      <c r="S437" s="64"/>
      <c r="T437" s="65" t="str">
        <f>IFERROR(IF(OR($N437="",$O437="",$S437=""),"",ABS($N437-$O437)*$S437*VLOOKUP($F437,'⚙️ Setelan'!$A$14:$F$20,4,FALSE)),"")</f>
        <v/>
      </c>
      <c r="U437" s="63" t="str">
        <f t="shared" si="44"/>
        <v/>
      </c>
      <c r="V437" s="65" t="str">
        <f>IFERROR(IF(OR($Q437="",$N437="",$S437=""),"",($Q437-$N437)*IF($G437="Buy",1,-1)*$S437*VLOOKUP($F437,'⚙️ Setelan'!$A$14:$F$20,4,FALSE)),"")</f>
        <v/>
      </c>
      <c r="W437" s="65" t="str">
        <f>IFERROR(IF(OR($S437="",$F437=""),"",$S437*VLOOKUP($F437,'⚙️ Setelan'!$A$14:$F$20,5,FALSE)),"")</f>
        <v/>
      </c>
      <c r="X437" s="65" t="str">
        <f t="shared" si="45"/>
        <v/>
      </c>
      <c r="Y437" s="63" t="str">
        <f t="shared" si="46"/>
        <v/>
      </c>
      <c r="Z437" s="58" t="str">
        <f t="shared" si="47"/>
        <v/>
      </c>
      <c r="AA437" s="66" t="str">
        <f t="shared" si="48"/>
        <v/>
      </c>
      <c r="AB437" s="62"/>
      <c r="AC437" s="62"/>
      <c r="AD437" s="63" t="str">
        <f>IFERROR(IF(OR($AB437="",$T437="",$T437=0),"",ROUND(ABS($N437-$AB437)*$S437*VLOOKUP($F437,'⚙️ Setelan'!$A$14:$F$20,4,FALSE)/$T437,2)),"")</f>
        <v/>
      </c>
      <c r="AE437" s="63" t="str">
        <f>IFERROR(IF(OR($AC437="",$T437="",$T437=0),"",ROUND(ABS($AC437-$N437)*$S437*VLOOKUP($F437,'⚙️ Setelan'!$A$14:$F$20,4,FALSE)/$T437,2)),"")</f>
        <v/>
      </c>
      <c r="AF437" s="61"/>
      <c r="AG437" s="61"/>
      <c r="AH437" s="61"/>
      <c r="AI437" s="61"/>
      <c r="AJ437" s="61"/>
      <c r="AK437" s="67"/>
      <c r="AL437" s="58" t="str">
        <f>IF(OR($C437="",$B437=""),"",IF(AND($Z436="Loss",$B437=$B436,MOD($C437-$D436,1)*1440&lt;'⚙️ Setelan'!$B$9),"⚠️ Revenge",""))</f>
        <v/>
      </c>
      <c r="AM437" s="68"/>
      <c r="AN437" s="58" t="str">
        <f>IF($AM437="","",IFERROR(_xlfn.IMAGE(IF(REGEXMATCH($AM437,"\.(png|jpg|jpeg|gif)$"),$AM437,"https://s3.tradingview.com/snapshots/"&amp;LOWER(MID(REGEXEXTRACT($AM437,"/x/([A-Za-z0-9]+)"),1,1))&amp;"/"&amp;REGEXEXTRACT($AM437,"/x/([A-Za-z0-9]+)")&amp;".png"),1),"⚠️ link tidak dikenali"))</f>
        <v/>
      </c>
      <c r="AO437" s="68"/>
      <c r="AP437" s="58" t="str">
        <f>IF($AO437="","",IFERROR(_xlfn.IMAGE(IF(REGEXMATCH($AO437,"\.(png|jpg|jpeg|gif)$"),$AO437,"https://s3.tradingview.com/snapshots/"&amp;LOWER(MID(REGEXEXTRACT($AO437,"/x/([A-Za-z0-9]+)"),1,1))&amp;"/"&amp;REGEXEXTRACT($AO437,"/x/([A-Za-z0-9]+)")&amp;".png"),1),"⚠️ link tidak dikenali"))</f>
        <v/>
      </c>
      <c r="AQ437" s="66">
        <f>IF($Z437="",0,IF(AND(OR('📊 Dashboard'!$B$4="(Semua)",$F437='📊 Dashboard'!$B$4),OR('📊 Dashboard'!$B$5="(Semua)",$H437='📊 Dashboard'!$B$5),OR('📊 Dashboard'!$B$6="(Semua)",$E437='📊 Dashboard'!$B$6),OR('📊 Dashboard'!$B$7="(Semua)",$AF437='📊 Dashboard'!$B$7),OR('📊 Dashboard'!$B$8="(Semua)",$AG437='📊 Dashboard'!$B$8),OR('📊 Dashboard'!$B$9="(Semua)",$K437='📊 Dashboard'!$B$9)),1,0))</f>
        <v>0</v>
      </c>
      <c r="AR437" s="69"/>
    </row>
    <row r="438" ht="58" customHeight="1" spans="1:44">
      <c r="A438" s="58" t="str">
        <f t="shared" si="42"/>
        <v/>
      </c>
      <c r="B438" s="59"/>
      <c r="C438" s="60"/>
      <c r="D438" s="60"/>
      <c r="E438" s="58" t="str">
        <f t="shared" si="43"/>
        <v/>
      </c>
      <c r="F438" s="61"/>
      <c r="G438" s="61"/>
      <c r="H438" s="61"/>
      <c r="I438" s="61"/>
      <c r="J438" s="61"/>
      <c r="K438" s="61"/>
      <c r="L438" s="61"/>
      <c r="M438" s="61"/>
      <c r="N438" s="62"/>
      <c r="O438" s="62"/>
      <c r="P438" s="62"/>
      <c r="Q438" s="62"/>
      <c r="R438" s="63" t="str">
        <f>IFERROR(IF(OR($N438="",$O438="",$F438=""),"",ROUND(('⚙️ Setelan'!$B$3*'⚙️ Setelan'!$B$4/100)/(ABS($N438-$O438)*VLOOKUP($F438,'⚙️ Setelan'!$A$14:$F$20,4,FALSE)),2)),"")</f>
        <v/>
      </c>
      <c r="S438" s="64"/>
      <c r="T438" s="65" t="str">
        <f>IFERROR(IF(OR($N438="",$O438="",$S438=""),"",ABS($N438-$O438)*$S438*VLOOKUP($F438,'⚙️ Setelan'!$A$14:$F$20,4,FALSE)),"")</f>
        <v/>
      </c>
      <c r="U438" s="63" t="str">
        <f t="shared" si="44"/>
        <v/>
      </c>
      <c r="V438" s="65" t="str">
        <f>IFERROR(IF(OR($Q438="",$N438="",$S438=""),"",($Q438-$N438)*IF($G438="Buy",1,-1)*$S438*VLOOKUP($F438,'⚙️ Setelan'!$A$14:$F$20,4,FALSE)),"")</f>
        <v/>
      </c>
      <c r="W438" s="65" t="str">
        <f>IFERROR(IF(OR($S438="",$F438=""),"",$S438*VLOOKUP($F438,'⚙️ Setelan'!$A$14:$F$20,5,FALSE)),"")</f>
        <v/>
      </c>
      <c r="X438" s="65" t="str">
        <f t="shared" si="45"/>
        <v/>
      </c>
      <c r="Y438" s="63" t="str">
        <f t="shared" si="46"/>
        <v/>
      </c>
      <c r="Z438" s="58" t="str">
        <f t="shared" si="47"/>
        <v/>
      </c>
      <c r="AA438" s="66" t="str">
        <f t="shared" si="48"/>
        <v/>
      </c>
      <c r="AB438" s="62"/>
      <c r="AC438" s="62"/>
      <c r="AD438" s="63" t="str">
        <f>IFERROR(IF(OR($AB438="",$T438="",$T438=0),"",ROUND(ABS($N438-$AB438)*$S438*VLOOKUP($F438,'⚙️ Setelan'!$A$14:$F$20,4,FALSE)/$T438,2)),"")</f>
        <v/>
      </c>
      <c r="AE438" s="63" t="str">
        <f>IFERROR(IF(OR($AC438="",$T438="",$T438=0),"",ROUND(ABS($AC438-$N438)*$S438*VLOOKUP($F438,'⚙️ Setelan'!$A$14:$F$20,4,FALSE)/$T438,2)),"")</f>
        <v/>
      </c>
      <c r="AF438" s="61"/>
      <c r="AG438" s="61"/>
      <c r="AH438" s="61"/>
      <c r="AI438" s="61"/>
      <c r="AJ438" s="61"/>
      <c r="AK438" s="67"/>
      <c r="AL438" s="58" t="str">
        <f>IF(OR($C438="",$B438=""),"",IF(AND($Z437="Loss",$B438=$B437,MOD($C438-$D437,1)*1440&lt;'⚙️ Setelan'!$B$9),"⚠️ Revenge",""))</f>
        <v/>
      </c>
      <c r="AM438" s="68"/>
      <c r="AN438" s="58" t="str">
        <f>IF($AM438="","",IFERROR(_xlfn.IMAGE(IF(REGEXMATCH($AM438,"\.(png|jpg|jpeg|gif)$"),$AM438,"https://s3.tradingview.com/snapshots/"&amp;LOWER(MID(REGEXEXTRACT($AM438,"/x/([A-Za-z0-9]+)"),1,1))&amp;"/"&amp;REGEXEXTRACT($AM438,"/x/([A-Za-z0-9]+)")&amp;".png"),1),"⚠️ link tidak dikenali"))</f>
        <v/>
      </c>
      <c r="AO438" s="68"/>
      <c r="AP438" s="58" t="str">
        <f>IF($AO438="","",IFERROR(_xlfn.IMAGE(IF(REGEXMATCH($AO438,"\.(png|jpg|jpeg|gif)$"),$AO438,"https://s3.tradingview.com/snapshots/"&amp;LOWER(MID(REGEXEXTRACT($AO438,"/x/([A-Za-z0-9]+)"),1,1))&amp;"/"&amp;REGEXEXTRACT($AO438,"/x/([A-Za-z0-9]+)")&amp;".png"),1),"⚠️ link tidak dikenali"))</f>
        <v/>
      </c>
      <c r="AQ438" s="66">
        <f>IF($Z438="",0,IF(AND(OR('📊 Dashboard'!$B$4="(Semua)",$F438='📊 Dashboard'!$B$4),OR('📊 Dashboard'!$B$5="(Semua)",$H438='📊 Dashboard'!$B$5),OR('📊 Dashboard'!$B$6="(Semua)",$E438='📊 Dashboard'!$B$6),OR('📊 Dashboard'!$B$7="(Semua)",$AF438='📊 Dashboard'!$B$7),OR('📊 Dashboard'!$B$8="(Semua)",$AG438='📊 Dashboard'!$B$8),OR('📊 Dashboard'!$B$9="(Semua)",$K438='📊 Dashboard'!$B$9)),1,0))</f>
        <v>0</v>
      </c>
      <c r="AR438" s="69"/>
    </row>
    <row r="439" ht="58" customHeight="1" spans="1:44">
      <c r="A439" s="58" t="str">
        <f t="shared" si="42"/>
        <v/>
      </c>
      <c r="B439" s="59"/>
      <c r="C439" s="60"/>
      <c r="D439" s="60"/>
      <c r="E439" s="58" t="str">
        <f t="shared" si="43"/>
        <v/>
      </c>
      <c r="F439" s="61"/>
      <c r="G439" s="61"/>
      <c r="H439" s="61"/>
      <c r="I439" s="61"/>
      <c r="J439" s="61"/>
      <c r="K439" s="61"/>
      <c r="L439" s="61"/>
      <c r="M439" s="61"/>
      <c r="N439" s="62"/>
      <c r="O439" s="62"/>
      <c r="P439" s="62"/>
      <c r="Q439" s="62"/>
      <c r="R439" s="63" t="str">
        <f>IFERROR(IF(OR($N439="",$O439="",$F439=""),"",ROUND(('⚙️ Setelan'!$B$3*'⚙️ Setelan'!$B$4/100)/(ABS($N439-$O439)*VLOOKUP($F439,'⚙️ Setelan'!$A$14:$F$20,4,FALSE)),2)),"")</f>
        <v/>
      </c>
      <c r="S439" s="64"/>
      <c r="T439" s="65" t="str">
        <f>IFERROR(IF(OR($N439="",$O439="",$S439=""),"",ABS($N439-$O439)*$S439*VLOOKUP($F439,'⚙️ Setelan'!$A$14:$F$20,4,FALSE)),"")</f>
        <v/>
      </c>
      <c r="U439" s="63" t="str">
        <f t="shared" si="44"/>
        <v/>
      </c>
      <c r="V439" s="65" t="str">
        <f>IFERROR(IF(OR($Q439="",$N439="",$S439=""),"",($Q439-$N439)*IF($G439="Buy",1,-1)*$S439*VLOOKUP($F439,'⚙️ Setelan'!$A$14:$F$20,4,FALSE)),"")</f>
        <v/>
      </c>
      <c r="W439" s="65" t="str">
        <f>IFERROR(IF(OR($S439="",$F439=""),"",$S439*VLOOKUP($F439,'⚙️ Setelan'!$A$14:$F$20,5,FALSE)),"")</f>
        <v/>
      </c>
      <c r="X439" s="65" t="str">
        <f t="shared" si="45"/>
        <v/>
      </c>
      <c r="Y439" s="63" t="str">
        <f t="shared" si="46"/>
        <v/>
      </c>
      <c r="Z439" s="58" t="str">
        <f t="shared" si="47"/>
        <v/>
      </c>
      <c r="AA439" s="66" t="str">
        <f t="shared" si="48"/>
        <v/>
      </c>
      <c r="AB439" s="62"/>
      <c r="AC439" s="62"/>
      <c r="AD439" s="63" t="str">
        <f>IFERROR(IF(OR($AB439="",$T439="",$T439=0),"",ROUND(ABS($N439-$AB439)*$S439*VLOOKUP($F439,'⚙️ Setelan'!$A$14:$F$20,4,FALSE)/$T439,2)),"")</f>
        <v/>
      </c>
      <c r="AE439" s="63" t="str">
        <f>IFERROR(IF(OR($AC439="",$T439="",$T439=0),"",ROUND(ABS($AC439-$N439)*$S439*VLOOKUP($F439,'⚙️ Setelan'!$A$14:$F$20,4,FALSE)/$T439,2)),"")</f>
        <v/>
      </c>
      <c r="AF439" s="61"/>
      <c r="AG439" s="61"/>
      <c r="AH439" s="61"/>
      <c r="AI439" s="61"/>
      <c r="AJ439" s="61"/>
      <c r="AK439" s="67"/>
      <c r="AL439" s="58" t="str">
        <f>IF(OR($C439="",$B439=""),"",IF(AND($Z438="Loss",$B439=$B438,MOD($C439-$D438,1)*1440&lt;'⚙️ Setelan'!$B$9),"⚠️ Revenge",""))</f>
        <v/>
      </c>
      <c r="AM439" s="68"/>
      <c r="AN439" s="58" t="str">
        <f>IF($AM439="","",IFERROR(_xlfn.IMAGE(IF(REGEXMATCH($AM439,"\.(png|jpg|jpeg|gif)$"),$AM439,"https://s3.tradingview.com/snapshots/"&amp;LOWER(MID(REGEXEXTRACT($AM439,"/x/([A-Za-z0-9]+)"),1,1))&amp;"/"&amp;REGEXEXTRACT($AM439,"/x/([A-Za-z0-9]+)")&amp;".png"),1),"⚠️ link tidak dikenali"))</f>
        <v/>
      </c>
      <c r="AO439" s="68"/>
      <c r="AP439" s="58" t="str">
        <f>IF($AO439="","",IFERROR(_xlfn.IMAGE(IF(REGEXMATCH($AO439,"\.(png|jpg|jpeg|gif)$"),$AO439,"https://s3.tradingview.com/snapshots/"&amp;LOWER(MID(REGEXEXTRACT($AO439,"/x/([A-Za-z0-9]+)"),1,1))&amp;"/"&amp;REGEXEXTRACT($AO439,"/x/([A-Za-z0-9]+)")&amp;".png"),1),"⚠️ link tidak dikenali"))</f>
        <v/>
      </c>
      <c r="AQ439" s="66">
        <f>IF($Z439="",0,IF(AND(OR('📊 Dashboard'!$B$4="(Semua)",$F439='📊 Dashboard'!$B$4),OR('📊 Dashboard'!$B$5="(Semua)",$H439='📊 Dashboard'!$B$5),OR('📊 Dashboard'!$B$6="(Semua)",$E439='📊 Dashboard'!$B$6),OR('📊 Dashboard'!$B$7="(Semua)",$AF439='📊 Dashboard'!$B$7),OR('📊 Dashboard'!$B$8="(Semua)",$AG439='📊 Dashboard'!$B$8),OR('📊 Dashboard'!$B$9="(Semua)",$K439='📊 Dashboard'!$B$9)),1,0))</f>
        <v>0</v>
      </c>
      <c r="AR439" s="69"/>
    </row>
    <row r="440" ht="58" customHeight="1" spans="1:44">
      <c r="A440" s="58" t="str">
        <f t="shared" si="42"/>
        <v/>
      </c>
      <c r="B440" s="59"/>
      <c r="C440" s="60"/>
      <c r="D440" s="60"/>
      <c r="E440" s="58" t="str">
        <f t="shared" si="43"/>
        <v/>
      </c>
      <c r="F440" s="61"/>
      <c r="G440" s="61"/>
      <c r="H440" s="61"/>
      <c r="I440" s="61"/>
      <c r="J440" s="61"/>
      <c r="K440" s="61"/>
      <c r="L440" s="61"/>
      <c r="M440" s="61"/>
      <c r="N440" s="62"/>
      <c r="O440" s="62"/>
      <c r="P440" s="62"/>
      <c r="Q440" s="62"/>
      <c r="R440" s="63" t="str">
        <f>IFERROR(IF(OR($N440="",$O440="",$F440=""),"",ROUND(('⚙️ Setelan'!$B$3*'⚙️ Setelan'!$B$4/100)/(ABS($N440-$O440)*VLOOKUP($F440,'⚙️ Setelan'!$A$14:$F$20,4,FALSE)),2)),"")</f>
        <v/>
      </c>
      <c r="S440" s="64"/>
      <c r="T440" s="65" t="str">
        <f>IFERROR(IF(OR($N440="",$O440="",$S440=""),"",ABS($N440-$O440)*$S440*VLOOKUP($F440,'⚙️ Setelan'!$A$14:$F$20,4,FALSE)),"")</f>
        <v/>
      </c>
      <c r="U440" s="63" t="str">
        <f t="shared" si="44"/>
        <v/>
      </c>
      <c r="V440" s="65" t="str">
        <f>IFERROR(IF(OR($Q440="",$N440="",$S440=""),"",($Q440-$N440)*IF($G440="Buy",1,-1)*$S440*VLOOKUP($F440,'⚙️ Setelan'!$A$14:$F$20,4,FALSE)),"")</f>
        <v/>
      </c>
      <c r="W440" s="65" t="str">
        <f>IFERROR(IF(OR($S440="",$F440=""),"",$S440*VLOOKUP($F440,'⚙️ Setelan'!$A$14:$F$20,5,FALSE)),"")</f>
        <v/>
      </c>
      <c r="X440" s="65" t="str">
        <f t="shared" si="45"/>
        <v/>
      </c>
      <c r="Y440" s="63" t="str">
        <f t="shared" si="46"/>
        <v/>
      </c>
      <c r="Z440" s="58" t="str">
        <f t="shared" si="47"/>
        <v/>
      </c>
      <c r="AA440" s="66" t="str">
        <f t="shared" si="48"/>
        <v/>
      </c>
      <c r="AB440" s="62"/>
      <c r="AC440" s="62"/>
      <c r="AD440" s="63" t="str">
        <f>IFERROR(IF(OR($AB440="",$T440="",$T440=0),"",ROUND(ABS($N440-$AB440)*$S440*VLOOKUP($F440,'⚙️ Setelan'!$A$14:$F$20,4,FALSE)/$T440,2)),"")</f>
        <v/>
      </c>
      <c r="AE440" s="63" t="str">
        <f>IFERROR(IF(OR($AC440="",$T440="",$T440=0),"",ROUND(ABS($AC440-$N440)*$S440*VLOOKUP($F440,'⚙️ Setelan'!$A$14:$F$20,4,FALSE)/$T440,2)),"")</f>
        <v/>
      </c>
      <c r="AF440" s="61"/>
      <c r="AG440" s="61"/>
      <c r="AH440" s="61"/>
      <c r="AI440" s="61"/>
      <c r="AJ440" s="61"/>
      <c r="AK440" s="67"/>
      <c r="AL440" s="58" t="str">
        <f>IF(OR($C440="",$B440=""),"",IF(AND($Z439="Loss",$B440=$B439,MOD($C440-$D439,1)*1440&lt;'⚙️ Setelan'!$B$9),"⚠️ Revenge",""))</f>
        <v/>
      </c>
      <c r="AM440" s="68"/>
      <c r="AN440" s="58" t="str">
        <f>IF($AM440="","",IFERROR(_xlfn.IMAGE(IF(REGEXMATCH($AM440,"\.(png|jpg|jpeg|gif)$"),$AM440,"https://s3.tradingview.com/snapshots/"&amp;LOWER(MID(REGEXEXTRACT($AM440,"/x/([A-Za-z0-9]+)"),1,1))&amp;"/"&amp;REGEXEXTRACT($AM440,"/x/([A-Za-z0-9]+)")&amp;".png"),1),"⚠️ link tidak dikenali"))</f>
        <v/>
      </c>
      <c r="AO440" s="68"/>
      <c r="AP440" s="58" t="str">
        <f>IF($AO440="","",IFERROR(_xlfn.IMAGE(IF(REGEXMATCH($AO440,"\.(png|jpg|jpeg|gif)$"),$AO440,"https://s3.tradingview.com/snapshots/"&amp;LOWER(MID(REGEXEXTRACT($AO440,"/x/([A-Za-z0-9]+)"),1,1))&amp;"/"&amp;REGEXEXTRACT($AO440,"/x/([A-Za-z0-9]+)")&amp;".png"),1),"⚠️ link tidak dikenali"))</f>
        <v/>
      </c>
      <c r="AQ440" s="66">
        <f>IF($Z440="",0,IF(AND(OR('📊 Dashboard'!$B$4="(Semua)",$F440='📊 Dashboard'!$B$4),OR('📊 Dashboard'!$B$5="(Semua)",$H440='📊 Dashboard'!$B$5),OR('📊 Dashboard'!$B$6="(Semua)",$E440='📊 Dashboard'!$B$6),OR('📊 Dashboard'!$B$7="(Semua)",$AF440='📊 Dashboard'!$B$7),OR('📊 Dashboard'!$B$8="(Semua)",$AG440='📊 Dashboard'!$B$8),OR('📊 Dashboard'!$B$9="(Semua)",$K440='📊 Dashboard'!$B$9)),1,0))</f>
        <v>0</v>
      </c>
      <c r="AR440" s="69"/>
    </row>
    <row r="441" ht="58" customHeight="1" spans="1:44">
      <c r="A441" s="58" t="str">
        <f t="shared" si="42"/>
        <v/>
      </c>
      <c r="B441" s="59"/>
      <c r="C441" s="60"/>
      <c r="D441" s="60"/>
      <c r="E441" s="58" t="str">
        <f t="shared" si="43"/>
        <v/>
      </c>
      <c r="F441" s="61"/>
      <c r="G441" s="61"/>
      <c r="H441" s="61"/>
      <c r="I441" s="61"/>
      <c r="J441" s="61"/>
      <c r="K441" s="61"/>
      <c r="L441" s="61"/>
      <c r="M441" s="61"/>
      <c r="N441" s="62"/>
      <c r="O441" s="62"/>
      <c r="P441" s="62"/>
      <c r="Q441" s="62"/>
      <c r="R441" s="63" t="str">
        <f>IFERROR(IF(OR($N441="",$O441="",$F441=""),"",ROUND(('⚙️ Setelan'!$B$3*'⚙️ Setelan'!$B$4/100)/(ABS($N441-$O441)*VLOOKUP($F441,'⚙️ Setelan'!$A$14:$F$20,4,FALSE)),2)),"")</f>
        <v/>
      </c>
      <c r="S441" s="64"/>
      <c r="T441" s="65" t="str">
        <f>IFERROR(IF(OR($N441="",$O441="",$S441=""),"",ABS($N441-$O441)*$S441*VLOOKUP($F441,'⚙️ Setelan'!$A$14:$F$20,4,FALSE)),"")</f>
        <v/>
      </c>
      <c r="U441" s="63" t="str">
        <f t="shared" si="44"/>
        <v/>
      </c>
      <c r="V441" s="65" t="str">
        <f>IFERROR(IF(OR($Q441="",$N441="",$S441=""),"",($Q441-$N441)*IF($G441="Buy",1,-1)*$S441*VLOOKUP($F441,'⚙️ Setelan'!$A$14:$F$20,4,FALSE)),"")</f>
        <v/>
      </c>
      <c r="W441" s="65" t="str">
        <f>IFERROR(IF(OR($S441="",$F441=""),"",$S441*VLOOKUP($F441,'⚙️ Setelan'!$A$14:$F$20,5,FALSE)),"")</f>
        <v/>
      </c>
      <c r="X441" s="65" t="str">
        <f t="shared" si="45"/>
        <v/>
      </c>
      <c r="Y441" s="63" t="str">
        <f t="shared" si="46"/>
        <v/>
      </c>
      <c r="Z441" s="58" t="str">
        <f t="shared" si="47"/>
        <v/>
      </c>
      <c r="AA441" s="66" t="str">
        <f t="shared" si="48"/>
        <v/>
      </c>
      <c r="AB441" s="62"/>
      <c r="AC441" s="62"/>
      <c r="AD441" s="63" t="str">
        <f>IFERROR(IF(OR($AB441="",$T441="",$T441=0),"",ROUND(ABS($N441-$AB441)*$S441*VLOOKUP($F441,'⚙️ Setelan'!$A$14:$F$20,4,FALSE)/$T441,2)),"")</f>
        <v/>
      </c>
      <c r="AE441" s="63" t="str">
        <f>IFERROR(IF(OR($AC441="",$T441="",$T441=0),"",ROUND(ABS($AC441-$N441)*$S441*VLOOKUP($F441,'⚙️ Setelan'!$A$14:$F$20,4,FALSE)/$T441,2)),"")</f>
        <v/>
      </c>
      <c r="AF441" s="61"/>
      <c r="AG441" s="61"/>
      <c r="AH441" s="61"/>
      <c r="AI441" s="61"/>
      <c r="AJ441" s="61"/>
      <c r="AK441" s="67"/>
      <c r="AL441" s="58" t="str">
        <f>IF(OR($C441="",$B441=""),"",IF(AND($Z440="Loss",$B441=$B440,MOD($C441-$D440,1)*1440&lt;'⚙️ Setelan'!$B$9),"⚠️ Revenge",""))</f>
        <v/>
      </c>
      <c r="AM441" s="68"/>
      <c r="AN441" s="58" t="str">
        <f>IF($AM441="","",IFERROR(_xlfn.IMAGE(IF(REGEXMATCH($AM441,"\.(png|jpg|jpeg|gif)$"),$AM441,"https://s3.tradingview.com/snapshots/"&amp;LOWER(MID(REGEXEXTRACT($AM441,"/x/([A-Za-z0-9]+)"),1,1))&amp;"/"&amp;REGEXEXTRACT($AM441,"/x/([A-Za-z0-9]+)")&amp;".png"),1),"⚠️ link tidak dikenali"))</f>
        <v/>
      </c>
      <c r="AO441" s="68"/>
      <c r="AP441" s="58" t="str">
        <f>IF($AO441="","",IFERROR(_xlfn.IMAGE(IF(REGEXMATCH($AO441,"\.(png|jpg|jpeg|gif)$"),$AO441,"https://s3.tradingview.com/snapshots/"&amp;LOWER(MID(REGEXEXTRACT($AO441,"/x/([A-Za-z0-9]+)"),1,1))&amp;"/"&amp;REGEXEXTRACT($AO441,"/x/([A-Za-z0-9]+)")&amp;".png"),1),"⚠️ link tidak dikenali"))</f>
        <v/>
      </c>
      <c r="AQ441" s="66">
        <f>IF($Z441="",0,IF(AND(OR('📊 Dashboard'!$B$4="(Semua)",$F441='📊 Dashboard'!$B$4),OR('📊 Dashboard'!$B$5="(Semua)",$H441='📊 Dashboard'!$B$5),OR('📊 Dashboard'!$B$6="(Semua)",$E441='📊 Dashboard'!$B$6),OR('📊 Dashboard'!$B$7="(Semua)",$AF441='📊 Dashboard'!$B$7),OR('📊 Dashboard'!$B$8="(Semua)",$AG441='📊 Dashboard'!$B$8),OR('📊 Dashboard'!$B$9="(Semua)",$K441='📊 Dashboard'!$B$9)),1,0))</f>
        <v>0</v>
      </c>
      <c r="AR441" s="69"/>
    </row>
    <row r="442" ht="58" customHeight="1" spans="1:44">
      <c r="A442" s="58" t="str">
        <f t="shared" si="42"/>
        <v/>
      </c>
      <c r="B442" s="59"/>
      <c r="C442" s="60"/>
      <c r="D442" s="60"/>
      <c r="E442" s="58" t="str">
        <f t="shared" si="43"/>
        <v/>
      </c>
      <c r="F442" s="61"/>
      <c r="G442" s="61"/>
      <c r="H442" s="61"/>
      <c r="I442" s="61"/>
      <c r="J442" s="61"/>
      <c r="K442" s="61"/>
      <c r="L442" s="61"/>
      <c r="M442" s="61"/>
      <c r="N442" s="62"/>
      <c r="O442" s="62"/>
      <c r="P442" s="62"/>
      <c r="Q442" s="62"/>
      <c r="R442" s="63" t="str">
        <f>IFERROR(IF(OR($N442="",$O442="",$F442=""),"",ROUND(('⚙️ Setelan'!$B$3*'⚙️ Setelan'!$B$4/100)/(ABS($N442-$O442)*VLOOKUP($F442,'⚙️ Setelan'!$A$14:$F$20,4,FALSE)),2)),"")</f>
        <v/>
      </c>
      <c r="S442" s="64"/>
      <c r="T442" s="65" t="str">
        <f>IFERROR(IF(OR($N442="",$O442="",$S442=""),"",ABS($N442-$O442)*$S442*VLOOKUP($F442,'⚙️ Setelan'!$A$14:$F$20,4,FALSE)),"")</f>
        <v/>
      </c>
      <c r="U442" s="63" t="str">
        <f t="shared" si="44"/>
        <v/>
      </c>
      <c r="V442" s="65" t="str">
        <f>IFERROR(IF(OR($Q442="",$N442="",$S442=""),"",($Q442-$N442)*IF($G442="Buy",1,-1)*$S442*VLOOKUP($F442,'⚙️ Setelan'!$A$14:$F$20,4,FALSE)),"")</f>
        <v/>
      </c>
      <c r="W442" s="65" t="str">
        <f>IFERROR(IF(OR($S442="",$F442=""),"",$S442*VLOOKUP($F442,'⚙️ Setelan'!$A$14:$F$20,5,FALSE)),"")</f>
        <v/>
      </c>
      <c r="X442" s="65" t="str">
        <f t="shared" si="45"/>
        <v/>
      </c>
      <c r="Y442" s="63" t="str">
        <f t="shared" si="46"/>
        <v/>
      </c>
      <c r="Z442" s="58" t="str">
        <f t="shared" si="47"/>
        <v/>
      </c>
      <c r="AA442" s="66" t="str">
        <f t="shared" si="48"/>
        <v/>
      </c>
      <c r="AB442" s="62"/>
      <c r="AC442" s="62"/>
      <c r="AD442" s="63" t="str">
        <f>IFERROR(IF(OR($AB442="",$T442="",$T442=0),"",ROUND(ABS($N442-$AB442)*$S442*VLOOKUP($F442,'⚙️ Setelan'!$A$14:$F$20,4,FALSE)/$T442,2)),"")</f>
        <v/>
      </c>
      <c r="AE442" s="63" t="str">
        <f>IFERROR(IF(OR($AC442="",$T442="",$T442=0),"",ROUND(ABS($AC442-$N442)*$S442*VLOOKUP($F442,'⚙️ Setelan'!$A$14:$F$20,4,FALSE)/$T442,2)),"")</f>
        <v/>
      </c>
      <c r="AF442" s="61"/>
      <c r="AG442" s="61"/>
      <c r="AH442" s="61"/>
      <c r="AI442" s="61"/>
      <c r="AJ442" s="61"/>
      <c r="AK442" s="67"/>
      <c r="AL442" s="58" t="str">
        <f>IF(OR($C442="",$B442=""),"",IF(AND($Z441="Loss",$B442=$B441,MOD($C442-$D441,1)*1440&lt;'⚙️ Setelan'!$B$9),"⚠️ Revenge",""))</f>
        <v/>
      </c>
      <c r="AM442" s="68"/>
      <c r="AN442" s="58" t="str">
        <f>IF($AM442="","",IFERROR(_xlfn.IMAGE(IF(REGEXMATCH($AM442,"\.(png|jpg|jpeg|gif)$"),$AM442,"https://s3.tradingview.com/snapshots/"&amp;LOWER(MID(REGEXEXTRACT($AM442,"/x/([A-Za-z0-9]+)"),1,1))&amp;"/"&amp;REGEXEXTRACT($AM442,"/x/([A-Za-z0-9]+)")&amp;".png"),1),"⚠️ link tidak dikenali"))</f>
        <v/>
      </c>
      <c r="AO442" s="68"/>
      <c r="AP442" s="58" t="str">
        <f>IF($AO442="","",IFERROR(_xlfn.IMAGE(IF(REGEXMATCH($AO442,"\.(png|jpg|jpeg|gif)$"),$AO442,"https://s3.tradingview.com/snapshots/"&amp;LOWER(MID(REGEXEXTRACT($AO442,"/x/([A-Za-z0-9]+)"),1,1))&amp;"/"&amp;REGEXEXTRACT($AO442,"/x/([A-Za-z0-9]+)")&amp;".png"),1),"⚠️ link tidak dikenali"))</f>
        <v/>
      </c>
      <c r="AQ442" s="66">
        <f>IF($Z442="",0,IF(AND(OR('📊 Dashboard'!$B$4="(Semua)",$F442='📊 Dashboard'!$B$4),OR('📊 Dashboard'!$B$5="(Semua)",$H442='📊 Dashboard'!$B$5),OR('📊 Dashboard'!$B$6="(Semua)",$E442='📊 Dashboard'!$B$6),OR('📊 Dashboard'!$B$7="(Semua)",$AF442='📊 Dashboard'!$B$7),OR('📊 Dashboard'!$B$8="(Semua)",$AG442='📊 Dashboard'!$B$8),OR('📊 Dashboard'!$B$9="(Semua)",$K442='📊 Dashboard'!$B$9)),1,0))</f>
        <v>0</v>
      </c>
      <c r="AR442" s="69"/>
    </row>
    <row r="443" ht="58" customHeight="1" spans="1:44">
      <c r="A443" s="58" t="str">
        <f t="shared" si="42"/>
        <v/>
      </c>
      <c r="B443" s="59"/>
      <c r="C443" s="60"/>
      <c r="D443" s="60"/>
      <c r="E443" s="58" t="str">
        <f t="shared" si="43"/>
        <v/>
      </c>
      <c r="F443" s="61"/>
      <c r="G443" s="61"/>
      <c r="H443" s="61"/>
      <c r="I443" s="61"/>
      <c r="J443" s="61"/>
      <c r="K443" s="61"/>
      <c r="L443" s="61"/>
      <c r="M443" s="61"/>
      <c r="N443" s="62"/>
      <c r="O443" s="62"/>
      <c r="P443" s="62"/>
      <c r="Q443" s="62"/>
      <c r="R443" s="63" t="str">
        <f>IFERROR(IF(OR($N443="",$O443="",$F443=""),"",ROUND(('⚙️ Setelan'!$B$3*'⚙️ Setelan'!$B$4/100)/(ABS($N443-$O443)*VLOOKUP($F443,'⚙️ Setelan'!$A$14:$F$20,4,FALSE)),2)),"")</f>
        <v/>
      </c>
      <c r="S443" s="64"/>
      <c r="T443" s="65" t="str">
        <f>IFERROR(IF(OR($N443="",$O443="",$S443=""),"",ABS($N443-$O443)*$S443*VLOOKUP($F443,'⚙️ Setelan'!$A$14:$F$20,4,FALSE)),"")</f>
        <v/>
      </c>
      <c r="U443" s="63" t="str">
        <f t="shared" si="44"/>
        <v/>
      </c>
      <c r="V443" s="65" t="str">
        <f>IFERROR(IF(OR($Q443="",$N443="",$S443=""),"",($Q443-$N443)*IF($G443="Buy",1,-1)*$S443*VLOOKUP($F443,'⚙️ Setelan'!$A$14:$F$20,4,FALSE)),"")</f>
        <v/>
      </c>
      <c r="W443" s="65" t="str">
        <f>IFERROR(IF(OR($S443="",$F443=""),"",$S443*VLOOKUP($F443,'⚙️ Setelan'!$A$14:$F$20,5,FALSE)),"")</f>
        <v/>
      </c>
      <c r="X443" s="65" t="str">
        <f t="shared" si="45"/>
        <v/>
      </c>
      <c r="Y443" s="63" t="str">
        <f t="shared" si="46"/>
        <v/>
      </c>
      <c r="Z443" s="58" t="str">
        <f t="shared" si="47"/>
        <v/>
      </c>
      <c r="AA443" s="66" t="str">
        <f t="shared" si="48"/>
        <v/>
      </c>
      <c r="AB443" s="62"/>
      <c r="AC443" s="62"/>
      <c r="AD443" s="63" t="str">
        <f>IFERROR(IF(OR($AB443="",$T443="",$T443=0),"",ROUND(ABS($N443-$AB443)*$S443*VLOOKUP($F443,'⚙️ Setelan'!$A$14:$F$20,4,FALSE)/$T443,2)),"")</f>
        <v/>
      </c>
      <c r="AE443" s="63" t="str">
        <f>IFERROR(IF(OR($AC443="",$T443="",$T443=0),"",ROUND(ABS($AC443-$N443)*$S443*VLOOKUP($F443,'⚙️ Setelan'!$A$14:$F$20,4,FALSE)/$T443,2)),"")</f>
        <v/>
      </c>
      <c r="AF443" s="61"/>
      <c r="AG443" s="61"/>
      <c r="AH443" s="61"/>
      <c r="AI443" s="61"/>
      <c r="AJ443" s="61"/>
      <c r="AK443" s="67"/>
      <c r="AL443" s="58" t="str">
        <f>IF(OR($C443="",$B443=""),"",IF(AND($Z442="Loss",$B443=$B442,MOD($C443-$D442,1)*1440&lt;'⚙️ Setelan'!$B$9),"⚠️ Revenge",""))</f>
        <v/>
      </c>
      <c r="AM443" s="68"/>
      <c r="AN443" s="58" t="str">
        <f>IF($AM443="","",IFERROR(_xlfn.IMAGE(IF(REGEXMATCH($AM443,"\.(png|jpg|jpeg|gif)$"),$AM443,"https://s3.tradingview.com/snapshots/"&amp;LOWER(MID(REGEXEXTRACT($AM443,"/x/([A-Za-z0-9]+)"),1,1))&amp;"/"&amp;REGEXEXTRACT($AM443,"/x/([A-Za-z0-9]+)")&amp;".png"),1),"⚠️ link tidak dikenali"))</f>
        <v/>
      </c>
      <c r="AO443" s="68"/>
      <c r="AP443" s="58" t="str">
        <f>IF($AO443="","",IFERROR(_xlfn.IMAGE(IF(REGEXMATCH($AO443,"\.(png|jpg|jpeg|gif)$"),$AO443,"https://s3.tradingview.com/snapshots/"&amp;LOWER(MID(REGEXEXTRACT($AO443,"/x/([A-Za-z0-9]+)"),1,1))&amp;"/"&amp;REGEXEXTRACT($AO443,"/x/([A-Za-z0-9]+)")&amp;".png"),1),"⚠️ link tidak dikenali"))</f>
        <v/>
      </c>
      <c r="AQ443" s="66">
        <f>IF($Z443="",0,IF(AND(OR('📊 Dashboard'!$B$4="(Semua)",$F443='📊 Dashboard'!$B$4),OR('📊 Dashboard'!$B$5="(Semua)",$H443='📊 Dashboard'!$B$5),OR('📊 Dashboard'!$B$6="(Semua)",$E443='📊 Dashboard'!$B$6),OR('📊 Dashboard'!$B$7="(Semua)",$AF443='📊 Dashboard'!$B$7),OR('📊 Dashboard'!$B$8="(Semua)",$AG443='📊 Dashboard'!$B$8),OR('📊 Dashboard'!$B$9="(Semua)",$K443='📊 Dashboard'!$B$9)),1,0))</f>
        <v>0</v>
      </c>
      <c r="AR443" s="69"/>
    </row>
    <row r="444" ht="58" customHeight="1" spans="1:44">
      <c r="A444" s="58" t="str">
        <f t="shared" si="42"/>
        <v/>
      </c>
      <c r="B444" s="59"/>
      <c r="C444" s="60"/>
      <c r="D444" s="60"/>
      <c r="E444" s="58" t="str">
        <f t="shared" si="43"/>
        <v/>
      </c>
      <c r="F444" s="61"/>
      <c r="G444" s="61"/>
      <c r="H444" s="61"/>
      <c r="I444" s="61"/>
      <c r="J444" s="61"/>
      <c r="K444" s="61"/>
      <c r="L444" s="61"/>
      <c r="M444" s="61"/>
      <c r="N444" s="62"/>
      <c r="O444" s="62"/>
      <c r="P444" s="62"/>
      <c r="Q444" s="62"/>
      <c r="R444" s="63" t="str">
        <f>IFERROR(IF(OR($N444="",$O444="",$F444=""),"",ROUND(('⚙️ Setelan'!$B$3*'⚙️ Setelan'!$B$4/100)/(ABS($N444-$O444)*VLOOKUP($F444,'⚙️ Setelan'!$A$14:$F$20,4,FALSE)),2)),"")</f>
        <v/>
      </c>
      <c r="S444" s="64"/>
      <c r="T444" s="65" t="str">
        <f>IFERROR(IF(OR($N444="",$O444="",$S444=""),"",ABS($N444-$O444)*$S444*VLOOKUP($F444,'⚙️ Setelan'!$A$14:$F$20,4,FALSE)),"")</f>
        <v/>
      </c>
      <c r="U444" s="63" t="str">
        <f t="shared" si="44"/>
        <v/>
      </c>
      <c r="V444" s="65" t="str">
        <f>IFERROR(IF(OR($Q444="",$N444="",$S444=""),"",($Q444-$N444)*IF($G444="Buy",1,-1)*$S444*VLOOKUP($F444,'⚙️ Setelan'!$A$14:$F$20,4,FALSE)),"")</f>
        <v/>
      </c>
      <c r="W444" s="65" t="str">
        <f>IFERROR(IF(OR($S444="",$F444=""),"",$S444*VLOOKUP($F444,'⚙️ Setelan'!$A$14:$F$20,5,FALSE)),"")</f>
        <v/>
      </c>
      <c r="X444" s="65" t="str">
        <f t="shared" si="45"/>
        <v/>
      </c>
      <c r="Y444" s="63" t="str">
        <f t="shared" si="46"/>
        <v/>
      </c>
      <c r="Z444" s="58" t="str">
        <f t="shared" si="47"/>
        <v/>
      </c>
      <c r="AA444" s="66" t="str">
        <f t="shared" si="48"/>
        <v/>
      </c>
      <c r="AB444" s="62"/>
      <c r="AC444" s="62"/>
      <c r="AD444" s="63" t="str">
        <f>IFERROR(IF(OR($AB444="",$T444="",$T444=0),"",ROUND(ABS($N444-$AB444)*$S444*VLOOKUP($F444,'⚙️ Setelan'!$A$14:$F$20,4,FALSE)/$T444,2)),"")</f>
        <v/>
      </c>
      <c r="AE444" s="63" t="str">
        <f>IFERROR(IF(OR($AC444="",$T444="",$T444=0),"",ROUND(ABS($AC444-$N444)*$S444*VLOOKUP($F444,'⚙️ Setelan'!$A$14:$F$20,4,FALSE)/$T444,2)),"")</f>
        <v/>
      </c>
      <c r="AF444" s="61"/>
      <c r="AG444" s="61"/>
      <c r="AH444" s="61"/>
      <c r="AI444" s="61"/>
      <c r="AJ444" s="61"/>
      <c r="AK444" s="67"/>
      <c r="AL444" s="58" t="str">
        <f>IF(OR($C444="",$B444=""),"",IF(AND($Z443="Loss",$B444=$B443,MOD($C444-$D443,1)*1440&lt;'⚙️ Setelan'!$B$9),"⚠️ Revenge",""))</f>
        <v/>
      </c>
      <c r="AM444" s="68"/>
      <c r="AN444" s="58" t="str">
        <f>IF($AM444="","",IFERROR(_xlfn.IMAGE(IF(REGEXMATCH($AM444,"\.(png|jpg|jpeg|gif)$"),$AM444,"https://s3.tradingview.com/snapshots/"&amp;LOWER(MID(REGEXEXTRACT($AM444,"/x/([A-Za-z0-9]+)"),1,1))&amp;"/"&amp;REGEXEXTRACT($AM444,"/x/([A-Za-z0-9]+)")&amp;".png"),1),"⚠️ link tidak dikenali"))</f>
        <v/>
      </c>
      <c r="AO444" s="68"/>
      <c r="AP444" s="58" t="str">
        <f>IF($AO444="","",IFERROR(_xlfn.IMAGE(IF(REGEXMATCH($AO444,"\.(png|jpg|jpeg|gif)$"),$AO444,"https://s3.tradingview.com/snapshots/"&amp;LOWER(MID(REGEXEXTRACT($AO444,"/x/([A-Za-z0-9]+)"),1,1))&amp;"/"&amp;REGEXEXTRACT($AO444,"/x/([A-Za-z0-9]+)")&amp;".png"),1),"⚠️ link tidak dikenali"))</f>
        <v/>
      </c>
      <c r="AQ444" s="66">
        <f>IF($Z444="",0,IF(AND(OR('📊 Dashboard'!$B$4="(Semua)",$F444='📊 Dashboard'!$B$4),OR('📊 Dashboard'!$B$5="(Semua)",$H444='📊 Dashboard'!$B$5),OR('📊 Dashboard'!$B$6="(Semua)",$E444='📊 Dashboard'!$B$6),OR('📊 Dashboard'!$B$7="(Semua)",$AF444='📊 Dashboard'!$B$7),OR('📊 Dashboard'!$B$8="(Semua)",$AG444='📊 Dashboard'!$B$8),OR('📊 Dashboard'!$B$9="(Semua)",$K444='📊 Dashboard'!$B$9)),1,0))</f>
        <v>0</v>
      </c>
      <c r="AR444" s="69"/>
    </row>
    <row r="445" ht="58" customHeight="1" spans="1:44">
      <c r="A445" s="58" t="str">
        <f t="shared" si="42"/>
        <v/>
      </c>
      <c r="B445" s="59"/>
      <c r="C445" s="60"/>
      <c r="D445" s="60"/>
      <c r="E445" s="58" t="str">
        <f t="shared" si="43"/>
        <v/>
      </c>
      <c r="F445" s="61"/>
      <c r="G445" s="61"/>
      <c r="H445" s="61"/>
      <c r="I445" s="61"/>
      <c r="J445" s="61"/>
      <c r="K445" s="61"/>
      <c r="L445" s="61"/>
      <c r="M445" s="61"/>
      <c r="N445" s="62"/>
      <c r="O445" s="62"/>
      <c r="P445" s="62"/>
      <c r="Q445" s="62"/>
      <c r="R445" s="63" t="str">
        <f>IFERROR(IF(OR($N445="",$O445="",$F445=""),"",ROUND(('⚙️ Setelan'!$B$3*'⚙️ Setelan'!$B$4/100)/(ABS($N445-$O445)*VLOOKUP($F445,'⚙️ Setelan'!$A$14:$F$20,4,FALSE)),2)),"")</f>
        <v/>
      </c>
      <c r="S445" s="64"/>
      <c r="T445" s="65" t="str">
        <f>IFERROR(IF(OR($N445="",$O445="",$S445=""),"",ABS($N445-$O445)*$S445*VLOOKUP($F445,'⚙️ Setelan'!$A$14:$F$20,4,FALSE)),"")</f>
        <v/>
      </c>
      <c r="U445" s="63" t="str">
        <f t="shared" si="44"/>
        <v/>
      </c>
      <c r="V445" s="65" t="str">
        <f>IFERROR(IF(OR($Q445="",$N445="",$S445=""),"",($Q445-$N445)*IF($G445="Buy",1,-1)*$S445*VLOOKUP($F445,'⚙️ Setelan'!$A$14:$F$20,4,FALSE)),"")</f>
        <v/>
      </c>
      <c r="W445" s="65" t="str">
        <f>IFERROR(IF(OR($S445="",$F445=""),"",$S445*VLOOKUP($F445,'⚙️ Setelan'!$A$14:$F$20,5,FALSE)),"")</f>
        <v/>
      </c>
      <c r="X445" s="65" t="str">
        <f t="shared" si="45"/>
        <v/>
      </c>
      <c r="Y445" s="63" t="str">
        <f t="shared" si="46"/>
        <v/>
      </c>
      <c r="Z445" s="58" t="str">
        <f t="shared" si="47"/>
        <v/>
      </c>
      <c r="AA445" s="66" t="str">
        <f t="shared" si="48"/>
        <v/>
      </c>
      <c r="AB445" s="62"/>
      <c r="AC445" s="62"/>
      <c r="AD445" s="63" t="str">
        <f>IFERROR(IF(OR($AB445="",$T445="",$T445=0),"",ROUND(ABS($N445-$AB445)*$S445*VLOOKUP($F445,'⚙️ Setelan'!$A$14:$F$20,4,FALSE)/$T445,2)),"")</f>
        <v/>
      </c>
      <c r="AE445" s="63" t="str">
        <f>IFERROR(IF(OR($AC445="",$T445="",$T445=0),"",ROUND(ABS($AC445-$N445)*$S445*VLOOKUP($F445,'⚙️ Setelan'!$A$14:$F$20,4,FALSE)/$T445,2)),"")</f>
        <v/>
      </c>
      <c r="AF445" s="61"/>
      <c r="AG445" s="61"/>
      <c r="AH445" s="61"/>
      <c r="AI445" s="61"/>
      <c r="AJ445" s="61"/>
      <c r="AK445" s="67"/>
      <c r="AL445" s="58" t="str">
        <f>IF(OR($C445="",$B445=""),"",IF(AND($Z444="Loss",$B445=$B444,MOD($C445-$D444,1)*1440&lt;'⚙️ Setelan'!$B$9),"⚠️ Revenge",""))</f>
        <v/>
      </c>
      <c r="AM445" s="68"/>
      <c r="AN445" s="58" t="str">
        <f>IF($AM445="","",IFERROR(_xlfn.IMAGE(IF(REGEXMATCH($AM445,"\.(png|jpg|jpeg|gif)$"),$AM445,"https://s3.tradingview.com/snapshots/"&amp;LOWER(MID(REGEXEXTRACT($AM445,"/x/([A-Za-z0-9]+)"),1,1))&amp;"/"&amp;REGEXEXTRACT($AM445,"/x/([A-Za-z0-9]+)")&amp;".png"),1),"⚠️ link tidak dikenali"))</f>
        <v/>
      </c>
      <c r="AO445" s="68"/>
      <c r="AP445" s="58" t="str">
        <f>IF($AO445="","",IFERROR(_xlfn.IMAGE(IF(REGEXMATCH($AO445,"\.(png|jpg|jpeg|gif)$"),$AO445,"https://s3.tradingview.com/snapshots/"&amp;LOWER(MID(REGEXEXTRACT($AO445,"/x/([A-Za-z0-9]+)"),1,1))&amp;"/"&amp;REGEXEXTRACT($AO445,"/x/([A-Za-z0-9]+)")&amp;".png"),1),"⚠️ link tidak dikenali"))</f>
        <v/>
      </c>
      <c r="AQ445" s="66">
        <f>IF($Z445="",0,IF(AND(OR('📊 Dashboard'!$B$4="(Semua)",$F445='📊 Dashboard'!$B$4),OR('📊 Dashboard'!$B$5="(Semua)",$H445='📊 Dashboard'!$B$5),OR('📊 Dashboard'!$B$6="(Semua)",$E445='📊 Dashboard'!$B$6),OR('📊 Dashboard'!$B$7="(Semua)",$AF445='📊 Dashboard'!$B$7),OR('📊 Dashboard'!$B$8="(Semua)",$AG445='📊 Dashboard'!$B$8),OR('📊 Dashboard'!$B$9="(Semua)",$K445='📊 Dashboard'!$B$9)),1,0))</f>
        <v>0</v>
      </c>
      <c r="AR445" s="69"/>
    </row>
    <row r="446" ht="58" customHeight="1" spans="1:44">
      <c r="A446" s="58" t="str">
        <f t="shared" si="42"/>
        <v/>
      </c>
      <c r="B446" s="59"/>
      <c r="C446" s="60"/>
      <c r="D446" s="60"/>
      <c r="E446" s="58" t="str">
        <f t="shared" si="43"/>
        <v/>
      </c>
      <c r="F446" s="61"/>
      <c r="G446" s="61"/>
      <c r="H446" s="61"/>
      <c r="I446" s="61"/>
      <c r="J446" s="61"/>
      <c r="K446" s="61"/>
      <c r="L446" s="61"/>
      <c r="M446" s="61"/>
      <c r="N446" s="62"/>
      <c r="O446" s="62"/>
      <c r="P446" s="62"/>
      <c r="Q446" s="62"/>
      <c r="R446" s="63" t="str">
        <f>IFERROR(IF(OR($N446="",$O446="",$F446=""),"",ROUND(('⚙️ Setelan'!$B$3*'⚙️ Setelan'!$B$4/100)/(ABS($N446-$O446)*VLOOKUP($F446,'⚙️ Setelan'!$A$14:$F$20,4,FALSE)),2)),"")</f>
        <v/>
      </c>
      <c r="S446" s="64"/>
      <c r="T446" s="65" t="str">
        <f>IFERROR(IF(OR($N446="",$O446="",$S446=""),"",ABS($N446-$O446)*$S446*VLOOKUP($F446,'⚙️ Setelan'!$A$14:$F$20,4,FALSE)),"")</f>
        <v/>
      </c>
      <c r="U446" s="63" t="str">
        <f t="shared" si="44"/>
        <v/>
      </c>
      <c r="V446" s="65" t="str">
        <f>IFERROR(IF(OR($Q446="",$N446="",$S446=""),"",($Q446-$N446)*IF($G446="Buy",1,-1)*$S446*VLOOKUP($F446,'⚙️ Setelan'!$A$14:$F$20,4,FALSE)),"")</f>
        <v/>
      </c>
      <c r="W446" s="65" t="str">
        <f>IFERROR(IF(OR($S446="",$F446=""),"",$S446*VLOOKUP($F446,'⚙️ Setelan'!$A$14:$F$20,5,FALSE)),"")</f>
        <v/>
      </c>
      <c r="X446" s="65" t="str">
        <f t="shared" si="45"/>
        <v/>
      </c>
      <c r="Y446" s="63" t="str">
        <f t="shared" si="46"/>
        <v/>
      </c>
      <c r="Z446" s="58" t="str">
        <f t="shared" si="47"/>
        <v/>
      </c>
      <c r="AA446" s="66" t="str">
        <f t="shared" si="48"/>
        <v/>
      </c>
      <c r="AB446" s="62"/>
      <c r="AC446" s="62"/>
      <c r="AD446" s="63" t="str">
        <f>IFERROR(IF(OR($AB446="",$T446="",$T446=0),"",ROUND(ABS($N446-$AB446)*$S446*VLOOKUP($F446,'⚙️ Setelan'!$A$14:$F$20,4,FALSE)/$T446,2)),"")</f>
        <v/>
      </c>
      <c r="AE446" s="63" t="str">
        <f>IFERROR(IF(OR($AC446="",$T446="",$T446=0),"",ROUND(ABS($AC446-$N446)*$S446*VLOOKUP($F446,'⚙️ Setelan'!$A$14:$F$20,4,FALSE)/$T446,2)),"")</f>
        <v/>
      </c>
      <c r="AF446" s="61"/>
      <c r="AG446" s="61"/>
      <c r="AH446" s="61"/>
      <c r="AI446" s="61"/>
      <c r="AJ446" s="61"/>
      <c r="AK446" s="67"/>
      <c r="AL446" s="58" t="str">
        <f>IF(OR($C446="",$B446=""),"",IF(AND($Z445="Loss",$B446=$B445,MOD($C446-$D445,1)*1440&lt;'⚙️ Setelan'!$B$9),"⚠️ Revenge",""))</f>
        <v/>
      </c>
      <c r="AM446" s="68"/>
      <c r="AN446" s="58" t="str">
        <f>IF($AM446="","",IFERROR(_xlfn.IMAGE(IF(REGEXMATCH($AM446,"\.(png|jpg|jpeg|gif)$"),$AM446,"https://s3.tradingview.com/snapshots/"&amp;LOWER(MID(REGEXEXTRACT($AM446,"/x/([A-Za-z0-9]+)"),1,1))&amp;"/"&amp;REGEXEXTRACT($AM446,"/x/([A-Za-z0-9]+)")&amp;".png"),1),"⚠️ link tidak dikenali"))</f>
        <v/>
      </c>
      <c r="AO446" s="68"/>
      <c r="AP446" s="58" t="str">
        <f>IF($AO446="","",IFERROR(_xlfn.IMAGE(IF(REGEXMATCH($AO446,"\.(png|jpg|jpeg|gif)$"),$AO446,"https://s3.tradingview.com/snapshots/"&amp;LOWER(MID(REGEXEXTRACT($AO446,"/x/([A-Za-z0-9]+)"),1,1))&amp;"/"&amp;REGEXEXTRACT($AO446,"/x/([A-Za-z0-9]+)")&amp;".png"),1),"⚠️ link tidak dikenali"))</f>
        <v/>
      </c>
      <c r="AQ446" s="66">
        <f>IF($Z446="",0,IF(AND(OR('📊 Dashboard'!$B$4="(Semua)",$F446='📊 Dashboard'!$B$4),OR('📊 Dashboard'!$B$5="(Semua)",$H446='📊 Dashboard'!$B$5),OR('📊 Dashboard'!$B$6="(Semua)",$E446='📊 Dashboard'!$B$6),OR('📊 Dashboard'!$B$7="(Semua)",$AF446='📊 Dashboard'!$B$7),OR('📊 Dashboard'!$B$8="(Semua)",$AG446='📊 Dashboard'!$B$8),OR('📊 Dashboard'!$B$9="(Semua)",$K446='📊 Dashboard'!$B$9)),1,0))</f>
        <v>0</v>
      </c>
      <c r="AR446" s="69"/>
    </row>
    <row r="447" ht="58" customHeight="1" spans="1:44">
      <c r="A447" s="58" t="str">
        <f t="shared" si="42"/>
        <v/>
      </c>
      <c r="B447" s="59"/>
      <c r="C447" s="60"/>
      <c r="D447" s="60"/>
      <c r="E447" s="58" t="str">
        <f t="shared" si="43"/>
        <v/>
      </c>
      <c r="F447" s="61"/>
      <c r="G447" s="61"/>
      <c r="H447" s="61"/>
      <c r="I447" s="61"/>
      <c r="J447" s="61"/>
      <c r="K447" s="61"/>
      <c r="L447" s="61"/>
      <c r="M447" s="61"/>
      <c r="N447" s="62"/>
      <c r="O447" s="62"/>
      <c r="P447" s="62"/>
      <c r="Q447" s="62"/>
      <c r="R447" s="63" t="str">
        <f>IFERROR(IF(OR($N447="",$O447="",$F447=""),"",ROUND(('⚙️ Setelan'!$B$3*'⚙️ Setelan'!$B$4/100)/(ABS($N447-$O447)*VLOOKUP($F447,'⚙️ Setelan'!$A$14:$F$20,4,FALSE)),2)),"")</f>
        <v/>
      </c>
      <c r="S447" s="64"/>
      <c r="T447" s="65" t="str">
        <f>IFERROR(IF(OR($N447="",$O447="",$S447=""),"",ABS($N447-$O447)*$S447*VLOOKUP($F447,'⚙️ Setelan'!$A$14:$F$20,4,FALSE)),"")</f>
        <v/>
      </c>
      <c r="U447" s="63" t="str">
        <f t="shared" si="44"/>
        <v/>
      </c>
      <c r="V447" s="65" t="str">
        <f>IFERROR(IF(OR($Q447="",$N447="",$S447=""),"",($Q447-$N447)*IF($G447="Buy",1,-1)*$S447*VLOOKUP($F447,'⚙️ Setelan'!$A$14:$F$20,4,FALSE)),"")</f>
        <v/>
      </c>
      <c r="W447" s="65" t="str">
        <f>IFERROR(IF(OR($S447="",$F447=""),"",$S447*VLOOKUP($F447,'⚙️ Setelan'!$A$14:$F$20,5,FALSE)),"")</f>
        <v/>
      </c>
      <c r="X447" s="65" t="str">
        <f t="shared" si="45"/>
        <v/>
      </c>
      <c r="Y447" s="63" t="str">
        <f t="shared" si="46"/>
        <v/>
      </c>
      <c r="Z447" s="58" t="str">
        <f t="shared" si="47"/>
        <v/>
      </c>
      <c r="AA447" s="66" t="str">
        <f t="shared" si="48"/>
        <v/>
      </c>
      <c r="AB447" s="62"/>
      <c r="AC447" s="62"/>
      <c r="AD447" s="63" t="str">
        <f>IFERROR(IF(OR($AB447="",$T447="",$T447=0),"",ROUND(ABS($N447-$AB447)*$S447*VLOOKUP($F447,'⚙️ Setelan'!$A$14:$F$20,4,FALSE)/$T447,2)),"")</f>
        <v/>
      </c>
      <c r="AE447" s="63" t="str">
        <f>IFERROR(IF(OR($AC447="",$T447="",$T447=0),"",ROUND(ABS($AC447-$N447)*$S447*VLOOKUP($F447,'⚙️ Setelan'!$A$14:$F$20,4,FALSE)/$T447,2)),"")</f>
        <v/>
      </c>
      <c r="AF447" s="61"/>
      <c r="AG447" s="61"/>
      <c r="AH447" s="61"/>
      <c r="AI447" s="61"/>
      <c r="AJ447" s="61"/>
      <c r="AK447" s="67"/>
      <c r="AL447" s="58" t="str">
        <f>IF(OR($C447="",$B447=""),"",IF(AND($Z446="Loss",$B447=$B446,MOD($C447-$D446,1)*1440&lt;'⚙️ Setelan'!$B$9),"⚠️ Revenge",""))</f>
        <v/>
      </c>
      <c r="AM447" s="68"/>
      <c r="AN447" s="58" t="str">
        <f>IF($AM447="","",IFERROR(_xlfn.IMAGE(IF(REGEXMATCH($AM447,"\.(png|jpg|jpeg|gif)$"),$AM447,"https://s3.tradingview.com/snapshots/"&amp;LOWER(MID(REGEXEXTRACT($AM447,"/x/([A-Za-z0-9]+)"),1,1))&amp;"/"&amp;REGEXEXTRACT($AM447,"/x/([A-Za-z0-9]+)")&amp;".png"),1),"⚠️ link tidak dikenali"))</f>
        <v/>
      </c>
      <c r="AO447" s="68"/>
      <c r="AP447" s="58" t="str">
        <f>IF($AO447="","",IFERROR(_xlfn.IMAGE(IF(REGEXMATCH($AO447,"\.(png|jpg|jpeg|gif)$"),$AO447,"https://s3.tradingview.com/snapshots/"&amp;LOWER(MID(REGEXEXTRACT($AO447,"/x/([A-Za-z0-9]+)"),1,1))&amp;"/"&amp;REGEXEXTRACT($AO447,"/x/([A-Za-z0-9]+)")&amp;".png"),1),"⚠️ link tidak dikenali"))</f>
        <v/>
      </c>
      <c r="AQ447" s="66">
        <f>IF($Z447="",0,IF(AND(OR('📊 Dashboard'!$B$4="(Semua)",$F447='📊 Dashboard'!$B$4),OR('📊 Dashboard'!$B$5="(Semua)",$H447='📊 Dashboard'!$B$5),OR('📊 Dashboard'!$B$6="(Semua)",$E447='📊 Dashboard'!$B$6),OR('📊 Dashboard'!$B$7="(Semua)",$AF447='📊 Dashboard'!$B$7),OR('📊 Dashboard'!$B$8="(Semua)",$AG447='📊 Dashboard'!$B$8),OR('📊 Dashboard'!$B$9="(Semua)",$K447='📊 Dashboard'!$B$9)),1,0))</f>
        <v>0</v>
      </c>
      <c r="AR447" s="69"/>
    </row>
    <row r="448" ht="58" customHeight="1" spans="1:44">
      <c r="A448" s="58" t="str">
        <f t="shared" si="42"/>
        <v/>
      </c>
      <c r="B448" s="59"/>
      <c r="C448" s="60"/>
      <c r="D448" s="60"/>
      <c r="E448" s="58" t="str">
        <f t="shared" si="43"/>
        <v/>
      </c>
      <c r="F448" s="61"/>
      <c r="G448" s="61"/>
      <c r="H448" s="61"/>
      <c r="I448" s="61"/>
      <c r="J448" s="61"/>
      <c r="K448" s="61"/>
      <c r="L448" s="61"/>
      <c r="M448" s="61"/>
      <c r="N448" s="62"/>
      <c r="O448" s="62"/>
      <c r="P448" s="62"/>
      <c r="Q448" s="62"/>
      <c r="R448" s="63" t="str">
        <f>IFERROR(IF(OR($N448="",$O448="",$F448=""),"",ROUND(('⚙️ Setelan'!$B$3*'⚙️ Setelan'!$B$4/100)/(ABS($N448-$O448)*VLOOKUP($F448,'⚙️ Setelan'!$A$14:$F$20,4,FALSE)),2)),"")</f>
        <v/>
      </c>
      <c r="S448" s="64"/>
      <c r="T448" s="65" t="str">
        <f>IFERROR(IF(OR($N448="",$O448="",$S448=""),"",ABS($N448-$O448)*$S448*VLOOKUP($F448,'⚙️ Setelan'!$A$14:$F$20,4,FALSE)),"")</f>
        <v/>
      </c>
      <c r="U448" s="63" t="str">
        <f t="shared" si="44"/>
        <v/>
      </c>
      <c r="V448" s="65" t="str">
        <f>IFERROR(IF(OR($Q448="",$N448="",$S448=""),"",($Q448-$N448)*IF($G448="Buy",1,-1)*$S448*VLOOKUP($F448,'⚙️ Setelan'!$A$14:$F$20,4,FALSE)),"")</f>
        <v/>
      </c>
      <c r="W448" s="65" t="str">
        <f>IFERROR(IF(OR($S448="",$F448=""),"",$S448*VLOOKUP($F448,'⚙️ Setelan'!$A$14:$F$20,5,FALSE)),"")</f>
        <v/>
      </c>
      <c r="X448" s="65" t="str">
        <f t="shared" si="45"/>
        <v/>
      </c>
      <c r="Y448" s="63" t="str">
        <f t="shared" si="46"/>
        <v/>
      </c>
      <c r="Z448" s="58" t="str">
        <f t="shared" si="47"/>
        <v/>
      </c>
      <c r="AA448" s="66" t="str">
        <f t="shared" si="48"/>
        <v/>
      </c>
      <c r="AB448" s="62"/>
      <c r="AC448" s="62"/>
      <c r="AD448" s="63" t="str">
        <f>IFERROR(IF(OR($AB448="",$T448="",$T448=0),"",ROUND(ABS($N448-$AB448)*$S448*VLOOKUP($F448,'⚙️ Setelan'!$A$14:$F$20,4,FALSE)/$T448,2)),"")</f>
        <v/>
      </c>
      <c r="AE448" s="63" t="str">
        <f>IFERROR(IF(OR($AC448="",$T448="",$T448=0),"",ROUND(ABS($AC448-$N448)*$S448*VLOOKUP($F448,'⚙️ Setelan'!$A$14:$F$20,4,FALSE)/$T448,2)),"")</f>
        <v/>
      </c>
      <c r="AF448" s="61"/>
      <c r="AG448" s="61"/>
      <c r="AH448" s="61"/>
      <c r="AI448" s="61"/>
      <c r="AJ448" s="61"/>
      <c r="AK448" s="67"/>
      <c r="AL448" s="58" t="str">
        <f>IF(OR($C448="",$B448=""),"",IF(AND($Z447="Loss",$B448=$B447,MOD($C448-$D447,1)*1440&lt;'⚙️ Setelan'!$B$9),"⚠️ Revenge",""))</f>
        <v/>
      </c>
      <c r="AM448" s="68"/>
      <c r="AN448" s="58" t="str">
        <f>IF($AM448="","",IFERROR(_xlfn.IMAGE(IF(REGEXMATCH($AM448,"\.(png|jpg|jpeg|gif)$"),$AM448,"https://s3.tradingview.com/snapshots/"&amp;LOWER(MID(REGEXEXTRACT($AM448,"/x/([A-Za-z0-9]+)"),1,1))&amp;"/"&amp;REGEXEXTRACT($AM448,"/x/([A-Za-z0-9]+)")&amp;".png"),1),"⚠️ link tidak dikenali"))</f>
        <v/>
      </c>
      <c r="AO448" s="68"/>
      <c r="AP448" s="58" t="str">
        <f>IF($AO448="","",IFERROR(_xlfn.IMAGE(IF(REGEXMATCH($AO448,"\.(png|jpg|jpeg|gif)$"),$AO448,"https://s3.tradingview.com/snapshots/"&amp;LOWER(MID(REGEXEXTRACT($AO448,"/x/([A-Za-z0-9]+)"),1,1))&amp;"/"&amp;REGEXEXTRACT($AO448,"/x/([A-Za-z0-9]+)")&amp;".png"),1),"⚠️ link tidak dikenali"))</f>
        <v/>
      </c>
      <c r="AQ448" s="66">
        <f>IF($Z448="",0,IF(AND(OR('📊 Dashboard'!$B$4="(Semua)",$F448='📊 Dashboard'!$B$4),OR('📊 Dashboard'!$B$5="(Semua)",$H448='📊 Dashboard'!$B$5),OR('📊 Dashboard'!$B$6="(Semua)",$E448='📊 Dashboard'!$B$6),OR('📊 Dashboard'!$B$7="(Semua)",$AF448='📊 Dashboard'!$B$7),OR('📊 Dashboard'!$B$8="(Semua)",$AG448='📊 Dashboard'!$B$8),OR('📊 Dashboard'!$B$9="(Semua)",$K448='📊 Dashboard'!$B$9)),1,0))</f>
        <v>0</v>
      </c>
      <c r="AR448" s="69"/>
    </row>
    <row r="449" ht="58" customHeight="1" spans="1:44">
      <c r="A449" s="58" t="str">
        <f t="shared" si="42"/>
        <v/>
      </c>
      <c r="B449" s="59"/>
      <c r="C449" s="60"/>
      <c r="D449" s="60"/>
      <c r="E449" s="58" t="str">
        <f t="shared" si="43"/>
        <v/>
      </c>
      <c r="F449" s="61"/>
      <c r="G449" s="61"/>
      <c r="H449" s="61"/>
      <c r="I449" s="61"/>
      <c r="J449" s="61"/>
      <c r="K449" s="61"/>
      <c r="L449" s="61"/>
      <c r="M449" s="61"/>
      <c r="N449" s="62"/>
      <c r="O449" s="62"/>
      <c r="P449" s="62"/>
      <c r="Q449" s="62"/>
      <c r="R449" s="63" t="str">
        <f>IFERROR(IF(OR($N449="",$O449="",$F449=""),"",ROUND(('⚙️ Setelan'!$B$3*'⚙️ Setelan'!$B$4/100)/(ABS($N449-$O449)*VLOOKUP($F449,'⚙️ Setelan'!$A$14:$F$20,4,FALSE)),2)),"")</f>
        <v/>
      </c>
      <c r="S449" s="64"/>
      <c r="T449" s="65" t="str">
        <f>IFERROR(IF(OR($N449="",$O449="",$S449=""),"",ABS($N449-$O449)*$S449*VLOOKUP($F449,'⚙️ Setelan'!$A$14:$F$20,4,FALSE)),"")</f>
        <v/>
      </c>
      <c r="U449" s="63" t="str">
        <f t="shared" si="44"/>
        <v/>
      </c>
      <c r="V449" s="65" t="str">
        <f>IFERROR(IF(OR($Q449="",$N449="",$S449=""),"",($Q449-$N449)*IF($G449="Buy",1,-1)*$S449*VLOOKUP($F449,'⚙️ Setelan'!$A$14:$F$20,4,FALSE)),"")</f>
        <v/>
      </c>
      <c r="W449" s="65" t="str">
        <f>IFERROR(IF(OR($S449="",$F449=""),"",$S449*VLOOKUP($F449,'⚙️ Setelan'!$A$14:$F$20,5,FALSE)),"")</f>
        <v/>
      </c>
      <c r="X449" s="65" t="str">
        <f t="shared" si="45"/>
        <v/>
      </c>
      <c r="Y449" s="63" t="str">
        <f t="shared" si="46"/>
        <v/>
      </c>
      <c r="Z449" s="58" t="str">
        <f t="shared" si="47"/>
        <v/>
      </c>
      <c r="AA449" s="66" t="str">
        <f t="shared" si="48"/>
        <v/>
      </c>
      <c r="AB449" s="62"/>
      <c r="AC449" s="62"/>
      <c r="AD449" s="63" t="str">
        <f>IFERROR(IF(OR($AB449="",$T449="",$T449=0),"",ROUND(ABS($N449-$AB449)*$S449*VLOOKUP($F449,'⚙️ Setelan'!$A$14:$F$20,4,FALSE)/$T449,2)),"")</f>
        <v/>
      </c>
      <c r="AE449" s="63" t="str">
        <f>IFERROR(IF(OR($AC449="",$T449="",$T449=0),"",ROUND(ABS($AC449-$N449)*$S449*VLOOKUP($F449,'⚙️ Setelan'!$A$14:$F$20,4,FALSE)/$T449,2)),"")</f>
        <v/>
      </c>
      <c r="AF449" s="61"/>
      <c r="AG449" s="61"/>
      <c r="AH449" s="61"/>
      <c r="AI449" s="61"/>
      <c r="AJ449" s="61"/>
      <c r="AK449" s="67"/>
      <c r="AL449" s="58" t="str">
        <f>IF(OR($C449="",$B449=""),"",IF(AND($Z448="Loss",$B449=$B448,MOD($C449-$D448,1)*1440&lt;'⚙️ Setelan'!$B$9),"⚠️ Revenge",""))</f>
        <v/>
      </c>
      <c r="AM449" s="68"/>
      <c r="AN449" s="58" t="str">
        <f>IF($AM449="","",IFERROR(_xlfn.IMAGE(IF(REGEXMATCH($AM449,"\.(png|jpg|jpeg|gif)$"),$AM449,"https://s3.tradingview.com/snapshots/"&amp;LOWER(MID(REGEXEXTRACT($AM449,"/x/([A-Za-z0-9]+)"),1,1))&amp;"/"&amp;REGEXEXTRACT($AM449,"/x/([A-Za-z0-9]+)")&amp;".png"),1),"⚠️ link tidak dikenali"))</f>
        <v/>
      </c>
      <c r="AO449" s="68"/>
      <c r="AP449" s="58" t="str">
        <f>IF($AO449="","",IFERROR(_xlfn.IMAGE(IF(REGEXMATCH($AO449,"\.(png|jpg|jpeg|gif)$"),$AO449,"https://s3.tradingview.com/snapshots/"&amp;LOWER(MID(REGEXEXTRACT($AO449,"/x/([A-Za-z0-9]+)"),1,1))&amp;"/"&amp;REGEXEXTRACT($AO449,"/x/([A-Za-z0-9]+)")&amp;".png"),1),"⚠️ link tidak dikenali"))</f>
        <v/>
      </c>
      <c r="AQ449" s="66">
        <f>IF($Z449="",0,IF(AND(OR('📊 Dashboard'!$B$4="(Semua)",$F449='📊 Dashboard'!$B$4),OR('📊 Dashboard'!$B$5="(Semua)",$H449='📊 Dashboard'!$B$5),OR('📊 Dashboard'!$B$6="(Semua)",$E449='📊 Dashboard'!$B$6),OR('📊 Dashboard'!$B$7="(Semua)",$AF449='📊 Dashboard'!$B$7),OR('📊 Dashboard'!$B$8="(Semua)",$AG449='📊 Dashboard'!$B$8),OR('📊 Dashboard'!$B$9="(Semua)",$K449='📊 Dashboard'!$B$9)),1,0))</f>
        <v>0</v>
      </c>
      <c r="AR449" s="69"/>
    </row>
    <row r="450" ht="58" customHeight="1" spans="1:44">
      <c r="A450" s="58" t="str">
        <f t="shared" si="42"/>
        <v/>
      </c>
      <c r="B450" s="59"/>
      <c r="C450" s="60"/>
      <c r="D450" s="60"/>
      <c r="E450" s="58" t="str">
        <f t="shared" si="43"/>
        <v/>
      </c>
      <c r="F450" s="61"/>
      <c r="G450" s="61"/>
      <c r="H450" s="61"/>
      <c r="I450" s="61"/>
      <c r="J450" s="61"/>
      <c r="K450" s="61"/>
      <c r="L450" s="61"/>
      <c r="M450" s="61"/>
      <c r="N450" s="62"/>
      <c r="O450" s="62"/>
      <c r="P450" s="62"/>
      <c r="Q450" s="62"/>
      <c r="R450" s="63" t="str">
        <f>IFERROR(IF(OR($N450="",$O450="",$F450=""),"",ROUND(('⚙️ Setelan'!$B$3*'⚙️ Setelan'!$B$4/100)/(ABS($N450-$O450)*VLOOKUP($F450,'⚙️ Setelan'!$A$14:$F$20,4,FALSE)),2)),"")</f>
        <v/>
      </c>
      <c r="S450" s="64"/>
      <c r="T450" s="65" t="str">
        <f>IFERROR(IF(OR($N450="",$O450="",$S450=""),"",ABS($N450-$O450)*$S450*VLOOKUP($F450,'⚙️ Setelan'!$A$14:$F$20,4,FALSE)),"")</f>
        <v/>
      </c>
      <c r="U450" s="63" t="str">
        <f t="shared" si="44"/>
        <v/>
      </c>
      <c r="V450" s="65" t="str">
        <f>IFERROR(IF(OR($Q450="",$N450="",$S450=""),"",($Q450-$N450)*IF($G450="Buy",1,-1)*$S450*VLOOKUP($F450,'⚙️ Setelan'!$A$14:$F$20,4,FALSE)),"")</f>
        <v/>
      </c>
      <c r="W450" s="65" t="str">
        <f>IFERROR(IF(OR($S450="",$F450=""),"",$S450*VLOOKUP($F450,'⚙️ Setelan'!$A$14:$F$20,5,FALSE)),"")</f>
        <v/>
      </c>
      <c r="X450" s="65" t="str">
        <f t="shared" si="45"/>
        <v/>
      </c>
      <c r="Y450" s="63" t="str">
        <f t="shared" si="46"/>
        <v/>
      </c>
      <c r="Z450" s="58" t="str">
        <f t="shared" si="47"/>
        <v/>
      </c>
      <c r="AA450" s="66" t="str">
        <f t="shared" si="48"/>
        <v/>
      </c>
      <c r="AB450" s="62"/>
      <c r="AC450" s="62"/>
      <c r="AD450" s="63" t="str">
        <f>IFERROR(IF(OR($AB450="",$T450="",$T450=0),"",ROUND(ABS($N450-$AB450)*$S450*VLOOKUP($F450,'⚙️ Setelan'!$A$14:$F$20,4,FALSE)/$T450,2)),"")</f>
        <v/>
      </c>
      <c r="AE450" s="63" t="str">
        <f>IFERROR(IF(OR($AC450="",$T450="",$T450=0),"",ROUND(ABS($AC450-$N450)*$S450*VLOOKUP($F450,'⚙️ Setelan'!$A$14:$F$20,4,FALSE)/$T450,2)),"")</f>
        <v/>
      </c>
      <c r="AF450" s="61"/>
      <c r="AG450" s="61"/>
      <c r="AH450" s="61"/>
      <c r="AI450" s="61"/>
      <c r="AJ450" s="61"/>
      <c r="AK450" s="67"/>
      <c r="AL450" s="58" t="str">
        <f>IF(OR($C450="",$B450=""),"",IF(AND($Z449="Loss",$B450=$B449,MOD($C450-$D449,1)*1440&lt;'⚙️ Setelan'!$B$9),"⚠️ Revenge",""))</f>
        <v/>
      </c>
      <c r="AM450" s="68"/>
      <c r="AN450" s="58" t="str">
        <f>IF($AM450="","",IFERROR(_xlfn.IMAGE(IF(REGEXMATCH($AM450,"\.(png|jpg|jpeg|gif)$"),$AM450,"https://s3.tradingview.com/snapshots/"&amp;LOWER(MID(REGEXEXTRACT($AM450,"/x/([A-Za-z0-9]+)"),1,1))&amp;"/"&amp;REGEXEXTRACT($AM450,"/x/([A-Za-z0-9]+)")&amp;".png"),1),"⚠️ link tidak dikenali"))</f>
        <v/>
      </c>
      <c r="AO450" s="68"/>
      <c r="AP450" s="58" t="str">
        <f>IF($AO450="","",IFERROR(_xlfn.IMAGE(IF(REGEXMATCH($AO450,"\.(png|jpg|jpeg|gif)$"),$AO450,"https://s3.tradingview.com/snapshots/"&amp;LOWER(MID(REGEXEXTRACT($AO450,"/x/([A-Za-z0-9]+)"),1,1))&amp;"/"&amp;REGEXEXTRACT($AO450,"/x/([A-Za-z0-9]+)")&amp;".png"),1),"⚠️ link tidak dikenali"))</f>
        <v/>
      </c>
      <c r="AQ450" s="66">
        <f>IF($Z450="",0,IF(AND(OR('📊 Dashboard'!$B$4="(Semua)",$F450='📊 Dashboard'!$B$4),OR('📊 Dashboard'!$B$5="(Semua)",$H450='📊 Dashboard'!$B$5),OR('📊 Dashboard'!$B$6="(Semua)",$E450='📊 Dashboard'!$B$6),OR('📊 Dashboard'!$B$7="(Semua)",$AF450='📊 Dashboard'!$B$7),OR('📊 Dashboard'!$B$8="(Semua)",$AG450='📊 Dashboard'!$B$8),OR('📊 Dashboard'!$B$9="(Semua)",$K450='📊 Dashboard'!$B$9)),1,0))</f>
        <v>0</v>
      </c>
      <c r="AR450" s="69"/>
    </row>
    <row r="451" ht="58" customHeight="1" spans="1:44">
      <c r="A451" s="58" t="str">
        <f t="shared" ref="A451:A502" si="49">IF($B451="","",ROW()-2)</f>
        <v/>
      </c>
      <c r="B451" s="59"/>
      <c r="C451" s="60"/>
      <c r="D451" s="60"/>
      <c r="E451" s="58" t="str">
        <f t="shared" ref="E451:E502" si="50">IF($C451="","",IF(AND($C451&gt;=TIME(14,0,0),$C451&lt;TIME(19,30,0)),"London",IF(AND($C451&gt;=TIME(19,30,0),$C451&lt;TIME(23,0,0)),"Overlap LDN+NY",IF(OR($C451&gt;=TIME(23,0,0),$C451&lt;TIME(4,0,0)),"New York","Asia"))))</f>
        <v/>
      </c>
      <c r="F451" s="61"/>
      <c r="G451" s="61"/>
      <c r="H451" s="61"/>
      <c r="I451" s="61"/>
      <c r="J451" s="61"/>
      <c r="K451" s="61"/>
      <c r="L451" s="61"/>
      <c r="M451" s="61"/>
      <c r="N451" s="62"/>
      <c r="O451" s="62"/>
      <c r="P451" s="62"/>
      <c r="Q451" s="62"/>
      <c r="R451" s="63" t="str">
        <f>IFERROR(IF(OR($N451="",$O451="",$F451=""),"",ROUND(('⚙️ Setelan'!$B$3*'⚙️ Setelan'!$B$4/100)/(ABS($N451-$O451)*VLOOKUP($F451,'⚙️ Setelan'!$A$14:$F$20,4,FALSE)),2)),"")</f>
        <v/>
      </c>
      <c r="S451" s="64"/>
      <c r="T451" s="65" t="str">
        <f>IFERROR(IF(OR($N451="",$O451="",$S451=""),"",ABS($N451-$O451)*$S451*VLOOKUP($F451,'⚙️ Setelan'!$A$14:$F$20,4,FALSE)),"")</f>
        <v/>
      </c>
      <c r="U451" s="63" t="str">
        <f t="shared" ref="U451:U502" si="51">IFERROR(IF(OR($N451="",$O451="",$P451=""),"",ROUND(ABS($P451-$N451)/ABS($N451-$O451),2)),"")</f>
        <v/>
      </c>
      <c r="V451" s="65" t="str">
        <f>IFERROR(IF(OR($Q451="",$N451="",$S451=""),"",($Q451-$N451)*IF($G451="Buy",1,-1)*$S451*VLOOKUP($F451,'⚙️ Setelan'!$A$14:$F$20,4,FALSE)),"")</f>
        <v/>
      </c>
      <c r="W451" s="65" t="str">
        <f>IFERROR(IF(OR($S451="",$F451=""),"",$S451*VLOOKUP($F451,'⚙️ Setelan'!$A$14:$F$20,5,FALSE)),"")</f>
        <v/>
      </c>
      <c r="X451" s="65" t="str">
        <f t="shared" ref="X451:X502" si="52">IF($V451="","",$V451-IF($W451="",0,$W451))</f>
        <v/>
      </c>
      <c r="Y451" s="63" t="str">
        <f t="shared" ref="Y451:Y502" si="53">IF(OR($X451="",$T451="",$T451=0),"",ROUND($X451/$T451,2))</f>
        <v/>
      </c>
      <c r="Z451" s="58" t="str">
        <f t="shared" ref="Z451:Z502" si="54">IF($X451="","",IF($X451&gt;0,"Win",IF($X451&lt;0,"Loss","BE")))</f>
        <v/>
      </c>
      <c r="AA451" s="66" t="str">
        <f t="shared" ref="AA451:AA502" si="55">IF(OR($C451="",$D451=""),"",ROUND(MOD($D451-$C451,1)*1440,0))</f>
        <v/>
      </c>
      <c r="AB451" s="62"/>
      <c r="AC451" s="62"/>
      <c r="AD451" s="63" t="str">
        <f>IFERROR(IF(OR($AB451="",$T451="",$T451=0),"",ROUND(ABS($N451-$AB451)*$S451*VLOOKUP($F451,'⚙️ Setelan'!$A$14:$F$20,4,FALSE)/$T451,2)),"")</f>
        <v/>
      </c>
      <c r="AE451" s="63" t="str">
        <f>IFERROR(IF(OR($AC451="",$T451="",$T451=0),"",ROUND(ABS($AC451-$N451)*$S451*VLOOKUP($F451,'⚙️ Setelan'!$A$14:$F$20,4,FALSE)/$T451,2)),"")</f>
        <v/>
      </c>
      <c r="AF451" s="61"/>
      <c r="AG451" s="61"/>
      <c r="AH451" s="61"/>
      <c r="AI451" s="61"/>
      <c r="AJ451" s="61"/>
      <c r="AK451" s="67"/>
      <c r="AL451" s="58" t="str">
        <f>IF(OR($C451="",$B451=""),"",IF(AND($Z450="Loss",$B451=$B450,MOD($C451-$D450,1)*1440&lt;'⚙️ Setelan'!$B$9),"⚠️ Revenge",""))</f>
        <v/>
      </c>
      <c r="AM451" s="68"/>
      <c r="AN451" s="58" t="str">
        <f>IF($AM451="","",IFERROR(_xlfn.IMAGE(IF(REGEXMATCH($AM451,"\.(png|jpg|jpeg|gif)$"),$AM451,"https://s3.tradingview.com/snapshots/"&amp;LOWER(MID(REGEXEXTRACT($AM451,"/x/([A-Za-z0-9]+)"),1,1))&amp;"/"&amp;REGEXEXTRACT($AM451,"/x/([A-Za-z0-9]+)")&amp;".png"),1),"⚠️ link tidak dikenali"))</f>
        <v/>
      </c>
      <c r="AO451" s="68"/>
      <c r="AP451" s="58" t="str">
        <f>IF($AO451="","",IFERROR(_xlfn.IMAGE(IF(REGEXMATCH($AO451,"\.(png|jpg|jpeg|gif)$"),$AO451,"https://s3.tradingview.com/snapshots/"&amp;LOWER(MID(REGEXEXTRACT($AO451,"/x/([A-Za-z0-9]+)"),1,1))&amp;"/"&amp;REGEXEXTRACT($AO451,"/x/([A-Za-z0-9]+)")&amp;".png"),1),"⚠️ link tidak dikenali"))</f>
        <v/>
      </c>
      <c r="AQ451" s="66">
        <f>IF($Z451="",0,IF(AND(OR('📊 Dashboard'!$B$4="(Semua)",$F451='📊 Dashboard'!$B$4),OR('📊 Dashboard'!$B$5="(Semua)",$H451='📊 Dashboard'!$B$5),OR('📊 Dashboard'!$B$6="(Semua)",$E451='📊 Dashboard'!$B$6),OR('📊 Dashboard'!$B$7="(Semua)",$AF451='📊 Dashboard'!$B$7),OR('📊 Dashboard'!$B$8="(Semua)",$AG451='📊 Dashboard'!$B$8),OR('📊 Dashboard'!$B$9="(Semua)",$K451='📊 Dashboard'!$B$9)),1,0))</f>
        <v>0</v>
      </c>
      <c r="AR451" s="69"/>
    </row>
    <row r="452" ht="58" customHeight="1" spans="1:44">
      <c r="A452" s="58" t="str">
        <f t="shared" si="49"/>
        <v/>
      </c>
      <c r="B452" s="59"/>
      <c r="C452" s="60"/>
      <c r="D452" s="60"/>
      <c r="E452" s="58" t="str">
        <f t="shared" si="50"/>
        <v/>
      </c>
      <c r="F452" s="61"/>
      <c r="G452" s="61"/>
      <c r="H452" s="61"/>
      <c r="I452" s="61"/>
      <c r="J452" s="61"/>
      <c r="K452" s="61"/>
      <c r="L452" s="61"/>
      <c r="M452" s="61"/>
      <c r="N452" s="62"/>
      <c r="O452" s="62"/>
      <c r="P452" s="62"/>
      <c r="Q452" s="62"/>
      <c r="R452" s="63" t="str">
        <f>IFERROR(IF(OR($N452="",$O452="",$F452=""),"",ROUND(('⚙️ Setelan'!$B$3*'⚙️ Setelan'!$B$4/100)/(ABS($N452-$O452)*VLOOKUP($F452,'⚙️ Setelan'!$A$14:$F$20,4,FALSE)),2)),"")</f>
        <v/>
      </c>
      <c r="S452" s="64"/>
      <c r="T452" s="65" t="str">
        <f>IFERROR(IF(OR($N452="",$O452="",$S452=""),"",ABS($N452-$O452)*$S452*VLOOKUP($F452,'⚙️ Setelan'!$A$14:$F$20,4,FALSE)),"")</f>
        <v/>
      </c>
      <c r="U452" s="63" t="str">
        <f t="shared" si="51"/>
        <v/>
      </c>
      <c r="V452" s="65" t="str">
        <f>IFERROR(IF(OR($Q452="",$N452="",$S452=""),"",($Q452-$N452)*IF($G452="Buy",1,-1)*$S452*VLOOKUP($F452,'⚙️ Setelan'!$A$14:$F$20,4,FALSE)),"")</f>
        <v/>
      </c>
      <c r="W452" s="65" t="str">
        <f>IFERROR(IF(OR($S452="",$F452=""),"",$S452*VLOOKUP($F452,'⚙️ Setelan'!$A$14:$F$20,5,FALSE)),"")</f>
        <v/>
      </c>
      <c r="X452" s="65" t="str">
        <f t="shared" si="52"/>
        <v/>
      </c>
      <c r="Y452" s="63" t="str">
        <f t="shared" si="53"/>
        <v/>
      </c>
      <c r="Z452" s="58" t="str">
        <f t="shared" si="54"/>
        <v/>
      </c>
      <c r="AA452" s="66" t="str">
        <f t="shared" si="55"/>
        <v/>
      </c>
      <c r="AB452" s="62"/>
      <c r="AC452" s="62"/>
      <c r="AD452" s="63" t="str">
        <f>IFERROR(IF(OR($AB452="",$T452="",$T452=0),"",ROUND(ABS($N452-$AB452)*$S452*VLOOKUP($F452,'⚙️ Setelan'!$A$14:$F$20,4,FALSE)/$T452,2)),"")</f>
        <v/>
      </c>
      <c r="AE452" s="63" t="str">
        <f>IFERROR(IF(OR($AC452="",$T452="",$T452=0),"",ROUND(ABS($AC452-$N452)*$S452*VLOOKUP($F452,'⚙️ Setelan'!$A$14:$F$20,4,FALSE)/$T452,2)),"")</f>
        <v/>
      </c>
      <c r="AF452" s="61"/>
      <c r="AG452" s="61"/>
      <c r="AH452" s="61"/>
      <c r="AI452" s="61"/>
      <c r="AJ452" s="61"/>
      <c r="AK452" s="67"/>
      <c r="AL452" s="58" t="str">
        <f>IF(OR($C452="",$B452=""),"",IF(AND($Z451="Loss",$B452=$B451,MOD($C452-$D451,1)*1440&lt;'⚙️ Setelan'!$B$9),"⚠️ Revenge",""))</f>
        <v/>
      </c>
      <c r="AM452" s="68"/>
      <c r="AN452" s="58" t="str">
        <f>IF($AM452="","",IFERROR(_xlfn.IMAGE(IF(REGEXMATCH($AM452,"\.(png|jpg|jpeg|gif)$"),$AM452,"https://s3.tradingview.com/snapshots/"&amp;LOWER(MID(REGEXEXTRACT($AM452,"/x/([A-Za-z0-9]+)"),1,1))&amp;"/"&amp;REGEXEXTRACT($AM452,"/x/([A-Za-z0-9]+)")&amp;".png"),1),"⚠️ link tidak dikenali"))</f>
        <v/>
      </c>
      <c r="AO452" s="68"/>
      <c r="AP452" s="58" t="str">
        <f>IF($AO452="","",IFERROR(_xlfn.IMAGE(IF(REGEXMATCH($AO452,"\.(png|jpg|jpeg|gif)$"),$AO452,"https://s3.tradingview.com/snapshots/"&amp;LOWER(MID(REGEXEXTRACT($AO452,"/x/([A-Za-z0-9]+)"),1,1))&amp;"/"&amp;REGEXEXTRACT($AO452,"/x/([A-Za-z0-9]+)")&amp;".png"),1),"⚠️ link tidak dikenali"))</f>
        <v/>
      </c>
      <c r="AQ452" s="66">
        <f>IF($Z452="",0,IF(AND(OR('📊 Dashboard'!$B$4="(Semua)",$F452='📊 Dashboard'!$B$4),OR('📊 Dashboard'!$B$5="(Semua)",$H452='📊 Dashboard'!$B$5),OR('📊 Dashboard'!$B$6="(Semua)",$E452='📊 Dashboard'!$B$6),OR('📊 Dashboard'!$B$7="(Semua)",$AF452='📊 Dashboard'!$B$7),OR('📊 Dashboard'!$B$8="(Semua)",$AG452='📊 Dashboard'!$B$8),OR('📊 Dashboard'!$B$9="(Semua)",$K452='📊 Dashboard'!$B$9)),1,0))</f>
        <v>0</v>
      </c>
      <c r="AR452" s="69"/>
    </row>
    <row r="453" ht="58" customHeight="1" spans="1:44">
      <c r="A453" s="58" t="str">
        <f t="shared" si="49"/>
        <v/>
      </c>
      <c r="B453" s="59"/>
      <c r="C453" s="60"/>
      <c r="D453" s="60"/>
      <c r="E453" s="58" t="str">
        <f t="shared" si="50"/>
        <v/>
      </c>
      <c r="F453" s="61"/>
      <c r="G453" s="61"/>
      <c r="H453" s="61"/>
      <c r="I453" s="61"/>
      <c r="J453" s="61"/>
      <c r="K453" s="61"/>
      <c r="L453" s="61"/>
      <c r="M453" s="61"/>
      <c r="N453" s="62"/>
      <c r="O453" s="62"/>
      <c r="P453" s="62"/>
      <c r="Q453" s="62"/>
      <c r="R453" s="63" t="str">
        <f>IFERROR(IF(OR($N453="",$O453="",$F453=""),"",ROUND(('⚙️ Setelan'!$B$3*'⚙️ Setelan'!$B$4/100)/(ABS($N453-$O453)*VLOOKUP($F453,'⚙️ Setelan'!$A$14:$F$20,4,FALSE)),2)),"")</f>
        <v/>
      </c>
      <c r="S453" s="64"/>
      <c r="T453" s="65" t="str">
        <f>IFERROR(IF(OR($N453="",$O453="",$S453=""),"",ABS($N453-$O453)*$S453*VLOOKUP($F453,'⚙️ Setelan'!$A$14:$F$20,4,FALSE)),"")</f>
        <v/>
      </c>
      <c r="U453" s="63" t="str">
        <f t="shared" si="51"/>
        <v/>
      </c>
      <c r="V453" s="65" t="str">
        <f>IFERROR(IF(OR($Q453="",$N453="",$S453=""),"",($Q453-$N453)*IF($G453="Buy",1,-1)*$S453*VLOOKUP($F453,'⚙️ Setelan'!$A$14:$F$20,4,FALSE)),"")</f>
        <v/>
      </c>
      <c r="W453" s="65" t="str">
        <f>IFERROR(IF(OR($S453="",$F453=""),"",$S453*VLOOKUP($F453,'⚙️ Setelan'!$A$14:$F$20,5,FALSE)),"")</f>
        <v/>
      </c>
      <c r="X453" s="65" t="str">
        <f t="shared" si="52"/>
        <v/>
      </c>
      <c r="Y453" s="63" t="str">
        <f t="shared" si="53"/>
        <v/>
      </c>
      <c r="Z453" s="58" t="str">
        <f t="shared" si="54"/>
        <v/>
      </c>
      <c r="AA453" s="66" t="str">
        <f t="shared" si="55"/>
        <v/>
      </c>
      <c r="AB453" s="62"/>
      <c r="AC453" s="62"/>
      <c r="AD453" s="63" t="str">
        <f>IFERROR(IF(OR($AB453="",$T453="",$T453=0),"",ROUND(ABS($N453-$AB453)*$S453*VLOOKUP($F453,'⚙️ Setelan'!$A$14:$F$20,4,FALSE)/$T453,2)),"")</f>
        <v/>
      </c>
      <c r="AE453" s="63" t="str">
        <f>IFERROR(IF(OR($AC453="",$T453="",$T453=0),"",ROUND(ABS($AC453-$N453)*$S453*VLOOKUP($F453,'⚙️ Setelan'!$A$14:$F$20,4,FALSE)/$T453,2)),"")</f>
        <v/>
      </c>
      <c r="AF453" s="61"/>
      <c r="AG453" s="61"/>
      <c r="AH453" s="61"/>
      <c r="AI453" s="61"/>
      <c r="AJ453" s="61"/>
      <c r="AK453" s="67"/>
      <c r="AL453" s="58" t="str">
        <f>IF(OR($C453="",$B453=""),"",IF(AND($Z452="Loss",$B453=$B452,MOD($C453-$D452,1)*1440&lt;'⚙️ Setelan'!$B$9),"⚠️ Revenge",""))</f>
        <v/>
      </c>
      <c r="AM453" s="68"/>
      <c r="AN453" s="58" t="str">
        <f>IF($AM453="","",IFERROR(_xlfn.IMAGE(IF(REGEXMATCH($AM453,"\.(png|jpg|jpeg|gif)$"),$AM453,"https://s3.tradingview.com/snapshots/"&amp;LOWER(MID(REGEXEXTRACT($AM453,"/x/([A-Za-z0-9]+)"),1,1))&amp;"/"&amp;REGEXEXTRACT($AM453,"/x/([A-Za-z0-9]+)")&amp;".png"),1),"⚠️ link tidak dikenali"))</f>
        <v/>
      </c>
      <c r="AO453" s="68"/>
      <c r="AP453" s="58" t="str">
        <f>IF($AO453="","",IFERROR(_xlfn.IMAGE(IF(REGEXMATCH($AO453,"\.(png|jpg|jpeg|gif)$"),$AO453,"https://s3.tradingview.com/snapshots/"&amp;LOWER(MID(REGEXEXTRACT($AO453,"/x/([A-Za-z0-9]+)"),1,1))&amp;"/"&amp;REGEXEXTRACT($AO453,"/x/([A-Za-z0-9]+)")&amp;".png"),1),"⚠️ link tidak dikenali"))</f>
        <v/>
      </c>
      <c r="AQ453" s="66">
        <f>IF($Z453="",0,IF(AND(OR('📊 Dashboard'!$B$4="(Semua)",$F453='📊 Dashboard'!$B$4),OR('📊 Dashboard'!$B$5="(Semua)",$H453='📊 Dashboard'!$B$5),OR('📊 Dashboard'!$B$6="(Semua)",$E453='📊 Dashboard'!$B$6),OR('📊 Dashboard'!$B$7="(Semua)",$AF453='📊 Dashboard'!$B$7),OR('📊 Dashboard'!$B$8="(Semua)",$AG453='📊 Dashboard'!$B$8),OR('📊 Dashboard'!$B$9="(Semua)",$K453='📊 Dashboard'!$B$9)),1,0))</f>
        <v>0</v>
      </c>
      <c r="AR453" s="69"/>
    </row>
    <row r="454" ht="58" customHeight="1" spans="1:44">
      <c r="A454" s="58" t="str">
        <f t="shared" si="49"/>
        <v/>
      </c>
      <c r="B454" s="59"/>
      <c r="C454" s="60"/>
      <c r="D454" s="60"/>
      <c r="E454" s="58" t="str">
        <f t="shared" si="50"/>
        <v/>
      </c>
      <c r="F454" s="61"/>
      <c r="G454" s="61"/>
      <c r="H454" s="61"/>
      <c r="I454" s="61"/>
      <c r="J454" s="61"/>
      <c r="K454" s="61"/>
      <c r="L454" s="61"/>
      <c r="M454" s="61"/>
      <c r="N454" s="62"/>
      <c r="O454" s="62"/>
      <c r="P454" s="62"/>
      <c r="Q454" s="62"/>
      <c r="R454" s="63" t="str">
        <f>IFERROR(IF(OR($N454="",$O454="",$F454=""),"",ROUND(('⚙️ Setelan'!$B$3*'⚙️ Setelan'!$B$4/100)/(ABS($N454-$O454)*VLOOKUP($F454,'⚙️ Setelan'!$A$14:$F$20,4,FALSE)),2)),"")</f>
        <v/>
      </c>
      <c r="S454" s="64"/>
      <c r="T454" s="65" t="str">
        <f>IFERROR(IF(OR($N454="",$O454="",$S454=""),"",ABS($N454-$O454)*$S454*VLOOKUP($F454,'⚙️ Setelan'!$A$14:$F$20,4,FALSE)),"")</f>
        <v/>
      </c>
      <c r="U454" s="63" t="str">
        <f t="shared" si="51"/>
        <v/>
      </c>
      <c r="V454" s="65" t="str">
        <f>IFERROR(IF(OR($Q454="",$N454="",$S454=""),"",($Q454-$N454)*IF($G454="Buy",1,-1)*$S454*VLOOKUP($F454,'⚙️ Setelan'!$A$14:$F$20,4,FALSE)),"")</f>
        <v/>
      </c>
      <c r="W454" s="65" t="str">
        <f>IFERROR(IF(OR($S454="",$F454=""),"",$S454*VLOOKUP($F454,'⚙️ Setelan'!$A$14:$F$20,5,FALSE)),"")</f>
        <v/>
      </c>
      <c r="X454" s="65" t="str">
        <f t="shared" si="52"/>
        <v/>
      </c>
      <c r="Y454" s="63" t="str">
        <f t="shared" si="53"/>
        <v/>
      </c>
      <c r="Z454" s="58" t="str">
        <f t="shared" si="54"/>
        <v/>
      </c>
      <c r="AA454" s="66" t="str">
        <f t="shared" si="55"/>
        <v/>
      </c>
      <c r="AB454" s="62"/>
      <c r="AC454" s="62"/>
      <c r="AD454" s="63" t="str">
        <f>IFERROR(IF(OR($AB454="",$T454="",$T454=0),"",ROUND(ABS($N454-$AB454)*$S454*VLOOKUP($F454,'⚙️ Setelan'!$A$14:$F$20,4,FALSE)/$T454,2)),"")</f>
        <v/>
      </c>
      <c r="AE454" s="63" t="str">
        <f>IFERROR(IF(OR($AC454="",$T454="",$T454=0),"",ROUND(ABS($AC454-$N454)*$S454*VLOOKUP($F454,'⚙️ Setelan'!$A$14:$F$20,4,FALSE)/$T454,2)),"")</f>
        <v/>
      </c>
      <c r="AF454" s="61"/>
      <c r="AG454" s="61"/>
      <c r="AH454" s="61"/>
      <c r="AI454" s="61"/>
      <c r="AJ454" s="61"/>
      <c r="AK454" s="67"/>
      <c r="AL454" s="58" t="str">
        <f>IF(OR($C454="",$B454=""),"",IF(AND($Z453="Loss",$B454=$B453,MOD($C454-$D453,1)*1440&lt;'⚙️ Setelan'!$B$9),"⚠️ Revenge",""))</f>
        <v/>
      </c>
      <c r="AM454" s="68"/>
      <c r="AN454" s="58" t="str">
        <f>IF($AM454="","",IFERROR(_xlfn.IMAGE(IF(REGEXMATCH($AM454,"\.(png|jpg|jpeg|gif)$"),$AM454,"https://s3.tradingview.com/snapshots/"&amp;LOWER(MID(REGEXEXTRACT($AM454,"/x/([A-Za-z0-9]+)"),1,1))&amp;"/"&amp;REGEXEXTRACT($AM454,"/x/([A-Za-z0-9]+)")&amp;".png"),1),"⚠️ link tidak dikenali"))</f>
        <v/>
      </c>
      <c r="AO454" s="68"/>
      <c r="AP454" s="58" t="str">
        <f>IF($AO454="","",IFERROR(_xlfn.IMAGE(IF(REGEXMATCH($AO454,"\.(png|jpg|jpeg|gif)$"),$AO454,"https://s3.tradingview.com/snapshots/"&amp;LOWER(MID(REGEXEXTRACT($AO454,"/x/([A-Za-z0-9]+)"),1,1))&amp;"/"&amp;REGEXEXTRACT($AO454,"/x/([A-Za-z0-9]+)")&amp;".png"),1),"⚠️ link tidak dikenali"))</f>
        <v/>
      </c>
      <c r="AQ454" s="66">
        <f>IF($Z454="",0,IF(AND(OR('📊 Dashboard'!$B$4="(Semua)",$F454='📊 Dashboard'!$B$4),OR('📊 Dashboard'!$B$5="(Semua)",$H454='📊 Dashboard'!$B$5),OR('📊 Dashboard'!$B$6="(Semua)",$E454='📊 Dashboard'!$B$6),OR('📊 Dashboard'!$B$7="(Semua)",$AF454='📊 Dashboard'!$B$7),OR('📊 Dashboard'!$B$8="(Semua)",$AG454='📊 Dashboard'!$B$8),OR('📊 Dashboard'!$B$9="(Semua)",$K454='📊 Dashboard'!$B$9)),1,0))</f>
        <v>0</v>
      </c>
      <c r="AR454" s="69"/>
    </row>
    <row r="455" ht="58" customHeight="1" spans="1:44">
      <c r="A455" s="58" t="str">
        <f t="shared" si="49"/>
        <v/>
      </c>
      <c r="B455" s="59"/>
      <c r="C455" s="60"/>
      <c r="D455" s="60"/>
      <c r="E455" s="58" t="str">
        <f t="shared" si="50"/>
        <v/>
      </c>
      <c r="F455" s="61"/>
      <c r="G455" s="61"/>
      <c r="H455" s="61"/>
      <c r="I455" s="61"/>
      <c r="J455" s="61"/>
      <c r="K455" s="61"/>
      <c r="L455" s="61"/>
      <c r="M455" s="61"/>
      <c r="N455" s="62"/>
      <c r="O455" s="62"/>
      <c r="P455" s="62"/>
      <c r="Q455" s="62"/>
      <c r="R455" s="63" t="str">
        <f>IFERROR(IF(OR($N455="",$O455="",$F455=""),"",ROUND(('⚙️ Setelan'!$B$3*'⚙️ Setelan'!$B$4/100)/(ABS($N455-$O455)*VLOOKUP($F455,'⚙️ Setelan'!$A$14:$F$20,4,FALSE)),2)),"")</f>
        <v/>
      </c>
      <c r="S455" s="64"/>
      <c r="T455" s="65" t="str">
        <f>IFERROR(IF(OR($N455="",$O455="",$S455=""),"",ABS($N455-$O455)*$S455*VLOOKUP($F455,'⚙️ Setelan'!$A$14:$F$20,4,FALSE)),"")</f>
        <v/>
      </c>
      <c r="U455" s="63" t="str">
        <f t="shared" si="51"/>
        <v/>
      </c>
      <c r="V455" s="65" t="str">
        <f>IFERROR(IF(OR($Q455="",$N455="",$S455=""),"",($Q455-$N455)*IF($G455="Buy",1,-1)*$S455*VLOOKUP($F455,'⚙️ Setelan'!$A$14:$F$20,4,FALSE)),"")</f>
        <v/>
      </c>
      <c r="W455" s="65" t="str">
        <f>IFERROR(IF(OR($S455="",$F455=""),"",$S455*VLOOKUP($F455,'⚙️ Setelan'!$A$14:$F$20,5,FALSE)),"")</f>
        <v/>
      </c>
      <c r="X455" s="65" t="str">
        <f t="shared" si="52"/>
        <v/>
      </c>
      <c r="Y455" s="63" t="str">
        <f t="shared" si="53"/>
        <v/>
      </c>
      <c r="Z455" s="58" t="str">
        <f t="shared" si="54"/>
        <v/>
      </c>
      <c r="AA455" s="66" t="str">
        <f t="shared" si="55"/>
        <v/>
      </c>
      <c r="AB455" s="62"/>
      <c r="AC455" s="62"/>
      <c r="AD455" s="63" t="str">
        <f>IFERROR(IF(OR($AB455="",$T455="",$T455=0),"",ROUND(ABS($N455-$AB455)*$S455*VLOOKUP($F455,'⚙️ Setelan'!$A$14:$F$20,4,FALSE)/$T455,2)),"")</f>
        <v/>
      </c>
      <c r="AE455" s="63" t="str">
        <f>IFERROR(IF(OR($AC455="",$T455="",$T455=0),"",ROUND(ABS($AC455-$N455)*$S455*VLOOKUP($F455,'⚙️ Setelan'!$A$14:$F$20,4,FALSE)/$T455,2)),"")</f>
        <v/>
      </c>
      <c r="AF455" s="61"/>
      <c r="AG455" s="61"/>
      <c r="AH455" s="61"/>
      <c r="AI455" s="61"/>
      <c r="AJ455" s="61"/>
      <c r="AK455" s="67"/>
      <c r="AL455" s="58" t="str">
        <f>IF(OR($C455="",$B455=""),"",IF(AND($Z454="Loss",$B455=$B454,MOD($C455-$D454,1)*1440&lt;'⚙️ Setelan'!$B$9),"⚠️ Revenge",""))</f>
        <v/>
      </c>
      <c r="AM455" s="68"/>
      <c r="AN455" s="58" t="str">
        <f>IF($AM455="","",IFERROR(_xlfn.IMAGE(IF(REGEXMATCH($AM455,"\.(png|jpg|jpeg|gif)$"),$AM455,"https://s3.tradingview.com/snapshots/"&amp;LOWER(MID(REGEXEXTRACT($AM455,"/x/([A-Za-z0-9]+)"),1,1))&amp;"/"&amp;REGEXEXTRACT($AM455,"/x/([A-Za-z0-9]+)")&amp;".png"),1),"⚠️ link tidak dikenali"))</f>
        <v/>
      </c>
      <c r="AO455" s="68"/>
      <c r="AP455" s="58" t="str">
        <f>IF($AO455="","",IFERROR(_xlfn.IMAGE(IF(REGEXMATCH($AO455,"\.(png|jpg|jpeg|gif)$"),$AO455,"https://s3.tradingview.com/snapshots/"&amp;LOWER(MID(REGEXEXTRACT($AO455,"/x/([A-Za-z0-9]+)"),1,1))&amp;"/"&amp;REGEXEXTRACT($AO455,"/x/([A-Za-z0-9]+)")&amp;".png"),1),"⚠️ link tidak dikenali"))</f>
        <v/>
      </c>
      <c r="AQ455" s="66">
        <f>IF($Z455="",0,IF(AND(OR('📊 Dashboard'!$B$4="(Semua)",$F455='📊 Dashboard'!$B$4),OR('📊 Dashboard'!$B$5="(Semua)",$H455='📊 Dashboard'!$B$5),OR('📊 Dashboard'!$B$6="(Semua)",$E455='📊 Dashboard'!$B$6),OR('📊 Dashboard'!$B$7="(Semua)",$AF455='📊 Dashboard'!$B$7),OR('📊 Dashboard'!$B$8="(Semua)",$AG455='📊 Dashboard'!$B$8),OR('📊 Dashboard'!$B$9="(Semua)",$K455='📊 Dashboard'!$B$9)),1,0))</f>
        <v>0</v>
      </c>
      <c r="AR455" s="69"/>
    </row>
    <row r="456" ht="58" customHeight="1" spans="1:44">
      <c r="A456" s="58" t="str">
        <f t="shared" si="49"/>
        <v/>
      </c>
      <c r="B456" s="59"/>
      <c r="C456" s="60"/>
      <c r="D456" s="60"/>
      <c r="E456" s="58" t="str">
        <f t="shared" si="50"/>
        <v/>
      </c>
      <c r="F456" s="61"/>
      <c r="G456" s="61"/>
      <c r="H456" s="61"/>
      <c r="I456" s="61"/>
      <c r="J456" s="61"/>
      <c r="K456" s="61"/>
      <c r="L456" s="61"/>
      <c r="M456" s="61"/>
      <c r="N456" s="62"/>
      <c r="O456" s="62"/>
      <c r="P456" s="62"/>
      <c r="Q456" s="62"/>
      <c r="R456" s="63" t="str">
        <f>IFERROR(IF(OR($N456="",$O456="",$F456=""),"",ROUND(('⚙️ Setelan'!$B$3*'⚙️ Setelan'!$B$4/100)/(ABS($N456-$O456)*VLOOKUP($F456,'⚙️ Setelan'!$A$14:$F$20,4,FALSE)),2)),"")</f>
        <v/>
      </c>
      <c r="S456" s="64"/>
      <c r="T456" s="65" t="str">
        <f>IFERROR(IF(OR($N456="",$O456="",$S456=""),"",ABS($N456-$O456)*$S456*VLOOKUP($F456,'⚙️ Setelan'!$A$14:$F$20,4,FALSE)),"")</f>
        <v/>
      </c>
      <c r="U456" s="63" t="str">
        <f t="shared" si="51"/>
        <v/>
      </c>
      <c r="V456" s="65" t="str">
        <f>IFERROR(IF(OR($Q456="",$N456="",$S456=""),"",($Q456-$N456)*IF($G456="Buy",1,-1)*$S456*VLOOKUP($F456,'⚙️ Setelan'!$A$14:$F$20,4,FALSE)),"")</f>
        <v/>
      </c>
      <c r="W456" s="65" t="str">
        <f>IFERROR(IF(OR($S456="",$F456=""),"",$S456*VLOOKUP($F456,'⚙️ Setelan'!$A$14:$F$20,5,FALSE)),"")</f>
        <v/>
      </c>
      <c r="X456" s="65" t="str">
        <f t="shared" si="52"/>
        <v/>
      </c>
      <c r="Y456" s="63" t="str">
        <f t="shared" si="53"/>
        <v/>
      </c>
      <c r="Z456" s="58" t="str">
        <f t="shared" si="54"/>
        <v/>
      </c>
      <c r="AA456" s="66" t="str">
        <f t="shared" si="55"/>
        <v/>
      </c>
      <c r="AB456" s="62"/>
      <c r="AC456" s="62"/>
      <c r="AD456" s="63" t="str">
        <f>IFERROR(IF(OR($AB456="",$T456="",$T456=0),"",ROUND(ABS($N456-$AB456)*$S456*VLOOKUP($F456,'⚙️ Setelan'!$A$14:$F$20,4,FALSE)/$T456,2)),"")</f>
        <v/>
      </c>
      <c r="AE456" s="63" t="str">
        <f>IFERROR(IF(OR($AC456="",$T456="",$T456=0),"",ROUND(ABS($AC456-$N456)*$S456*VLOOKUP($F456,'⚙️ Setelan'!$A$14:$F$20,4,FALSE)/$T456,2)),"")</f>
        <v/>
      </c>
      <c r="AF456" s="61"/>
      <c r="AG456" s="61"/>
      <c r="AH456" s="61"/>
      <c r="AI456" s="61"/>
      <c r="AJ456" s="61"/>
      <c r="AK456" s="67"/>
      <c r="AL456" s="58" t="str">
        <f>IF(OR($C456="",$B456=""),"",IF(AND($Z455="Loss",$B456=$B455,MOD($C456-$D455,1)*1440&lt;'⚙️ Setelan'!$B$9),"⚠️ Revenge",""))</f>
        <v/>
      </c>
      <c r="AM456" s="68"/>
      <c r="AN456" s="58" t="str">
        <f>IF($AM456="","",IFERROR(_xlfn.IMAGE(IF(REGEXMATCH($AM456,"\.(png|jpg|jpeg|gif)$"),$AM456,"https://s3.tradingview.com/snapshots/"&amp;LOWER(MID(REGEXEXTRACT($AM456,"/x/([A-Za-z0-9]+)"),1,1))&amp;"/"&amp;REGEXEXTRACT($AM456,"/x/([A-Za-z0-9]+)")&amp;".png"),1),"⚠️ link tidak dikenali"))</f>
        <v/>
      </c>
      <c r="AO456" s="68"/>
      <c r="AP456" s="58" t="str">
        <f>IF($AO456="","",IFERROR(_xlfn.IMAGE(IF(REGEXMATCH($AO456,"\.(png|jpg|jpeg|gif)$"),$AO456,"https://s3.tradingview.com/snapshots/"&amp;LOWER(MID(REGEXEXTRACT($AO456,"/x/([A-Za-z0-9]+)"),1,1))&amp;"/"&amp;REGEXEXTRACT($AO456,"/x/([A-Za-z0-9]+)")&amp;".png"),1),"⚠️ link tidak dikenali"))</f>
        <v/>
      </c>
      <c r="AQ456" s="66">
        <f>IF($Z456="",0,IF(AND(OR('📊 Dashboard'!$B$4="(Semua)",$F456='📊 Dashboard'!$B$4),OR('📊 Dashboard'!$B$5="(Semua)",$H456='📊 Dashboard'!$B$5),OR('📊 Dashboard'!$B$6="(Semua)",$E456='📊 Dashboard'!$B$6),OR('📊 Dashboard'!$B$7="(Semua)",$AF456='📊 Dashboard'!$B$7),OR('📊 Dashboard'!$B$8="(Semua)",$AG456='📊 Dashboard'!$B$8),OR('📊 Dashboard'!$B$9="(Semua)",$K456='📊 Dashboard'!$B$9)),1,0))</f>
        <v>0</v>
      </c>
      <c r="AR456" s="69"/>
    </row>
    <row r="457" ht="58" customHeight="1" spans="1:44">
      <c r="A457" s="58" t="str">
        <f t="shared" si="49"/>
        <v/>
      </c>
      <c r="B457" s="59"/>
      <c r="C457" s="60"/>
      <c r="D457" s="60"/>
      <c r="E457" s="58" t="str">
        <f t="shared" si="50"/>
        <v/>
      </c>
      <c r="F457" s="61"/>
      <c r="G457" s="61"/>
      <c r="H457" s="61"/>
      <c r="I457" s="61"/>
      <c r="J457" s="61"/>
      <c r="K457" s="61"/>
      <c r="L457" s="61"/>
      <c r="M457" s="61"/>
      <c r="N457" s="62"/>
      <c r="O457" s="62"/>
      <c r="P457" s="62"/>
      <c r="Q457" s="62"/>
      <c r="R457" s="63" t="str">
        <f>IFERROR(IF(OR($N457="",$O457="",$F457=""),"",ROUND(('⚙️ Setelan'!$B$3*'⚙️ Setelan'!$B$4/100)/(ABS($N457-$O457)*VLOOKUP($F457,'⚙️ Setelan'!$A$14:$F$20,4,FALSE)),2)),"")</f>
        <v/>
      </c>
      <c r="S457" s="64"/>
      <c r="T457" s="65" t="str">
        <f>IFERROR(IF(OR($N457="",$O457="",$S457=""),"",ABS($N457-$O457)*$S457*VLOOKUP($F457,'⚙️ Setelan'!$A$14:$F$20,4,FALSE)),"")</f>
        <v/>
      </c>
      <c r="U457" s="63" t="str">
        <f t="shared" si="51"/>
        <v/>
      </c>
      <c r="V457" s="65" t="str">
        <f>IFERROR(IF(OR($Q457="",$N457="",$S457=""),"",($Q457-$N457)*IF($G457="Buy",1,-1)*$S457*VLOOKUP($F457,'⚙️ Setelan'!$A$14:$F$20,4,FALSE)),"")</f>
        <v/>
      </c>
      <c r="W457" s="65" t="str">
        <f>IFERROR(IF(OR($S457="",$F457=""),"",$S457*VLOOKUP($F457,'⚙️ Setelan'!$A$14:$F$20,5,FALSE)),"")</f>
        <v/>
      </c>
      <c r="X457" s="65" t="str">
        <f t="shared" si="52"/>
        <v/>
      </c>
      <c r="Y457" s="63" t="str">
        <f t="shared" si="53"/>
        <v/>
      </c>
      <c r="Z457" s="58" t="str">
        <f t="shared" si="54"/>
        <v/>
      </c>
      <c r="AA457" s="66" t="str">
        <f t="shared" si="55"/>
        <v/>
      </c>
      <c r="AB457" s="62"/>
      <c r="AC457" s="62"/>
      <c r="AD457" s="63" t="str">
        <f>IFERROR(IF(OR($AB457="",$T457="",$T457=0),"",ROUND(ABS($N457-$AB457)*$S457*VLOOKUP($F457,'⚙️ Setelan'!$A$14:$F$20,4,FALSE)/$T457,2)),"")</f>
        <v/>
      </c>
      <c r="AE457" s="63" t="str">
        <f>IFERROR(IF(OR($AC457="",$T457="",$T457=0),"",ROUND(ABS($AC457-$N457)*$S457*VLOOKUP($F457,'⚙️ Setelan'!$A$14:$F$20,4,FALSE)/$T457,2)),"")</f>
        <v/>
      </c>
      <c r="AF457" s="61"/>
      <c r="AG457" s="61"/>
      <c r="AH457" s="61"/>
      <c r="AI457" s="61"/>
      <c r="AJ457" s="61"/>
      <c r="AK457" s="67"/>
      <c r="AL457" s="58" t="str">
        <f>IF(OR($C457="",$B457=""),"",IF(AND($Z456="Loss",$B457=$B456,MOD($C457-$D456,1)*1440&lt;'⚙️ Setelan'!$B$9),"⚠️ Revenge",""))</f>
        <v/>
      </c>
      <c r="AM457" s="68"/>
      <c r="AN457" s="58" t="str">
        <f>IF($AM457="","",IFERROR(_xlfn.IMAGE(IF(REGEXMATCH($AM457,"\.(png|jpg|jpeg|gif)$"),$AM457,"https://s3.tradingview.com/snapshots/"&amp;LOWER(MID(REGEXEXTRACT($AM457,"/x/([A-Za-z0-9]+)"),1,1))&amp;"/"&amp;REGEXEXTRACT($AM457,"/x/([A-Za-z0-9]+)")&amp;".png"),1),"⚠️ link tidak dikenali"))</f>
        <v/>
      </c>
      <c r="AO457" s="68"/>
      <c r="AP457" s="58" t="str">
        <f>IF($AO457="","",IFERROR(_xlfn.IMAGE(IF(REGEXMATCH($AO457,"\.(png|jpg|jpeg|gif)$"),$AO457,"https://s3.tradingview.com/snapshots/"&amp;LOWER(MID(REGEXEXTRACT($AO457,"/x/([A-Za-z0-9]+)"),1,1))&amp;"/"&amp;REGEXEXTRACT($AO457,"/x/([A-Za-z0-9]+)")&amp;".png"),1),"⚠️ link tidak dikenali"))</f>
        <v/>
      </c>
      <c r="AQ457" s="66">
        <f>IF($Z457="",0,IF(AND(OR('📊 Dashboard'!$B$4="(Semua)",$F457='📊 Dashboard'!$B$4),OR('📊 Dashboard'!$B$5="(Semua)",$H457='📊 Dashboard'!$B$5),OR('📊 Dashboard'!$B$6="(Semua)",$E457='📊 Dashboard'!$B$6),OR('📊 Dashboard'!$B$7="(Semua)",$AF457='📊 Dashboard'!$B$7),OR('📊 Dashboard'!$B$8="(Semua)",$AG457='📊 Dashboard'!$B$8),OR('📊 Dashboard'!$B$9="(Semua)",$K457='📊 Dashboard'!$B$9)),1,0))</f>
        <v>0</v>
      </c>
      <c r="AR457" s="69"/>
    </row>
    <row r="458" ht="58" customHeight="1" spans="1:44">
      <c r="A458" s="58" t="str">
        <f t="shared" si="49"/>
        <v/>
      </c>
      <c r="B458" s="59"/>
      <c r="C458" s="60"/>
      <c r="D458" s="60"/>
      <c r="E458" s="58" t="str">
        <f t="shared" si="50"/>
        <v/>
      </c>
      <c r="F458" s="61"/>
      <c r="G458" s="61"/>
      <c r="H458" s="61"/>
      <c r="I458" s="61"/>
      <c r="J458" s="61"/>
      <c r="K458" s="61"/>
      <c r="L458" s="61"/>
      <c r="M458" s="61"/>
      <c r="N458" s="62"/>
      <c r="O458" s="62"/>
      <c r="P458" s="62"/>
      <c r="Q458" s="62"/>
      <c r="R458" s="63" t="str">
        <f>IFERROR(IF(OR($N458="",$O458="",$F458=""),"",ROUND(('⚙️ Setelan'!$B$3*'⚙️ Setelan'!$B$4/100)/(ABS($N458-$O458)*VLOOKUP($F458,'⚙️ Setelan'!$A$14:$F$20,4,FALSE)),2)),"")</f>
        <v/>
      </c>
      <c r="S458" s="64"/>
      <c r="T458" s="65" t="str">
        <f>IFERROR(IF(OR($N458="",$O458="",$S458=""),"",ABS($N458-$O458)*$S458*VLOOKUP($F458,'⚙️ Setelan'!$A$14:$F$20,4,FALSE)),"")</f>
        <v/>
      </c>
      <c r="U458" s="63" t="str">
        <f t="shared" si="51"/>
        <v/>
      </c>
      <c r="V458" s="65" t="str">
        <f>IFERROR(IF(OR($Q458="",$N458="",$S458=""),"",($Q458-$N458)*IF($G458="Buy",1,-1)*$S458*VLOOKUP($F458,'⚙️ Setelan'!$A$14:$F$20,4,FALSE)),"")</f>
        <v/>
      </c>
      <c r="W458" s="65" t="str">
        <f>IFERROR(IF(OR($S458="",$F458=""),"",$S458*VLOOKUP($F458,'⚙️ Setelan'!$A$14:$F$20,5,FALSE)),"")</f>
        <v/>
      </c>
      <c r="X458" s="65" t="str">
        <f t="shared" si="52"/>
        <v/>
      </c>
      <c r="Y458" s="63" t="str">
        <f t="shared" si="53"/>
        <v/>
      </c>
      <c r="Z458" s="58" t="str">
        <f t="shared" si="54"/>
        <v/>
      </c>
      <c r="AA458" s="66" t="str">
        <f t="shared" si="55"/>
        <v/>
      </c>
      <c r="AB458" s="62"/>
      <c r="AC458" s="62"/>
      <c r="AD458" s="63" t="str">
        <f>IFERROR(IF(OR($AB458="",$T458="",$T458=0),"",ROUND(ABS($N458-$AB458)*$S458*VLOOKUP($F458,'⚙️ Setelan'!$A$14:$F$20,4,FALSE)/$T458,2)),"")</f>
        <v/>
      </c>
      <c r="AE458" s="63" t="str">
        <f>IFERROR(IF(OR($AC458="",$T458="",$T458=0),"",ROUND(ABS($AC458-$N458)*$S458*VLOOKUP($F458,'⚙️ Setelan'!$A$14:$F$20,4,FALSE)/$T458,2)),"")</f>
        <v/>
      </c>
      <c r="AF458" s="61"/>
      <c r="AG458" s="61"/>
      <c r="AH458" s="61"/>
      <c r="AI458" s="61"/>
      <c r="AJ458" s="61"/>
      <c r="AK458" s="67"/>
      <c r="AL458" s="58" t="str">
        <f>IF(OR($C458="",$B458=""),"",IF(AND($Z457="Loss",$B458=$B457,MOD($C458-$D457,1)*1440&lt;'⚙️ Setelan'!$B$9),"⚠️ Revenge",""))</f>
        <v/>
      </c>
      <c r="AM458" s="68"/>
      <c r="AN458" s="58" t="str">
        <f>IF($AM458="","",IFERROR(_xlfn.IMAGE(IF(REGEXMATCH($AM458,"\.(png|jpg|jpeg|gif)$"),$AM458,"https://s3.tradingview.com/snapshots/"&amp;LOWER(MID(REGEXEXTRACT($AM458,"/x/([A-Za-z0-9]+)"),1,1))&amp;"/"&amp;REGEXEXTRACT($AM458,"/x/([A-Za-z0-9]+)")&amp;".png"),1),"⚠️ link tidak dikenali"))</f>
        <v/>
      </c>
      <c r="AO458" s="68"/>
      <c r="AP458" s="58" t="str">
        <f>IF($AO458="","",IFERROR(_xlfn.IMAGE(IF(REGEXMATCH($AO458,"\.(png|jpg|jpeg|gif)$"),$AO458,"https://s3.tradingview.com/snapshots/"&amp;LOWER(MID(REGEXEXTRACT($AO458,"/x/([A-Za-z0-9]+)"),1,1))&amp;"/"&amp;REGEXEXTRACT($AO458,"/x/([A-Za-z0-9]+)")&amp;".png"),1),"⚠️ link tidak dikenali"))</f>
        <v/>
      </c>
      <c r="AQ458" s="66">
        <f>IF($Z458="",0,IF(AND(OR('📊 Dashboard'!$B$4="(Semua)",$F458='📊 Dashboard'!$B$4),OR('📊 Dashboard'!$B$5="(Semua)",$H458='📊 Dashboard'!$B$5),OR('📊 Dashboard'!$B$6="(Semua)",$E458='📊 Dashboard'!$B$6),OR('📊 Dashboard'!$B$7="(Semua)",$AF458='📊 Dashboard'!$B$7),OR('📊 Dashboard'!$B$8="(Semua)",$AG458='📊 Dashboard'!$B$8),OR('📊 Dashboard'!$B$9="(Semua)",$K458='📊 Dashboard'!$B$9)),1,0))</f>
        <v>0</v>
      </c>
      <c r="AR458" s="69"/>
    </row>
    <row r="459" ht="58" customHeight="1" spans="1:44">
      <c r="A459" s="58" t="str">
        <f t="shared" si="49"/>
        <v/>
      </c>
      <c r="B459" s="59"/>
      <c r="C459" s="60"/>
      <c r="D459" s="60"/>
      <c r="E459" s="58" t="str">
        <f t="shared" si="50"/>
        <v/>
      </c>
      <c r="F459" s="61"/>
      <c r="G459" s="61"/>
      <c r="H459" s="61"/>
      <c r="I459" s="61"/>
      <c r="J459" s="61"/>
      <c r="K459" s="61"/>
      <c r="L459" s="61"/>
      <c r="M459" s="61"/>
      <c r="N459" s="62"/>
      <c r="O459" s="62"/>
      <c r="P459" s="62"/>
      <c r="Q459" s="62"/>
      <c r="R459" s="63" t="str">
        <f>IFERROR(IF(OR($N459="",$O459="",$F459=""),"",ROUND(('⚙️ Setelan'!$B$3*'⚙️ Setelan'!$B$4/100)/(ABS($N459-$O459)*VLOOKUP($F459,'⚙️ Setelan'!$A$14:$F$20,4,FALSE)),2)),"")</f>
        <v/>
      </c>
      <c r="S459" s="64"/>
      <c r="T459" s="65" t="str">
        <f>IFERROR(IF(OR($N459="",$O459="",$S459=""),"",ABS($N459-$O459)*$S459*VLOOKUP($F459,'⚙️ Setelan'!$A$14:$F$20,4,FALSE)),"")</f>
        <v/>
      </c>
      <c r="U459" s="63" t="str">
        <f t="shared" si="51"/>
        <v/>
      </c>
      <c r="V459" s="65" t="str">
        <f>IFERROR(IF(OR($Q459="",$N459="",$S459=""),"",($Q459-$N459)*IF($G459="Buy",1,-1)*$S459*VLOOKUP($F459,'⚙️ Setelan'!$A$14:$F$20,4,FALSE)),"")</f>
        <v/>
      </c>
      <c r="W459" s="65" t="str">
        <f>IFERROR(IF(OR($S459="",$F459=""),"",$S459*VLOOKUP($F459,'⚙️ Setelan'!$A$14:$F$20,5,FALSE)),"")</f>
        <v/>
      </c>
      <c r="X459" s="65" t="str">
        <f t="shared" si="52"/>
        <v/>
      </c>
      <c r="Y459" s="63" t="str">
        <f t="shared" si="53"/>
        <v/>
      </c>
      <c r="Z459" s="58" t="str">
        <f t="shared" si="54"/>
        <v/>
      </c>
      <c r="AA459" s="66" t="str">
        <f t="shared" si="55"/>
        <v/>
      </c>
      <c r="AB459" s="62"/>
      <c r="AC459" s="62"/>
      <c r="AD459" s="63" t="str">
        <f>IFERROR(IF(OR($AB459="",$T459="",$T459=0),"",ROUND(ABS($N459-$AB459)*$S459*VLOOKUP($F459,'⚙️ Setelan'!$A$14:$F$20,4,FALSE)/$T459,2)),"")</f>
        <v/>
      </c>
      <c r="AE459" s="63" t="str">
        <f>IFERROR(IF(OR($AC459="",$T459="",$T459=0),"",ROUND(ABS($AC459-$N459)*$S459*VLOOKUP($F459,'⚙️ Setelan'!$A$14:$F$20,4,FALSE)/$T459,2)),"")</f>
        <v/>
      </c>
      <c r="AF459" s="61"/>
      <c r="AG459" s="61"/>
      <c r="AH459" s="61"/>
      <c r="AI459" s="61"/>
      <c r="AJ459" s="61"/>
      <c r="AK459" s="67"/>
      <c r="AL459" s="58" t="str">
        <f>IF(OR($C459="",$B459=""),"",IF(AND($Z458="Loss",$B459=$B458,MOD($C459-$D458,1)*1440&lt;'⚙️ Setelan'!$B$9),"⚠️ Revenge",""))</f>
        <v/>
      </c>
      <c r="AM459" s="68"/>
      <c r="AN459" s="58" t="str">
        <f>IF($AM459="","",IFERROR(_xlfn.IMAGE(IF(REGEXMATCH($AM459,"\.(png|jpg|jpeg|gif)$"),$AM459,"https://s3.tradingview.com/snapshots/"&amp;LOWER(MID(REGEXEXTRACT($AM459,"/x/([A-Za-z0-9]+)"),1,1))&amp;"/"&amp;REGEXEXTRACT($AM459,"/x/([A-Za-z0-9]+)")&amp;".png"),1),"⚠️ link tidak dikenali"))</f>
        <v/>
      </c>
      <c r="AO459" s="68"/>
      <c r="AP459" s="58" t="str">
        <f>IF($AO459="","",IFERROR(_xlfn.IMAGE(IF(REGEXMATCH($AO459,"\.(png|jpg|jpeg|gif)$"),$AO459,"https://s3.tradingview.com/snapshots/"&amp;LOWER(MID(REGEXEXTRACT($AO459,"/x/([A-Za-z0-9]+)"),1,1))&amp;"/"&amp;REGEXEXTRACT($AO459,"/x/([A-Za-z0-9]+)")&amp;".png"),1),"⚠️ link tidak dikenali"))</f>
        <v/>
      </c>
      <c r="AQ459" s="66">
        <f>IF($Z459="",0,IF(AND(OR('📊 Dashboard'!$B$4="(Semua)",$F459='📊 Dashboard'!$B$4),OR('📊 Dashboard'!$B$5="(Semua)",$H459='📊 Dashboard'!$B$5),OR('📊 Dashboard'!$B$6="(Semua)",$E459='📊 Dashboard'!$B$6),OR('📊 Dashboard'!$B$7="(Semua)",$AF459='📊 Dashboard'!$B$7),OR('📊 Dashboard'!$B$8="(Semua)",$AG459='📊 Dashboard'!$B$8),OR('📊 Dashboard'!$B$9="(Semua)",$K459='📊 Dashboard'!$B$9)),1,0))</f>
        <v>0</v>
      </c>
      <c r="AR459" s="69"/>
    </row>
    <row r="460" ht="58" customHeight="1" spans="1:44">
      <c r="A460" s="58" t="str">
        <f t="shared" si="49"/>
        <v/>
      </c>
      <c r="B460" s="59"/>
      <c r="C460" s="60"/>
      <c r="D460" s="60"/>
      <c r="E460" s="58" t="str">
        <f t="shared" si="50"/>
        <v/>
      </c>
      <c r="F460" s="61"/>
      <c r="G460" s="61"/>
      <c r="H460" s="61"/>
      <c r="I460" s="61"/>
      <c r="J460" s="61"/>
      <c r="K460" s="61"/>
      <c r="L460" s="61"/>
      <c r="M460" s="61"/>
      <c r="N460" s="62"/>
      <c r="O460" s="62"/>
      <c r="P460" s="62"/>
      <c r="Q460" s="62"/>
      <c r="R460" s="63" t="str">
        <f>IFERROR(IF(OR($N460="",$O460="",$F460=""),"",ROUND(('⚙️ Setelan'!$B$3*'⚙️ Setelan'!$B$4/100)/(ABS($N460-$O460)*VLOOKUP($F460,'⚙️ Setelan'!$A$14:$F$20,4,FALSE)),2)),"")</f>
        <v/>
      </c>
      <c r="S460" s="64"/>
      <c r="T460" s="65" t="str">
        <f>IFERROR(IF(OR($N460="",$O460="",$S460=""),"",ABS($N460-$O460)*$S460*VLOOKUP($F460,'⚙️ Setelan'!$A$14:$F$20,4,FALSE)),"")</f>
        <v/>
      </c>
      <c r="U460" s="63" t="str">
        <f t="shared" si="51"/>
        <v/>
      </c>
      <c r="V460" s="65" t="str">
        <f>IFERROR(IF(OR($Q460="",$N460="",$S460=""),"",($Q460-$N460)*IF($G460="Buy",1,-1)*$S460*VLOOKUP($F460,'⚙️ Setelan'!$A$14:$F$20,4,FALSE)),"")</f>
        <v/>
      </c>
      <c r="W460" s="65" t="str">
        <f>IFERROR(IF(OR($S460="",$F460=""),"",$S460*VLOOKUP($F460,'⚙️ Setelan'!$A$14:$F$20,5,FALSE)),"")</f>
        <v/>
      </c>
      <c r="X460" s="65" t="str">
        <f t="shared" si="52"/>
        <v/>
      </c>
      <c r="Y460" s="63" t="str">
        <f t="shared" si="53"/>
        <v/>
      </c>
      <c r="Z460" s="58" t="str">
        <f t="shared" si="54"/>
        <v/>
      </c>
      <c r="AA460" s="66" t="str">
        <f t="shared" si="55"/>
        <v/>
      </c>
      <c r="AB460" s="62"/>
      <c r="AC460" s="62"/>
      <c r="AD460" s="63" t="str">
        <f>IFERROR(IF(OR($AB460="",$T460="",$T460=0),"",ROUND(ABS($N460-$AB460)*$S460*VLOOKUP($F460,'⚙️ Setelan'!$A$14:$F$20,4,FALSE)/$T460,2)),"")</f>
        <v/>
      </c>
      <c r="AE460" s="63" t="str">
        <f>IFERROR(IF(OR($AC460="",$T460="",$T460=0),"",ROUND(ABS($AC460-$N460)*$S460*VLOOKUP($F460,'⚙️ Setelan'!$A$14:$F$20,4,FALSE)/$T460,2)),"")</f>
        <v/>
      </c>
      <c r="AF460" s="61"/>
      <c r="AG460" s="61"/>
      <c r="AH460" s="61"/>
      <c r="AI460" s="61"/>
      <c r="AJ460" s="61"/>
      <c r="AK460" s="67"/>
      <c r="AL460" s="58" t="str">
        <f>IF(OR($C460="",$B460=""),"",IF(AND($Z459="Loss",$B460=$B459,MOD($C460-$D459,1)*1440&lt;'⚙️ Setelan'!$B$9),"⚠️ Revenge",""))</f>
        <v/>
      </c>
      <c r="AM460" s="68"/>
      <c r="AN460" s="58" t="str">
        <f>IF($AM460="","",IFERROR(_xlfn.IMAGE(IF(REGEXMATCH($AM460,"\.(png|jpg|jpeg|gif)$"),$AM460,"https://s3.tradingview.com/snapshots/"&amp;LOWER(MID(REGEXEXTRACT($AM460,"/x/([A-Za-z0-9]+)"),1,1))&amp;"/"&amp;REGEXEXTRACT($AM460,"/x/([A-Za-z0-9]+)")&amp;".png"),1),"⚠️ link tidak dikenali"))</f>
        <v/>
      </c>
      <c r="AO460" s="68"/>
      <c r="AP460" s="58" t="str">
        <f>IF($AO460="","",IFERROR(_xlfn.IMAGE(IF(REGEXMATCH($AO460,"\.(png|jpg|jpeg|gif)$"),$AO460,"https://s3.tradingview.com/snapshots/"&amp;LOWER(MID(REGEXEXTRACT($AO460,"/x/([A-Za-z0-9]+)"),1,1))&amp;"/"&amp;REGEXEXTRACT($AO460,"/x/([A-Za-z0-9]+)")&amp;".png"),1),"⚠️ link tidak dikenali"))</f>
        <v/>
      </c>
      <c r="AQ460" s="66">
        <f>IF($Z460="",0,IF(AND(OR('📊 Dashboard'!$B$4="(Semua)",$F460='📊 Dashboard'!$B$4),OR('📊 Dashboard'!$B$5="(Semua)",$H460='📊 Dashboard'!$B$5),OR('📊 Dashboard'!$B$6="(Semua)",$E460='📊 Dashboard'!$B$6),OR('📊 Dashboard'!$B$7="(Semua)",$AF460='📊 Dashboard'!$B$7),OR('📊 Dashboard'!$B$8="(Semua)",$AG460='📊 Dashboard'!$B$8),OR('📊 Dashboard'!$B$9="(Semua)",$K460='📊 Dashboard'!$B$9)),1,0))</f>
        <v>0</v>
      </c>
      <c r="AR460" s="69"/>
    </row>
    <row r="461" ht="58" customHeight="1" spans="1:44">
      <c r="A461" s="58" t="str">
        <f t="shared" si="49"/>
        <v/>
      </c>
      <c r="B461" s="59"/>
      <c r="C461" s="60"/>
      <c r="D461" s="60"/>
      <c r="E461" s="58" t="str">
        <f t="shared" si="50"/>
        <v/>
      </c>
      <c r="F461" s="61"/>
      <c r="G461" s="61"/>
      <c r="H461" s="61"/>
      <c r="I461" s="61"/>
      <c r="J461" s="61"/>
      <c r="K461" s="61"/>
      <c r="L461" s="61"/>
      <c r="M461" s="61"/>
      <c r="N461" s="62"/>
      <c r="O461" s="62"/>
      <c r="P461" s="62"/>
      <c r="Q461" s="62"/>
      <c r="R461" s="63" t="str">
        <f>IFERROR(IF(OR($N461="",$O461="",$F461=""),"",ROUND(('⚙️ Setelan'!$B$3*'⚙️ Setelan'!$B$4/100)/(ABS($N461-$O461)*VLOOKUP($F461,'⚙️ Setelan'!$A$14:$F$20,4,FALSE)),2)),"")</f>
        <v/>
      </c>
      <c r="S461" s="64"/>
      <c r="T461" s="65" t="str">
        <f>IFERROR(IF(OR($N461="",$O461="",$S461=""),"",ABS($N461-$O461)*$S461*VLOOKUP($F461,'⚙️ Setelan'!$A$14:$F$20,4,FALSE)),"")</f>
        <v/>
      </c>
      <c r="U461" s="63" t="str">
        <f t="shared" si="51"/>
        <v/>
      </c>
      <c r="V461" s="65" t="str">
        <f>IFERROR(IF(OR($Q461="",$N461="",$S461=""),"",($Q461-$N461)*IF($G461="Buy",1,-1)*$S461*VLOOKUP($F461,'⚙️ Setelan'!$A$14:$F$20,4,FALSE)),"")</f>
        <v/>
      </c>
      <c r="W461" s="65" t="str">
        <f>IFERROR(IF(OR($S461="",$F461=""),"",$S461*VLOOKUP($F461,'⚙️ Setelan'!$A$14:$F$20,5,FALSE)),"")</f>
        <v/>
      </c>
      <c r="X461" s="65" t="str">
        <f t="shared" si="52"/>
        <v/>
      </c>
      <c r="Y461" s="63" t="str">
        <f t="shared" si="53"/>
        <v/>
      </c>
      <c r="Z461" s="58" t="str">
        <f t="shared" si="54"/>
        <v/>
      </c>
      <c r="AA461" s="66" t="str">
        <f t="shared" si="55"/>
        <v/>
      </c>
      <c r="AB461" s="62"/>
      <c r="AC461" s="62"/>
      <c r="AD461" s="63" t="str">
        <f>IFERROR(IF(OR($AB461="",$T461="",$T461=0),"",ROUND(ABS($N461-$AB461)*$S461*VLOOKUP($F461,'⚙️ Setelan'!$A$14:$F$20,4,FALSE)/$T461,2)),"")</f>
        <v/>
      </c>
      <c r="AE461" s="63" t="str">
        <f>IFERROR(IF(OR($AC461="",$T461="",$T461=0),"",ROUND(ABS($AC461-$N461)*$S461*VLOOKUP($F461,'⚙️ Setelan'!$A$14:$F$20,4,FALSE)/$T461,2)),"")</f>
        <v/>
      </c>
      <c r="AF461" s="61"/>
      <c r="AG461" s="61"/>
      <c r="AH461" s="61"/>
      <c r="AI461" s="61"/>
      <c r="AJ461" s="61"/>
      <c r="AK461" s="67"/>
      <c r="AL461" s="58" t="str">
        <f>IF(OR($C461="",$B461=""),"",IF(AND($Z460="Loss",$B461=$B460,MOD($C461-$D460,1)*1440&lt;'⚙️ Setelan'!$B$9),"⚠️ Revenge",""))</f>
        <v/>
      </c>
      <c r="AM461" s="68"/>
      <c r="AN461" s="58" t="str">
        <f>IF($AM461="","",IFERROR(_xlfn.IMAGE(IF(REGEXMATCH($AM461,"\.(png|jpg|jpeg|gif)$"),$AM461,"https://s3.tradingview.com/snapshots/"&amp;LOWER(MID(REGEXEXTRACT($AM461,"/x/([A-Za-z0-9]+)"),1,1))&amp;"/"&amp;REGEXEXTRACT($AM461,"/x/([A-Za-z0-9]+)")&amp;".png"),1),"⚠️ link tidak dikenali"))</f>
        <v/>
      </c>
      <c r="AO461" s="68"/>
      <c r="AP461" s="58" t="str">
        <f>IF($AO461="","",IFERROR(_xlfn.IMAGE(IF(REGEXMATCH($AO461,"\.(png|jpg|jpeg|gif)$"),$AO461,"https://s3.tradingview.com/snapshots/"&amp;LOWER(MID(REGEXEXTRACT($AO461,"/x/([A-Za-z0-9]+)"),1,1))&amp;"/"&amp;REGEXEXTRACT($AO461,"/x/([A-Za-z0-9]+)")&amp;".png"),1),"⚠️ link tidak dikenali"))</f>
        <v/>
      </c>
      <c r="AQ461" s="66">
        <f>IF($Z461="",0,IF(AND(OR('📊 Dashboard'!$B$4="(Semua)",$F461='📊 Dashboard'!$B$4),OR('📊 Dashboard'!$B$5="(Semua)",$H461='📊 Dashboard'!$B$5),OR('📊 Dashboard'!$B$6="(Semua)",$E461='📊 Dashboard'!$B$6),OR('📊 Dashboard'!$B$7="(Semua)",$AF461='📊 Dashboard'!$B$7),OR('📊 Dashboard'!$B$8="(Semua)",$AG461='📊 Dashboard'!$B$8),OR('📊 Dashboard'!$B$9="(Semua)",$K461='📊 Dashboard'!$B$9)),1,0))</f>
        <v>0</v>
      </c>
      <c r="AR461" s="69"/>
    </row>
    <row r="462" ht="58" customHeight="1" spans="1:44">
      <c r="A462" s="58" t="str">
        <f t="shared" si="49"/>
        <v/>
      </c>
      <c r="B462" s="59"/>
      <c r="C462" s="60"/>
      <c r="D462" s="60"/>
      <c r="E462" s="58" t="str">
        <f t="shared" si="50"/>
        <v/>
      </c>
      <c r="F462" s="61"/>
      <c r="G462" s="61"/>
      <c r="H462" s="61"/>
      <c r="I462" s="61"/>
      <c r="J462" s="61"/>
      <c r="K462" s="61"/>
      <c r="L462" s="61"/>
      <c r="M462" s="61"/>
      <c r="N462" s="62"/>
      <c r="O462" s="62"/>
      <c r="P462" s="62"/>
      <c r="Q462" s="62"/>
      <c r="R462" s="63" t="str">
        <f>IFERROR(IF(OR($N462="",$O462="",$F462=""),"",ROUND(('⚙️ Setelan'!$B$3*'⚙️ Setelan'!$B$4/100)/(ABS($N462-$O462)*VLOOKUP($F462,'⚙️ Setelan'!$A$14:$F$20,4,FALSE)),2)),"")</f>
        <v/>
      </c>
      <c r="S462" s="64"/>
      <c r="T462" s="65" t="str">
        <f>IFERROR(IF(OR($N462="",$O462="",$S462=""),"",ABS($N462-$O462)*$S462*VLOOKUP($F462,'⚙️ Setelan'!$A$14:$F$20,4,FALSE)),"")</f>
        <v/>
      </c>
      <c r="U462" s="63" t="str">
        <f t="shared" si="51"/>
        <v/>
      </c>
      <c r="V462" s="65" t="str">
        <f>IFERROR(IF(OR($Q462="",$N462="",$S462=""),"",($Q462-$N462)*IF($G462="Buy",1,-1)*$S462*VLOOKUP($F462,'⚙️ Setelan'!$A$14:$F$20,4,FALSE)),"")</f>
        <v/>
      </c>
      <c r="W462" s="65" t="str">
        <f>IFERROR(IF(OR($S462="",$F462=""),"",$S462*VLOOKUP($F462,'⚙️ Setelan'!$A$14:$F$20,5,FALSE)),"")</f>
        <v/>
      </c>
      <c r="X462" s="65" t="str">
        <f t="shared" si="52"/>
        <v/>
      </c>
      <c r="Y462" s="63" t="str">
        <f t="shared" si="53"/>
        <v/>
      </c>
      <c r="Z462" s="58" t="str">
        <f t="shared" si="54"/>
        <v/>
      </c>
      <c r="AA462" s="66" t="str">
        <f t="shared" si="55"/>
        <v/>
      </c>
      <c r="AB462" s="62"/>
      <c r="AC462" s="62"/>
      <c r="AD462" s="63" t="str">
        <f>IFERROR(IF(OR($AB462="",$T462="",$T462=0),"",ROUND(ABS($N462-$AB462)*$S462*VLOOKUP($F462,'⚙️ Setelan'!$A$14:$F$20,4,FALSE)/$T462,2)),"")</f>
        <v/>
      </c>
      <c r="AE462" s="63" t="str">
        <f>IFERROR(IF(OR($AC462="",$T462="",$T462=0),"",ROUND(ABS($AC462-$N462)*$S462*VLOOKUP($F462,'⚙️ Setelan'!$A$14:$F$20,4,FALSE)/$T462,2)),"")</f>
        <v/>
      </c>
      <c r="AF462" s="61"/>
      <c r="AG462" s="61"/>
      <c r="AH462" s="61"/>
      <c r="AI462" s="61"/>
      <c r="AJ462" s="61"/>
      <c r="AK462" s="67"/>
      <c r="AL462" s="58" t="str">
        <f>IF(OR($C462="",$B462=""),"",IF(AND($Z461="Loss",$B462=$B461,MOD($C462-$D461,1)*1440&lt;'⚙️ Setelan'!$B$9),"⚠️ Revenge",""))</f>
        <v/>
      </c>
      <c r="AM462" s="68"/>
      <c r="AN462" s="58" t="str">
        <f>IF($AM462="","",IFERROR(_xlfn.IMAGE(IF(REGEXMATCH($AM462,"\.(png|jpg|jpeg|gif)$"),$AM462,"https://s3.tradingview.com/snapshots/"&amp;LOWER(MID(REGEXEXTRACT($AM462,"/x/([A-Za-z0-9]+)"),1,1))&amp;"/"&amp;REGEXEXTRACT($AM462,"/x/([A-Za-z0-9]+)")&amp;".png"),1),"⚠️ link tidak dikenali"))</f>
        <v/>
      </c>
      <c r="AO462" s="68"/>
      <c r="AP462" s="58" t="str">
        <f>IF($AO462="","",IFERROR(_xlfn.IMAGE(IF(REGEXMATCH($AO462,"\.(png|jpg|jpeg|gif)$"),$AO462,"https://s3.tradingview.com/snapshots/"&amp;LOWER(MID(REGEXEXTRACT($AO462,"/x/([A-Za-z0-9]+)"),1,1))&amp;"/"&amp;REGEXEXTRACT($AO462,"/x/([A-Za-z0-9]+)")&amp;".png"),1),"⚠️ link tidak dikenali"))</f>
        <v/>
      </c>
      <c r="AQ462" s="66">
        <f>IF($Z462="",0,IF(AND(OR('📊 Dashboard'!$B$4="(Semua)",$F462='📊 Dashboard'!$B$4),OR('📊 Dashboard'!$B$5="(Semua)",$H462='📊 Dashboard'!$B$5),OR('📊 Dashboard'!$B$6="(Semua)",$E462='📊 Dashboard'!$B$6),OR('📊 Dashboard'!$B$7="(Semua)",$AF462='📊 Dashboard'!$B$7),OR('📊 Dashboard'!$B$8="(Semua)",$AG462='📊 Dashboard'!$B$8),OR('📊 Dashboard'!$B$9="(Semua)",$K462='📊 Dashboard'!$B$9)),1,0))</f>
        <v>0</v>
      </c>
      <c r="AR462" s="69"/>
    </row>
    <row r="463" ht="58" customHeight="1" spans="1:44">
      <c r="A463" s="58" t="str">
        <f t="shared" si="49"/>
        <v/>
      </c>
      <c r="B463" s="59"/>
      <c r="C463" s="60"/>
      <c r="D463" s="60"/>
      <c r="E463" s="58" t="str">
        <f t="shared" si="50"/>
        <v/>
      </c>
      <c r="F463" s="61"/>
      <c r="G463" s="61"/>
      <c r="H463" s="61"/>
      <c r="I463" s="61"/>
      <c r="J463" s="61"/>
      <c r="K463" s="61"/>
      <c r="L463" s="61"/>
      <c r="M463" s="61"/>
      <c r="N463" s="62"/>
      <c r="O463" s="62"/>
      <c r="P463" s="62"/>
      <c r="Q463" s="62"/>
      <c r="R463" s="63" t="str">
        <f>IFERROR(IF(OR($N463="",$O463="",$F463=""),"",ROUND(('⚙️ Setelan'!$B$3*'⚙️ Setelan'!$B$4/100)/(ABS($N463-$O463)*VLOOKUP($F463,'⚙️ Setelan'!$A$14:$F$20,4,FALSE)),2)),"")</f>
        <v/>
      </c>
      <c r="S463" s="64"/>
      <c r="T463" s="65" t="str">
        <f>IFERROR(IF(OR($N463="",$O463="",$S463=""),"",ABS($N463-$O463)*$S463*VLOOKUP($F463,'⚙️ Setelan'!$A$14:$F$20,4,FALSE)),"")</f>
        <v/>
      </c>
      <c r="U463" s="63" t="str">
        <f t="shared" si="51"/>
        <v/>
      </c>
      <c r="V463" s="65" t="str">
        <f>IFERROR(IF(OR($Q463="",$N463="",$S463=""),"",($Q463-$N463)*IF($G463="Buy",1,-1)*$S463*VLOOKUP($F463,'⚙️ Setelan'!$A$14:$F$20,4,FALSE)),"")</f>
        <v/>
      </c>
      <c r="W463" s="65" t="str">
        <f>IFERROR(IF(OR($S463="",$F463=""),"",$S463*VLOOKUP($F463,'⚙️ Setelan'!$A$14:$F$20,5,FALSE)),"")</f>
        <v/>
      </c>
      <c r="X463" s="65" t="str">
        <f t="shared" si="52"/>
        <v/>
      </c>
      <c r="Y463" s="63" t="str">
        <f t="shared" si="53"/>
        <v/>
      </c>
      <c r="Z463" s="58" t="str">
        <f t="shared" si="54"/>
        <v/>
      </c>
      <c r="AA463" s="66" t="str">
        <f t="shared" si="55"/>
        <v/>
      </c>
      <c r="AB463" s="62"/>
      <c r="AC463" s="62"/>
      <c r="AD463" s="63" t="str">
        <f>IFERROR(IF(OR($AB463="",$T463="",$T463=0),"",ROUND(ABS($N463-$AB463)*$S463*VLOOKUP($F463,'⚙️ Setelan'!$A$14:$F$20,4,FALSE)/$T463,2)),"")</f>
        <v/>
      </c>
      <c r="AE463" s="63" t="str">
        <f>IFERROR(IF(OR($AC463="",$T463="",$T463=0),"",ROUND(ABS($AC463-$N463)*$S463*VLOOKUP($F463,'⚙️ Setelan'!$A$14:$F$20,4,FALSE)/$T463,2)),"")</f>
        <v/>
      </c>
      <c r="AF463" s="61"/>
      <c r="AG463" s="61"/>
      <c r="AH463" s="61"/>
      <c r="AI463" s="61"/>
      <c r="AJ463" s="61"/>
      <c r="AK463" s="67"/>
      <c r="AL463" s="58" t="str">
        <f>IF(OR($C463="",$B463=""),"",IF(AND($Z462="Loss",$B463=$B462,MOD($C463-$D462,1)*1440&lt;'⚙️ Setelan'!$B$9),"⚠️ Revenge",""))</f>
        <v/>
      </c>
      <c r="AM463" s="68"/>
      <c r="AN463" s="58" t="str">
        <f>IF($AM463="","",IFERROR(_xlfn.IMAGE(IF(REGEXMATCH($AM463,"\.(png|jpg|jpeg|gif)$"),$AM463,"https://s3.tradingview.com/snapshots/"&amp;LOWER(MID(REGEXEXTRACT($AM463,"/x/([A-Za-z0-9]+)"),1,1))&amp;"/"&amp;REGEXEXTRACT($AM463,"/x/([A-Za-z0-9]+)")&amp;".png"),1),"⚠️ link tidak dikenali"))</f>
        <v/>
      </c>
      <c r="AO463" s="68"/>
      <c r="AP463" s="58" t="str">
        <f>IF($AO463="","",IFERROR(_xlfn.IMAGE(IF(REGEXMATCH($AO463,"\.(png|jpg|jpeg|gif)$"),$AO463,"https://s3.tradingview.com/snapshots/"&amp;LOWER(MID(REGEXEXTRACT($AO463,"/x/([A-Za-z0-9]+)"),1,1))&amp;"/"&amp;REGEXEXTRACT($AO463,"/x/([A-Za-z0-9]+)")&amp;".png"),1),"⚠️ link tidak dikenali"))</f>
        <v/>
      </c>
      <c r="AQ463" s="66">
        <f>IF($Z463="",0,IF(AND(OR('📊 Dashboard'!$B$4="(Semua)",$F463='📊 Dashboard'!$B$4),OR('📊 Dashboard'!$B$5="(Semua)",$H463='📊 Dashboard'!$B$5),OR('📊 Dashboard'!$B$6="(Semua)",$E463='📊 Dashboard'!$B$6),OR('📊 Dashboard'!$B$7="(Semua)",$AF463='📊 Dashboard'!$B$7),OR('📊 Dashboard'!$B$8="(Semua)",$AG463='📊 Dashboard'!$B$8),OR('📊 Dashboard'!$B$9="(Semua)",$K463='📊 Dashboard'!$B$9)),1,0))</f>
        <v>0</v>
      </c>
      <c r="AR463" s="69"/>
    </row>
    <row r="464" ht="58" customHeight="1" spans="1:44">
      <c r="A464" s="58" t="str">
        <f t="shared" si="49"/>
        <v/>
      </c>
      <c r="B464" s="59"/>
      <c r="C464" s="60"/>
      <c r="D464" s="60"/>
      <c r="E464" s="58" t="str">
        <f t="shared" si="50"/>
        <v/>
      </c>
      <c r="F464" s="61"/>
      <c r="G464" s="61"/>
      <c r="H464" s="61"/>
      <c r="I464" s="61"/>
      <c r="J464" s="61"/>
      <c r="K464" s="61"/>
      <c r="L464" s="61"/>
      <c r="M464" s="61"/>
      <c r="N464" s="62"/>
      <c r="O464" s="62"/>
      <c r="P464" s="62"/>
      <c r="Q464" s="62"/>
      <c r="R464" s="63" t="str">
        <f>IFERROR(IF(OR($N464="",$O464="",$F464=""),"",ROUND(('⚙️ Setelan'!$B$3*'⚙️ Setelan'!$B$4/100)/(ABS($N464-$O464)*VLOOKUP($F464,'⚙️ Setelan'!$A$14:$F$20,4,FALSE)),2)),"")</f>
        <v/>
      </c>
      <c r="S464" s="64"/>
      <c r="T464" s="65" t="str">
        <f>IFERROR(IF(OR($N464="",$O464="",$S464=""),"",ABS($N464-$O464)*$S464*VLOOKUP($F464,'⚙️ Setelan'!$A$14:$F$20,4,FALSE)),"")</f>
        <v/>
      </c>
      <c r="U464" s="63" t="str">
        <f t="shared" si="51"/>
        <v/>
      </c>
      <c r="V464" s="65" t="str">
        <f>IFERROR(IF(OR($Q464="",$N464="",$S464=""),"",($Q464-$N464)*IF($G464="Buy",1,-1)*$S464*VLOOKUP($F464,'⚙️ Setelan'!$A$14:$F$20,4,FALSE)),"")</f>
        <v/>
      </c>
      <c r="W464" s="65" t="str">
        <f>IFERROR(IF(OR($S464="",$F464=""),"",$S464*VLOOKUP($F464,'⚙️ Setelan'!$A$14:$F$20,5,FALSE)),"")</f>
        <v/>
      </c>
      <c r="X464" s="65" t="str">
        <f t="shared" si="52"/>
        <v/>
      </c>
      <c r="Y464" s="63" t="str">
        <f t="shared" si="53"/>
        <v/>
      </c>
      <c r="Z464" s="58" t="str">
        <f t="shared" si="54"/>
        <v/>
      </c>
      <c r="AA464" s="66" t="str">
        <f t="shared" si="55"/>
        <v/>
      </c>
      <c r="AB464" s="62"/>
      <c r="AC464" s="62"/>
      <c r="AD464" s="63" t="str">
        <f>IFERROR(IF(OR($AB464="",$T464="",$T464=0),"",ROUND(ABS($N464-$AB464)*$S464*VLOOKUP($F464,'⚙️ Setelan'!$A$14:$F$20,4,FALSE)/$T464,2)),"")</f>
        <v/>
      </c>
      <c r="AE464" s="63" t="str">
        <f>IFERROR(IF(OR($AC464="",$T464="",$T464=0),"",ROUND(ABS($AC464-$N464)*$S464*VLOOKUP($F464,'⚙️ Setelan'!$A$14:$F$20,4,FALSE)/$T464,2)),"")</f>
        <v/>
      </c>
      <c r="AF464" s="61"/>
      <c r="AG464" s="61"/>
      <c r="AH464" s="61"/>
      <c r="AI464" s="61"/>
      <c r="AJ464" s="61"/>
      <c r="AK464" s="67"/>
      <c r="AL464" s="58" t="str">
        <f>IF(OR($C464="",$B464=""),"",IF(AND($Z463="Loss",$B464=$B463,MOD($C464-$D463,1)*1440&lt;'⚙️ Setelan'!$B$9),"⚠️ Revenge",""))</f>
        <v/>
      </c>
      <c r="AM464" s="68"/>
      <c r="AN464" s="58" t="str">
        <f>IF($AM464="","",IFERROR(_xlfn.IMAGE(IF(REGEXMATCH($AM464,"\.(png|jpg|jpeg|gif)$"),$AM464,"https://s3.tradingview.com/snapshots/"&amp;LOWER(MID(REGEXEXTRACT($AM464,"/x/([A-Za-z0-9]+)"),1,1))&amp;"/"&amp;REGEXEXTRACT($AM464,"/x/([A-Za-z0-9]+)")&amp;".png"),1),"⚠️ link tidak dikenali"))</f>
        <v/>
      </c>
      <c r="AO464" s="68"/>
      <c r="AP464" s="58" t="str">
        <f>IF($AO464="","",IFERROR(_xlfn.IMAGE(IF(REGEXMATCH($AO464,"\.(png|jpg|jpeg|gif)$"),$AO464,"https://s3.tradingview.com/snapshots/"&amp;LOWER(MID(REGEXEXTRACT($AO464,"/x/([A-Za-z0-9]+)"),1,1))&amp;"/"&amp;REGEXEXTRACT($AO464,"/x/([A-Za-z0-9]+)")&amp;".png"),1),"⚠️ link tidak dikenali"))</f>
        <v/>
      </c>
      <c r="AQ464" s="66">
        <f>IF($Z464="",0,IF(AND(OR('📊 Dashboard'!$B$4="(Semua)",$F464='📊 Dashboard'!$B$4),OR('📊 Dashboard'!$B$5="(Semua)",$H464='📊 Dashboard'!$B$5),OR('📊 Dashboard'!$B$6="(Semua)",$E464='📊 Dashboard'!$B$6),OR('📊 Dashboard'!$B$7="(Semua)",$AF464='📊 Dashboard'!$B$7),OR('📊 Dashboard'!$B$8="(Semua)",$AG464='📊 Dashboard'!$B$8),OR('📊 Dashboard'!$B$9="(Semua)",$K464='📊 Dashboard'!$B$9)),1,0))</f>
        <v>0</v>
      </c>
      <c r="AR464" s="69"/>
    </row>
    <row r="465" ht="58" customHeight="1" spans="1:44">
      <c r="A465" s="58" t="str">
        <f t="shared" si="49"/>
        <v/>
      </c>
      <c r="B465" s="59"/>
      <c r="C465" s="60"/>
      <c r="D465" s="60"/>
      <c r="E465" s="58" t="str">
        <f t="shared" si="50"/>
        <v/>
      </c>
      <c r="F465" s="61"/>
      <c r="G465" s="61"/>
      <c r="H465" s="61"/>
      <c r="I465" s="61"/>
      <c r="J465" s="61"/>
      <c r="K465" s="61"/>
      <c r="L465" s="61"/>
      <c r="M465" s="61"/>
      <c r="N465" s="62"/>
      <c r="O465" s="62"/>
      <c r="P465" s="62"/>
      <c r="Q465" s="62"/>
      <c r="R465" s="63" t="str">
        <f>IFERROR(IF(OR($N465="",$O465="",$F465=""),"",ROUND(('⚙️ Setelan'!$B$3*'⚙️ Setelan'!$B$4/100)/(ABS($N465-$O465)*VLOOKUP($F465,'⚙️ Setelan'!$A$14:$F$20,4,FALSE)),2)),"")</f>
        <v/>
      </c>
      <c r="S465" s="64"/>
      <c r="T465" s="65" t="str">
        <f>IFERROR(IF(OR($N465="",$O465="",$S465=""),"",ABS($N465-$O465)*$S465*VLOOKUP($F465,'⚙️ Setelan'!$A$14:$F$20,4,FALSE)),"")</f>
        <v/>
      </c>
      <c r="U465" s="63" t="str">
        <f t="shared" si="51"/>
        <v/>
      </c>
      <c r="V465" s="65" t="str">
        <f>IFERROR(IF(OR($Q465="",$N465="",$S465=""),"",($Q465-$N465)*IF($G465="Buy",1,-1)*$S465*VLOOKUP($F465,'⚙️ Setelan'!$A$14:$F$20,4,FALSE)),"")</f>
        <v/>
      </c>
      <c r="W465" s="65" t="str">
        <f>IFERROR(IF(OR($S465="",$F465=""),"",$S465*VLOOKUP($F465,'⚙️ Setelan'!$A$14:$F$20,5,FALSE)),"")</f>
        <v/>
      </c>
      <c r="X465" s="65" t="str">
        <f t="shared" si="52"/>
        <v/>
      </c>
      <c r="Y465" s="63" t="str">
        <f t="shared" si="53"/>
        <v/>
      </c>
      <c r="Z465" s="58" t="str">
        <f t="shared" si="54"/>
        <v/>
      </c>
      <c r="AA465" s="66" t="str">
        <f t="shared" si="55"/>
        <v/>
      </c>
      <c r="AB465" s="62"/>
      <c r="AC465" s="62"/>
      <c r="AD465" s="63" t="str">
        <f>IFERROR(IF(OR($AB465="",$T465="",$T465=0),"",ROUND(ABS($N465-$AB465)*$S465*VLOOKUP($F465,'⚙️ Setelan'!$A$14:$F$20,4,FALSE)/$T465,2)),"")</f>
        <v/>
      </c>
      <c r="AE465" s="63" t="str">
        <f>IFERROR(IF(OR($AC465="",$T465="",$T465=0),"",ROUND(ABS($AC465-$N465)*$S465*VLOOKUP($F465,'⚙️ Setelan'!$A$14:$F$20,4,FALSE)/$T465,2)),"")</f>
        <v/>
      </c>
      <c r="AF465" s="61"/>
      <c r="AG465" s="61"/>
      <c r="AH465" s="61"/>
      <c r="AI465" s="61"/>
      <c r="AJ465" s="61"/>
      <c r="AK465" s="67"/>
      <c r="AL465" s="58" t="str">
        <f>IF(OR($C465="",$B465=""),"",IF(AND($Z464="Loss",$B465=$B464,MOD($C465-$D464,1)*1440&lt;'⚙️ Setelan'!$B$9),"⚠️ Revenge",""))</f>
        <v/>
      </c>
      <c r="AM465" s="68"/>
      <c r="AN465" s="58" t="str">
        <f>IF($AM465="","",IFERROR(_xlfn.IMAGE(IF(REGEXMATCH($AM465,"\.(png|jpg|jpeg|gif)$"),$AM465,"https://s3.tradingview.com/snapshots/"&amp;LOWER(MID(REGEXEXTRACT($AM465,"/x/([A-Za-z0-9]+)"),1,1))&amp;"/"&amp;REGEXEXTRACT($AM465,"/x/([A-Za-z0-9]+)")&amp;".png"),1),"⚠️ link tidak dikenali"))</f>
        <v/>
      </c>
      <c r="AO465" s="68"/>
      <c r="AP465" s="58" t="str">
        <f>IF($AO465="","",IFERROR(_xlfn.IMAGE(IF(REGEXMATCH($AO465,"\.(png|jpg|jpeg|gif)$"),$AO465,"https://s3.tradingview.com/snapshots/"&amp;LOWER(MID(REGEXEXTRACT($AO465,"/x/([A-Za-z0-9]+)"),1,1))&amp;"/"&amp;REGEXEXTRACT($AO465,"/x/([A-Za-z0-9]+)")&amp;".png"),1),"⚠️ link tidak dikenali"))</f>
        <v/>
      </c>
      <c r="AQ465" s="66">
        <f>IF($Z465="",0,IF(AND(OR('📊 Dashboard'!$B$4="(Semua)",$F465='📊 Dashboard'!$B$4),OR('📊 Dashboard'!$B$5="(Semua)",$H465='📊 Dashboard'!$B$5),OR('📊 Dashboard'!$B$6="(Semua)",$E465='📊 Dashboard'!$B$6),OR('📊 Dashboard'!$B$7="(Semua)",$AF465='📊 Dashboard'!$B$7),OR('📊 Dashboard'!$B$8="(Semua)",$AG465='📊 Dashboard'!$B$8),OR('📊 Dashboard'!$B$9="(Semua)",$K465='📊 Dashboard'!$B$9)),1,0))</f>
        <v>0</v>
      </c>
      <c r="AR465" s="69"/>
    </row>
    <row r="466" ht="58" customHeight="1" spans="1:44">
      <c r="A466" s="58" t="str">
        <f t="shared" si="49"/>
        <v/>
      </c>
      <c r="B466" s="59"/>
      <c r="C466" s="60"/>
      <c r="D466" s="60"/>
      <c r="E466" s="58" t="str">
        <f t="shared" si="50"/>
        <v/>
      </c>
      <c r="F466" s="61"/>
      <c r="G466" s="61"/>
      <c r="H466" s="61"/>
      <c r="I466" s="61"/>
      <c r="J466" s="61"/>
      <c r="K466" s="61"/>
      <c r="L466" s="61"/>
      <c r="M466" s="61"/>
      <c r="N466" s="62"/>
      <c r="O466" s="62"/>
      <c r="P466" s="62"/>
      <c r="Q466" s="62"/>
      <c r="R466" s="63" t="str">
        <f>IFERROR(IF(OR($N466="",$O466="",$F466=""),"",ROUND(('⚙️ Setelan'!$B$3*'⚙️ Setelan'!$B$4/100)/(ABS($N466-$O466)*VLOOKUP($F466,'⚙️ Setelan'!$A$14:$F$20,4,FALSE)),2)),"")</f>
        <v/>
      </c>
      <c r="S466" s="64"/>
      <c r="T466" s="65" t="str">
        <f>IFERROR(IF(OR($N466="",$O466="",$S466=""),"",ABS($N466-$O466)*$S466*VLOOKUP($F466,'⚙️ Setelan'!$A$14:$F$20,4,FALSE)),"")</f>
        <v/>
      </c>
      <c r="U466" s="63" t="str">
        <f t="shared" si="51"/>
        <v/>
      </c>
      <c r="V466" s="65" t="str">
        <f>IFERROR(IF(OR($Q466="",$N466="",$S466=""),"",($Q466-$N466)*IF($G466="Buy",1,-1)*$S466*VLOOKUP($F466,'⚙️ Setelan'!$A$14:$F$20,4,FALSE)),"")</f>
        <v/>
      </c>
      <c r="W466" s="65" t="str">
        <f>IFERROR(IF(OR($S466="",$F466=""),"",$S466*VLOOKUP($F466,'⚙️ Setelan'!$A$14:$F$20,5,FALSE)),"")</f>
        <v/>
      </c>
      <c r="X466" s="65" t="str">
        <f t="shared" si="52"/>
        <v/>
      </c>
      <c r="Y466" s="63" t="str">
        <f t="shared" si="53"/>
        <v/>
      </c>
      <c r="Z466" s="58" t="str">
        <f t="shared" si="54"/>
        <v/>
      </c>
      <c r="AA466" s="66" t="str">
        <f t="shared" si="55"/>
        <v/>
      </c>
      <c r="AB466" s="62"/>
      <c r="AC466" s="62"/>
      <c r="AD466" s="63" t="str">
        <f>IFERROR(IF(OR($AB466="",$T466="",$T466=0),"",ROUND(ABS($N466-$AB466)*$S466*VLOOKUP($F466,'⚙️ Setelan'!$A$14:$F$20,4,FALSE)/$T466,2)),"")</f>
        <v/>
      </c>
      <c r="AE466" s="63" t="str">
        <f>IFERROR(IF(OR($AC466="",$T466="",$T466=0),"",ROUND(ABS($AC466-$N466)*$S466*VLOOKUP($F466,'⚙️ Setelan'!$A$14:$F$20,4,FALSE)/$T466,2)),"")</f>
        <v/>
      </c>
      <c r="AF466" s="61"/>
      <c r="AG466" s="61"/>
      <c r="AH466" s="61"/>
      <c r="AI466" s="61"/>
      <c r="AJ466" s="61"/>
      <c r="AK466" s="67"/>
      <c r="AL466" s="58" t="str">
        <f>IF(OR($C466="",$B466=""),"",IF(AND($Z465="Loss",$B466=$B465,MOD($C466-$D465,1)*1440&lt;'⚙️ Setelan'!$B$9),"⚠️ Revenge",""))</f>
        <v/>
      </c>
      <c r="AM466" s="68"/>
      <c r="AN466" s="58" t="str">
        <f>IF($AM466="","",IFERROR(_xlfn.IMAGE(IF(REGEXMATCH($AM466,"\.(png|jpg|jpeg|gif)$"),$AM466,"https://s3.tradingview.com/snapshots/"&amp;LOWER(MID(REGEXEXTRACT($AM466,"/x/([A-Za-z0-9]+)"),1,1))&amp;"/"&amp;REGEXEXTRACT($AM466,"/x/([A-Za-z0-9]+)")&amp;".png"),1),"⚠️ link tidak dikenali"))</f>
        <v/>
      </c>
      <c r="AO466" s="68"/>
      <c r="AP466" s="58" t="str">
        <f>IF($AO466="","",IFERROR(_xlfn.IMAGE(IF(REGEXMATCH($AO466,"\.(png|jpg|jpeg|gif)$"),$AO466,"https://s3.tradingview.com/snapshots/"&amp;LOWER(MID(REGEXEXTRACT($AO466,"/x/([A-Za-z0-9]+)"),1,1))&amp;"/"&amp;REGEXEXTRACT($AO466,"/x/([A-Za-z0-9]+)")&amp;".png"),1),"⚠️ link tidak dikenali"))</f>
        <v/>
      </c>
      <c r="AQ466" s="66">
        <f>IF($Z466="",0,IF(AND(OR('📊 Dashboard'!$B$4="(Semua)",$F466='📊 Dashboard'!$B$4),OR('📊 Dashboard'!$B$5="(Semua)",$H466='📊 Dashboard'!$B$5),OR('📊 Dashboard'!$B$6="(Semua)",$E466='📊 Dashboard'!$B$6),OR('📊 Dashboard'!$B$7="(Semua)",$AF466='📊 Dashboard'!$B$7),OR('📊 Dashboard'!$B$8="(Semua)",$AG466='📊 Dashboard'!$B$8),OR('📊 Dashboard'!$B$9="(Semua)",$K466='📊 Dashboard'!$B$9)),1,0))</f>
        <v>0</v>
      </c>
      <c r="AR466" s="69"/>
    </row>
    <row r="467" ht="58" customHeight="1" spans="1:44">
      <c r="A467" s="58" t="str">
        <f t="shared" si="49"/>
        <v/>
      </c>
      <c r="B467" s="59"/>
      <c r="C467" s="60"/>
      <c r="D467" s="60"/>
      <c r="E467" s="58" t="str">
        <f t="shared" si="50"/>
        <v/>
      </c>
      <c r="F467" s="61"/>
      <c r="G467" s="61"/>
      <c r="H467" s="61"/>
      <c r="I467" s="61"/>
      <c r="J467" s="61"/>
      <c r="K467" s="61"/>
      <c r="L467" s="61"/>
      <c r="M467" s="61"/>
      <c r="N467" s="62"/>
      <c r="O467" s="62"/>
      <c r="P467" s="62"/>
      <c r="Q467" s="62"/>
      <c r="R467" s="63" t="str">
        <f>IFERROR(IF(OR($N467="",$O467="",$F467=""),"",ROUND(('⚙️ Setelan'!$B$3*'⚙️ Setelan'!$B$4/100)/(ABS($N467-$O467)*VLOOKUP($F467,'⚙️ Setelan'!$A$14:$F$20,4,FALSE)),2)),"")</f>
        <v/>
      </c>
      <c r="S467" s="64"/>
      <c r="T467" s="65" t="str">
        <f>IFERROR(IF(OR($N467="",$O467="",$S467=""),"",ABS($N467-$O467)*$S467*VLOOKUP($F467,'⚙️ Setelan'!$A$14:$F$20,4,FALSE)),"")</f>
        <v/>
      </c>
      <c r="U467" s="63" t="str">
        <f t="shared" si="51"/>
        <v/>
      </c>
      <c r="V467" s="65" t="str">
        <f>IFERROR(IF(OR($Q467="",$N467="",$S467=""),"",($Q467-$N467)*IF($G467="Buy",1,-1)*$S467*VLOOKUP($F467,'⚙️ Setelan'!$A$14:$F$20,4,FALSE)),"")</f>
        <v/>
      </c>
      <c r="W467" s="65" t="str">
        <f>IFERROR(IF(OR($S467="",$F467=""),"",$S467*VLOOKUP($F467,'⚙️ Setelan'!$A$14:$F$20,5,FALSE)),"")</f>
        <v/>
      </c>
      <c r="X467" s="65" t="str">
        <f t="shared" si="52"/>
        <v/>
      </c>
      <c r="Y467" s="63" t="str">
        <f t="shared" si="53"/>
        <v/>
      </c>
      <c r="Z467" s="58" t="str">
        <f t="shared" si="54"/>
        <v/>
      </c>
      <c r="AA467" s="66" t="str">
        <f t="shared" si="55"/>
        <v/>
      </c>
      <c r="AB467" s="62"/>
      <c r="AC467" s="62"/>
      <c r="AD467" s="63" t="str">
        <f>IFERROR(IF(OR($AB467="",$T467="",$T467=0),"",ROUND(ABS($N467-$AB467)*$S467*VLOOKUP($F467,'⚙️ Setelan'!$A$14:$F$20,4,FALSE)/$T467,2)),"")</f>
        <v/>
      </c>
      <c r="AE467" s="63" t="str">
        <f>IFERROR(IF(OR($AC467="",$T467="",$T467=0),"",ROUND(ABS($AC467-$N467)*$S467*VLOOKUP($F467,'⚙️ Setelan'!$A$14:$F$20,4,FALSE)/$T467,2)),"")</f>
        <v/>
      </c>
      <c r="AF467" s="61"/>
      <c r="AG467" s="61"/>
      <c r="AH467" s="61"/>
      <c r="AI467" s="61"/>
      <c r="AJ467" s="61"/>
      <c r="AK467" s="67"/>
      <c r="AL467" s="58" t="str">
        <f>IF(OR($C467="",$B467=""),"",IF(AND($Z466="Loss",$B467=$B466,MOD($C467-$D466,1)*1440&lt;'⚙️ Setelan'!$B$9),"⚠️ Revenge",""))</f>
        <v/>
      </c>
      <c r="AM467" s="68"/>
      <c r="AN467" s="58" t="str">
        <f>IF($AM467="","",IFERROR(_xlfn.IMAGE(IF(REGEXMATCH($AM467,"\.(png|jpg|jpeg|gif)$"),$AM467,"https://s3.tradingview.com/snapshots/"&amp;LOWER(MID(REGEXEXTRACT($AM467,"/x/([A-Za-z0-9]+)"),1,1))&amp;"/"&amp;REGEXEXTRACT($AM467,"/x/([A-Za-z0-9]+)")&amp;".png"),1),"⚠️ link tidak dikenali"))</f>
        <v/>
      </c>
      <c r="AO467" s="68"/>
      <c r="AP467" s="58" t="str">
        <f>IF($AO467="","",IFERROR(_xlfn.IMAGE(IF(REGEXMATCH($AO467,"\.(png|jpg|jpeg|gif)$"),$AO467,"https://s3.tradingview.com/snapshots/"&amp;LOWER(MID(REGEXEXTRACT($AO467,"/x/([A-Za-z0-9]+)"),1,1))&amp;"/"&amp;REGEXEXTRACT($AO467,"/x/([A-Za-z0-9]+)")&amp;".png"),1),"⚠️ link tidak dikenali"))</f>
        <v/>
      </c>
      <c r="AQ467" s="66">
        <f>IF($Z467="",0,IF(AND(OR('📊 Dashboard'!$B$4="(Semua)",$F467='📊 Dashboard'!$B$4),OR('📊 Dashboard'!$B$5="(Semua)",$H467='📊 Dashboard'!$B$5),OR('📊 Dashboard'!$B$6="(Semua)",$E467='📊 Dashboard'!$B$6),OR('📊 Dashboard'!$B$7="(Semua)",$AF467='📊 Dashboard'!$B$7),OR('📊 Dashboard'!$B$8="(Semua)",$AG467='📊 Dashboard'!$B$8),OR('📊 Dashboard'!$B$9="(Semua)",$K467='📊 Dashboard'!$B$9)),1,0))</f>
        <v>0</v>
      </c>
      <c r="AR467" s="69"/>
    </row>
    <row r="468" ht="58" customHeight="1" spans="1:44">
      <c r="A468" s="58" t="str">
        <f t="shared" si="49"/>
        <v/>
      </c>
      <c r="B468" s="59"/>
      <c r="C468" s="60"/>
      <c r="D468" s="60"/>
      <c r="E468" s="58" t="str">
        <f t="shared" si="50"/>
        <v/>
      </c>
      <c r="F468" s="61"/>
      <c r="G468" s="61"/>
      <c r="H468" s="61"/>
      <c r="I468" s="61"/>
      <c r="J468" s="61"/>
      <c r="K468" s="61"/>
      <c r="L468" s="61"/>
      <c r="M468" s="61"/>
      <c r="N468" s="62"/>
      <c r="O468" s="62"/>
      <c r="P468" s="62"/>
      <c r="Q468" s="62"/>
      <c r="R468" s="63" t="str">
        <f>IFERROR(IF(OR($N468="",$O468="",$F468=""),"",ROUND(('⚙️ Setelan'!$B$3*'⚙️ Setelan'!$B$4/100)/(ABS($N468-$O468)*VLOOKUP($F468,'⚙️ Setelan'!$A$14:$F$20,4,FALSE)),2)),"")</f>
        <v/>
      </c>
      <c r="S468" s="64"/>
      <c r="T468" s="65" t="str">
        <f>IFERROR(IF(OR($N468="",$O468="",$S468=""),"",ABS($N468-$O468)*$S468*VLOOKUP($F468,'⚙️ Setelan'!$A$14:$F$20,4,FALSE)),"")</f>
        <v/>
      </c>
      <c r="U468" s="63" t="str">
        <f t="shared" si="51"/>
        <v/>
      </c>
      <c r="V468" s="65" t="str">
        <f>IFERROR(IF(OR($Q468="",$N468="",$S468=""),"",($Q468-$N468)*IF($G468="Buy",1,-1)*$S468*VLOOKUP($F468,'⚙️ Setelan'!$A$14:$F$20,4,FALSE)),"")</f>
        <v/>
      </c>
      <c r="W468" s="65" t="str">
        <f>IFERROR(IF(OR($S468="",$F468=""),"",$S468*VLOOKUP($F468,'⚙️ Setelan'!$A$14:$F$20,5,FALSE)),"")</f>
        <v/>
      </c>
      <c r="X468" s="65" t="str">
        <f t="shared" si="52"/>
        <v/>
      </c>
      <c r="Y468" s="63" t="str">
        <f t="shared" si="53"/>
        <v/>
      </c>
      <c r="Z468" s="58" t="str">
        <f t="shared" si="54"/>
        <v/>
      </c>
      <c r="AA468" s="66" t="str">
        <f t="shared" si="55"/>
        <v/>
      </c>
      <c r="AB468" s="62"/>
      <c r="AC468" s="62"/>
      <c r="AD468" s="63" t="str">
        <f>IFERROR(IF(OR($AB468="",$T468="",$T468=0),"",ROUND(ABS($N468-$AB468)*$S468*VLOOKUP($F468,'⚙️ Setelan'!$A$14:$F$20,4,FALSE)/$T468,2)),"")</f>
        <v/>
      </c>
      <c r="AE468" s="63" t="str">
        <f>IFERROR(IF(OR($AC468="",$T468="",$T468=0),"",ROUND(ABS($AC468-$N468)*$S468*VLOOKUP($F468,'⚙️ Setelan'!$A$14:$F$20,4,FALSE)/$T468,2)),"")</f>
        <v/>
      </c>
      <c r="AF468" s="61"/>
      <c r="AG468" s="61"/>
      <c r="AH468" s="61"/>
      <c r="AI468" s="61"/>
      <c r="AJ468" s="61"/>
      <c r="AK468" s="67"/>
      <c r="AL468" s="58" t="str">
        <f>IF(OR($C468="",$B468=""),"",IF(AND($Z467="Loss",$B468=$B467,MOD($C468-$D467,1)*1440&lt;'⚙️ Setelan'!$B$9),"⚠️ Revenge",""))</f>
        <v/>
      </c>
      <c r="AM468" s="68"/>
      <c r="AN468" s="58" t="str">
        <f>IF($AM468="","",IFERROR(_xlfn.IMAGE(IF(REGEXMATCH($AM468,"\.(png|jpg|jpeg|gif)$"),$AM468,"https://s3.tradingview.com/snapshots/"&amp;LOWER(MID(REGEXEXTRACT($AM468,"/x/([A-Za-z0-9]+)"),1,1))&amp;"/"&amp;REGEXEXTRACT($AM468,"/x/([A-Za-z0-9]+)")&amp;".png"),1),"⚠️ link tidak dikenali"))</f>
        <v/>
      </c>
      <c r="AO468" s="68"/>
      <c r="AP468" s="58" t="str">
        <f>IF($AO468="","",IFERROR(_xlfn.IMAGE(IF(REGEXMATCH($AO468,"\.(png|jpg|jpeg|gif)$"),$AO468,"https://s3.tradingview.com/snapshots/"&amp;LOWER(MID(REGEXEXTRACT($AO468,"/x/([A-Za-z0-9]+)"),1,1))&amp;"/"&amp;REGEXEXTRACT($AO468,"/x/([A-Za-z0-9]+)")&amp;".png"),1),"⚠️ link tidak dikenali"))</f>
        <v/>
      </c>
      <c r="AQ468" s="66">
        <f>IF($Z468="",0,IF(AND(OR('📊 Dashboard'!$B$4="(Semua)",$F468='📊 Dashboard'!$B$4),OR('📊 Dashboard'!$B$5="(Semua)",$H468='📊 Dashboard'!$B$5),OR('📊 Dashboard'!$B$6="(Semua)",$E468='📊 Dashboard'!$B$6),OR('📊 Dashboard'!$B$7="(Semua)",$AF468='📊 Dashboard'!$B$7),OR('📊 Dashboard'!$B$8="(Semua)",$AG468='📊 Dashboard'!$B$8),OR('📊 Dashboard'!$B$9="(Semua)",$K468='📊 Dashboard'!$B$9)),1,0))</f>
        <v>0</v>
      </c>
      <c r="AR468" s="69"/>
    </row>
    <row r="469" ht="58" customHeight="1" spans="1:44">
      <c r="A469" s="58" t="str">
        <f t="shared" si="49"/>
        <v/>
      </c>
      <c r="B469" s="59"/>
      <c r="C469" s="60"/>
      <c r="D469" s="60"/>
      <c r="E469" s="58" t="str">
        <f t="shared" si="50"/>
        <v/>
      </c>
      <c r="F469" s="61"/>
      <c r="G469" s="61"/>
      <c r="H469" s="61"/>
      <c r="I469" s="61"/>
      <c r="J469" s="61"/>
      <c r="K469" s="61"/>
      <c r="L469" s="61"/>
      <c r="M469" s="61"/>
      <c r="N469" s="62"/>
      <c r="O469" s="62"/>
      <c r="P469" s="62"/>
      <c r="Q469" s="62"/>
      <c r="R469" s="63" t="str">
        <f>IFERROR(IF(OR($N469="",$O469="",$F469=""),"",ROUND(('⚙️ Setelan'!$B$3*'⚙️ Setelan'!$B$4/100)/(ABS($N469-$O469)*VLOOKUP($F469,'⚙️ Setelan'!$A$14:$F$20,4,FALSE)),2)),"")</f>
        <v/>
      </c>
      <c r="S469" s="64"/>
      <c r="T469" s="65" t="str">
        <f>IFERROR(IF(OR($N469="",$O469="",$S469=""),"",ABS($N469-$O469)*$S469*VLOOKUP($F469,'⚙️ Setelan'!$A$14:$F$20,4,FALSE)),"")</f>
        <v/>
      </c>
      <c r="U469" s="63" t="str">
        <f t="shared" si="51"/>
        <v/>
      </c>
      <c r="V469" s="65" t="str">
        <f>IFERROR(IF(OR($Q469="",$N469="",$S469=""),"",($Q469-$N469)*IF($G469="Buy",1,-1)*$S469*VLOOKUP($F469,'⚙️ Setelan'!$A$14:$F$20,4,FALSE)),"")</f>
        <v/>
      </c>
      <c r="W469" s="65" t="str">
        <f>IFERROR(IF(OR($S469="",$F469=""),"",$S469*VLOOKUP($F469,'⚙️ Setelan'!$A$14:$F$20,5,FALSE)),"")</f>
        <v/>
      </c>
      <c r="X469" s="65" t="str">
        <f t="shared" si="52"/>
        <v/>
      </c>
      <c r="Y469" s="63" t="str">
        <f t="shared" si="53"/>
        <v/>
      </c>
      <c r="Z469" s="58" t="str">
        <f t="shared" si="54"/>
        <v/>
      </c>
      <c r="AA469" s="66" t="str">
        <f t="shared" si="55"/>
        <v/>
      </c>
      <c r="AB469" s="62"/>
      <c r="AC469" s="62"/>
      <c r="AD469" s="63" t="str">
        <f>IFERROR(IF(OR($AB469="",$T469="",$T469=0),"",ROUND(ABS($N469-$AB469)*$S469*VLOOKUP($F469,'⚙️ Setelan'!$A$14:$F$20,4,FALSE)/$T469,2)),"")</f>
        <v/>
      </c>
      <c r="AE469" s="63" t="str">
        <f>IFERROR(IF(OR($AC469="",$T469="",$T469=0),"",ROUND(ABS($AC469-$N469)*$S469*VLOOKUP($F469,'⚙️ Setelan'!$A$14:$F$20,4,FALSE)/$T469,2)),"")</f>
        <v/>
      </c>
      <c r="AF469" s="61"/>
      <c r="AG469" s="61"/>
      <c r="AH469" s="61"/>
      <c r="AI469" s="61"/>
      <c r="AJ469" s="61"/>
      <c r="AK469" s="67"/>
      <c r="AL469" s="58" t="str">
        <f>IF(OR($C469="",$B469=""),"",IF(AND($Z468="Loss",$B469=$B468,MOD($C469-$D468,1)*1440&lt;'⚙️ Setelan'!$B$9),"⚠️ Revenge",""))</f>
        <v/>
      </c>
      <c r="AM469" s="68"/>
      <c r="AN469" s="58" t="str">
        <f>IF($AM469="","",IFERROR(_xlfn.IMAGE(IF(REGEXMATCH($AM469,"\.(png|jpg|jpeg|gif)$"),$AM469,"https://s3.tradingview.com/snapshots/"&amp;LOWER(MID(REGEXEXTRACT($AM469,"/x/([A-Za-z0-9]+)"),1,1))&amp;"/"&amp;REGEXEXTRACT($AM469,"/x/([A-Za-z0-9]+)")&amp;".png"),1),"⚠️ link tidak dikenali"))</f>
        <v/>
      </c>
      <c r="AO469" s="68"/>
      <c r="AP469" s="58" t="str">
        <f>IF($AO469="","",IFERROR(_xlfn.IMAGE(IF(REGEXMATCH($AO469,"\.(png|jpg|jpeg|gif)$"),$AO469,"https://s3.tradingview.com/snapshots/"&amp;LOWER(MID(REGEXEXTRACT($AO469,"/x/([A-Za-z0-9]+)"),1,1))&amp;"/"&amp;REGEXEXTRACT($AO469,"/x/([A-Za-z0-9]+)")&amp;".png"),1),"⚠️ link tidak dikenali"))</f>
        <v/>
      </c>
      <c r="AQ469" s="66">
        <f>IF($Z469="",0,IF(AND(OR('📊 Dashboard'!$B$4="(Semua)",$F469='📊 Dashboard'!$B$4),OR('📊 Dashboard'!$B$5="(Semua)",$H469='📊 Dashboard'!$B$5),OR('📊 Dashboard'!$B$6="(Semua)",$E469='📊 Dashboard'!$B$6),OR('📊 Dashboard'!$B$7="(Semua)",$AF469='📊 Dashboard'!$B$7),OR('📊 Dashboard'!$B$8="(Semua)",$AG469='📊 Dashboard'!$B$8),OR('📊 Dashboard'!$B$9="(Semua)",$K469='📊 Dashboard'!$B$9)),1,0))</f>
        <v>0</v>
      </c>
      <c r="AR469" s="69"/>
    </row>
    <row r="470" ht="58" customHeight="1" spans="1:44">
      <c r="A470" s="58" t="str">
        <f t="shared" si="49"/>
        <v/>
      </c>
      <c r="B470" s="59"/>
      <c r="C470" s="60"/>
      <c r="D470" s="60"/>
      <c r="E470" s="58" t="str">
        <f t="shared" si="50"/>
        <v/>
      </c>
      <c r="F470" s="61"/>
      <c r="G470" s="61"/>
      <c r="H470" s="61"/>
      <c r="I470" s="61"/>
      <c r="J470" s="61"/>
      <c r="K470" s="61"/>
      <c r="L470" s="61"/>
      <c r="M470" s="61"/>
      <c r="N470" s="62"/>
      <c r="O470" s="62"/>
      <c r="P470" s="62"/>
      <c r="Q470" s="62"/>
      <c r="R470" s="63" t="str">
        <f>IFERROR(IF(OR($N470="",$O470="",$F470=""),"",ROUND(('⚙️ Setelan'!$B$3*'⚙️ Setelan'!$B$4/100)/(ABS($N470-$O470)*VLOOKUP($F470,'⚙️ Setelan'!$A$14:$F$20,4,FALSE)),2)),"")</f>
        <v/>
      </c>
      <c r="S470" s="64"/>
      <c r="T470" s="65" t="str">
        <f>IFERROR(IF(OR($N470="",$O470="",$S470=""),"",ABS($N470-$O470)*$S470*VLOOKUP($F470,'⚙️ Setelan'!$A$14:$F$20,4,FALSE)),"")</f>
        <v/>
      </c>
      <c r="U470" s="63" t="str">
        <f t="shared" si="51"/>
        <v/>
      </c>
      <c r="V470" s="65" t="str">
        <f>IFERROR(IF(OR($Q470="",$N470="",$S470=""),"",($Q470-$N470)*IF($G470="Buy",1,-1)*$S470*VLOOKUP($F470,'⚙️ Setelan'!$A$14:$F$20,4,FALSE)),"")</f>
        <v/>
      </c>
      <c r="W470" s="65" t="str">
        <f>IFERROR(IF(OR($S470="",$F470=""),"",$S470*VLOOKUP($F470,'⚙️ Setelan'!$A$14:$F$20,5,FALSE)),"")</f>
        <v/>
      </c>
      <c r="X470" s="65" t="str">
        <f t="shared" si="52"/>
        <v/>
      </c>
      <c r="Y470" s="63" t="str">
        <f t="shared" si="53"/>
        <v/>
      </c>
      <c r="Z470" s="58" t="str">
        <f t="shared" si="54"/>
        <v/>
      </c>
      <c r="AA470" s="66" t="str">
        <f t="shared" si="55"/>
        <v/>
      </c>
      <c r="AB470" s="62"/>
      <c r="AC470" s="62"/>
      <c r="AD470" s="63" t="str">
        <f>IFERROR(IF(OR($AB470="",$T470="",$T470=0),"",ROUND(ABS($N470-$AB470)*$S470*VLOOKUP($F470,'⚙️ Setelan'!$A$14:$F$20,4,FALSE)/$T470,2)),"")</f>
        <v/>
      </c>
      <c r="AE470" s="63" t="str">
        <f>IFERROR(IF(OR($AC470="",$T470="",$T470=0),"",ROUND(ABS($AC470-$N470)*$S470*VLOOKUP($F470,'⚙️ Setelan'!$A$14:$F$20,4,FALSE)/$T470,2)),"")</f>
        <v/>
      </c>
      <c r="AF470" s="61"/>
      <c r="AG470" s="61"/>
      <c r="AH470" s="61"/>
      <c r="AI470" s="61"/>
      <c r="AJ470" s="61"/>
      <c r="AK470" s="67"/>
      <c r="AL470" s="58" t="str">
        <f>IF(OR($C470="",$B470=""),"",IF(AND($Z469="Loss",$B470=$B469,MOD($C470-$D469,1)*1440&lt;'⚙️ Setelan'!$B$9),"⚠️ Revenge",""))</f>
        <v/>
      </c>
      <c r="AM470" s="68"/>
      <c r="AN470" s="58" t="str">
        <f>IF($AM470="","",IFERROR(_xlfn.IMAGE(IF(REGEXMATCH($AM470,"\.(png|jpg|jpeg|gif)$"),$AM470,"https://s3.tradingview.com/snapshots/"&amp;LOWER(MID(REGEXEXTRACT($AM470,"/x/([A-Za-z0-9]+)"),1,1))&amp;"/"&amp;REGEXEXTRACT($AM470,"/x/([A-Za-z0-9]+)")&amp;".png"),1),"⚠️ link tidak dikenali"))</f>
        <v/>
      </c>
      <c r="AO470" s="68"/>
      <c r="AP470" s="58" t="str">
        <f>IF($AO470="","",IFERROR(_xlfn.IMAGE(IF(REGEXMATCH($AO470,"\.(png|jpg|jpeg|gif)$"),$AO470,"https://s3.tradingview.com/snapshots/"&amp;LOWER(MID(REGEXEXTRACT($AO470,"/x/([A-Za-z0-9]+)"),1,1))&amp;"/"&amp;REGEXEXTRACT($AO470,"/x/([A-Za-z0-9]+)")&amp;".png"),1),"⚠️ link tidak dikenali"))</f>
        <v/>
      </c>
      <c r="AQ470" s="66">
        <f>IF($Z470="",0,IF(AND(OR('📊 Dashboard'!$B$4="(Semua)",$F470='📊 Dashboard'!$B$4),OR('📊 Dashboard'!$B$5="(Semua)",$H470='📊 Dashboard'!$B$5),OR('📊 Dashboard'!$B$6="(Semua)",$E470='📊 Dashboard'!$B$6),OR('📊 Dashboard'!$B$7="(Semua)",$AF470='📊 Dashboard'!$B$7),OR('📊 Dashboard'!$B$8="(Semua)",$AG470='📊 Dashboard'!$B$8),OR('📊 Dashboard'!$B$9="(Semua)",$K470='📊 Dashboard'!$B$9)),1,0))</f>
        <v>0</v>
      </c>
      <c r="AR470" s="69"/>
    </row>
    <row r="471" ht="58" customHeight="1" spans="1:44">
      <c r="A471" s="58" t="str">
        <f t="shared" si="49"/>
        <v/>
      </c>
      <c r="B471" s="59"/>
      <c r="C471" s="60"/>
      <c r="D471" s="60"/>
      <c r="E471" s="58" t="str">
        <f t="shared" si="50"/>
        <v/>
      </c>
      <c r="F471" s="61"/>
      <c r="G471" s="61"/>
      <c r="H471" s="61"/>
      <c r="I471" s="61"/>
      <c r="J471" s="61"/>
      <c r="K471" s="61"/>
      <c r="L471" s="61"/>
      <c r="M471" s="61"/>
      <c r="N471" s="62"/>
      <c r="O471" s="62"/>
      <c r="P471" s="62"/>
      <c r="Q471" s="62"/>
      <c r="R471" s="63" t="str">
        <f>IFERROR(IF(OR($N471="",$O471="",$F471=""),"",ROUND(('⚙️ Setelan'!$B$3*'⚙️ Setelan'!$B$4/100)/(ABS($N471-$O471)*VLOOKUP($F471,'⚙️ Setelan'!$A$14:$F$20,4,FALSE)),2)),"")</f>
        <v/>
      </c>
      <c r="S471" s="64"/>
      <c r="T471" s="65" t="str">
        <f>IFERROR(IF(OR($N471="",$O471="",$S471=""),"",ABS($N471-$O471)*$S471*VLOOKUP($F471,'⚙️ Setelan'!$A$14:$F$20,4,FALSE)),"")</f>
        <v/>
      </c>
      <c r="U471" s="63" t="str">
        <f t="shared" si="51"/>
        <v/>
      </c>
      <c r="V471" s="65" t="str">
        <f>IFERROR(IF(OR($Q471="",$N471="",$S471=""),"",($Q471-$N471)*IF($G471="Buy",1,-1)*$S471*VLOOKUP($F471,'⚙️ Setelan'!$A$14:$F$20,4,FALSE)),"")</f>
        <v/>
      </c>
      <c r="W471" s="65" t="str">
        <f>IFERROR(IF(OR($S471="",$F471=""),"",$S471*VLOOKUP($F471,'⚙️ Setelan'!$A$14:$F$20,5,FALSE)),"")</f>
        <v/>
      </c>
      <c r="X471" s="65" t="str">
        <f t="shared" si="52"/>
        <v/>
      </c>
      <c r="Y471" s="63" t="str">
        <f t="shared" si="53"/>
        <v/>
      </c>
      <c r="Z471" s="58" t="str">
        <f t="shared" si="54"/>
        <v/>
      </c>
      <c r="AA471" s="66" t="str">
        <f t="shared" si="55"/>
        <v/>
      </c>
      <c r="AB471" s="62"/>
      <c r="AC471" s="62"/>
      <c r="AD471" s="63" t="str">
        <f>IFERROR(IF(OR($AB471="",$T471="",$T471=0),"",ROUND(ABS($N471-$AB471)*$S471*VLOOKUP($F471,'⚙️ Setelan'!$A$14:$F$20,4,FALSE)/$T471,2)),"")</f>
        <v/>
      </c>
      <c r="AE471" s="63" t="str">
        <f>IFERROR(IF(OR($AC471="",$T471="",$T471=0),"",ROUND(ABS($AC471-$N471)*$S471*VLOOKUP($F471,'⚙️ Setelan'!$A$14:$F$20,4,FALSE)/$T471,2)),"")</f>
        <v/>
      </c>
      <c r="AF471" s="61"/>
      <c r="AG471" s="61"/>
      <c r="AH471" s="61"/>
      <c r="AI471" s="61"/>
      <c r="AJ471" s="61"/>
      <c r="AK471" s="67"/>
      <c r="AL471" s="58" t="str">
        <f>IF(OR($C471="",$B471=""),"",IF(AND($Z470="Loss",$B471=$B470,MOD($C471-$D470,1)*1440&lt;'⚙️ Setelan'!$B$9),"⚠️ Revenge",""))</f>
        <v/>
      </c>
      <c r="AM471" s="68"/>
      <c r="AN471" s="58" t="str">
        <f>IF($AM471="","",IFERROR(_xlfn.IMAGE(IF(REGEXMATCH($AM471,"\.(png|jpg|jpeg|gif)$"),$AM471,"https://s3.tradingview.com/snapshots/"&amp;LOWER(MID(REGEXEXTRACT($AM471,"/x/([A-Za-z0-9]+)"),1,1))&amp;"/"&amp;REGEXEXTRACT($AM471,"/x/([A-Za-z0-9]+)")&amp;".png"),1),"⚠️ link tidak dikenali"))</f>
        <v/>
      </c>
      <c r="AO471" s="68"/>
      <c r="AP471" s="58" t="str">
        <f>IF($AO471="","",IFERROR(_xlfn.IMAGE(IF(REGEXMATCH($AO471,"\.(png|jpg|jpeg|gif)$"),$AO471,"https://s3.tradingview.com/snapshots/"&amp;LOWER(MID(REGEXEXTRACT($AO471,"/x/([A-Za-z0-9]+)"),1,1))&amp;"/"&amp;REGEXEXTRACT($AO471,"/x/([A-Za-z0-9]+)")&amp;".png"),1),"⚠️ link tidak dikenali"))</f>
        <v/>
      </c>
      <c r="AQ471" s="66">
        <f>IF($Z471="",0,IF(AND(OR('📊 Dashboard'!$B$4="(Semua)",$F471='📊 Dashboard'!$B$4),OR('📊 Dashboard'!$B$5="(Semua)",$H471='📊 Dashboard'!$B$5),OR('📊 Dashboard'!$B$6="(Semua)",$E471='📊 Dashboard'!$B$6),OR('📊 Dashboard'!$B$7="(Semua)",$AF471='📊 Dashboard'!$B$7),OR('📊 Dashboard'!$B$8="(Semua)",$AG471='📊 Dashboard'!$B$8),OR('📊 Dashboard'!$B$9="(Semua)",$K471='📊 Dashboard'!$B$9)),1,0))</f>
        <v>0</v>
      </c>
      <c r="AR471" s="69"/>
    </row>
    <row r="472" ht="58" customHeight="1" spans="1:44">
      <c r="A472" s="58" t="str">
        <f t="shared" si="49"/>
        <v/>
      </c>
      <c r="B472" s="59"/>
      <c r="C472" s="60"/>
      <c r="D472" s="60"/>
      <c r="E472" s="58" t="str">
        <f t="shared" si="50"/>
        <v/>
      </c>
      <c r="F472" s="61"/>
      <c r="G472" s="61"/>
      <c r="H472" s="61"/>
      <c r="I472" s="61"/>
      <c r="J472" s="61"/>
      <c r="K472" s="61"/>
      <c r="L472" s="61"/>
      <c r="M472" s="61"/>
      <c r="N472" s="62"/>
      <c r="O472" s="62"/>
      <c r="P472" s="62"/>
      <c r="Q472" s="62"/>
      <c r="R472" s="63" t="str">
        <f>IFERROR(IF(OR($N472="",$O472="",$F472=""),"",ROUND(('⚙️ Setelan'!$B$3*'⚙️ Setelan'!$B$4/100)/(ABS($N472-$O472)*VLOOKUP($F472,'⚙️ Setelan'!$A$14:$F$20,4,FALSE)),2)),"")</f>
        <v/>
      </c>
      <c r="S472" s="64"/>
      <c r="T472" s="65" t="str">
        <f>IFERROR(IF(OR($N472="",$O472="",$S472=""),"",ABS($N472-$O472)*$S472*VLOOKUP($F472,'⚙️ Setelan'!$A$14:$F$20,4,FALSE)),"")</f>
        <v/>
      </c>
      <c r="U472" s="63" t="str">
        <f t="shared" si="51"/>
        <v/>
      </c>
      <c r="V472" s="65" t="str">
        <f>IFERROR(IF(OR($Q472="",$N472="",$S472=""),"",($Q472-$N472)*IF($G472="Buy",1,-1)*$S472*VLOOKUP($F472,'⚙️ Setelan'!$A$14:$F$20,4,FALSE)),"")</f>
        <v/>
      </c>
      <c r="W472" s="65" t="str">
        <f>IFERROR(IF(OR($S472="",$F472=""),"",$S472*VLOOKUP($F472,'⚙️ Setelan'!$A$14:$F$20,5,FALSE)),"")</f>
        <v/>
      </c>
      <c r="X472" s="65" t="str">
        <f t="shared" si="52"/>
        <v/>
      </c>
      <c r="Y472" s="63" t="str">
        <f t="shared" si="53"/>
        <v/>
      </c>
      <c r="Z472" s="58" t="str">
        <f t="shared" si="54"/>
        <v/>
      </c>
      <c r="AA472" s="66" t="str">
        <f t="shared" si="55"/>
        <v/>
      </c>
      <c r="AB472" s="62"/>
      <c r="AC472" s="62"/>
      <c r="AD472" s="63" t="str">
        <f>IFERROR(IF(OR($AB472="",$T472="",$T472=0),"",ROUND(ABS($N472-$AB472)*$S472*VLOOKUP($F472,'⚙️ Setelan'!$A$14:$F$20,4,FALSE)/$T472,2)),"")</f>
        <v/>
      </c>
      <c r="AE472" s="63" t="str">
        <f>IFERROR(IF(OR($AC472="",$T472="",$T472=0),"",ROUND(ABS($AC472-$N472)*$S472*VLOOKUP($F472,'⚙️ Setelan'!$A$14:$F$20,4,FALSE)/$T472,2)),"")</f>
        <v/>
      </c>
      <c r="AF472" s="61"/>
      <c r="AG472" s="61"/>
      <c r="AH472" s="61"/>
      <c r="AI472" s="61"/>
      <c r="AJ472" s="61"/>
      <c r="AK472" s="67"/>
      <c r="AL472" s="58" t="str">
        <f>IF(OR($C472="",$B472=""),"",IF(AND($Z471="Loss",$B472=$B471,MOD($C472-$D471,1)*1440&lt;'⚙️ Setelan'!$B$9),"⚠️ Revenge",""))</f>
        <v/>
      </c>
      <c r="AM472" s="68"/>
      <c r="AN472" s="58" t="str">
        <f>IF($AM472="","",IFERROR(_xlfn.IMAGE(IF(REGEXMATCH($AM472,"\.(png|jpg|jpeg|gif)$"),$AM472,"https://s3.tradingview.com/snapshots/"&amp;LOWER(MID(REGEXEXTRACT($AM472,"/x/([A-Za-z0-9]+)"),1,1))&amp;"/"&amp;REGEXEXTRACT($AM472,"/x/([A-Za-z0-9]+)")&amp;".png"),1),"⚠️ link tidak dikenali"))</f>
        <v/>
      </c>
      <c r="AO472" s="68"/>
      <c r="AP472" s="58" t="str">
        <f>IF($AO472="","",IFERROR(_xlfn.IMAGE(IF(REGEXMATCH($AO472,"\.(png|jpg|jpeg|gif)$"),$AO472,"https://s3.tradingview.com/snapshots/"&amp;LOWER(MID(REGEXEXTRACT($AO472,"/x/([A-Za-z0-9]+)"),1,1))&amp;"/"&amp;REGEXEXTRACT($AO472,"/x/([A-Za-z0-9]+)")&amp;".png"),1),"⚠️ link tidak dikenali"))</f>
        <v/>
      </c>
      <c r="AQ472" s="66">
        <f>IF($Z472="",0,IF(AND(OR('📊 Dashboard'!$B$4="(Semua)",$F472='📊 Dashboard'!$B$4),OR('📊 Dashboard'!$B$5="(Semua)",$H472='📊 Dashboard'!$B$5),OR('📊 Dashboard'!$B$6="(Semua)",$E472='📊 Dashboard'!$B$6),OR('📊 Dashboard'!$B$7="(Semua)",$AF472='📊 Dashboard'!$B$7),OR('📊 Dashboard'!$B$8="(Semua)",$AG472='📊 Dashboard'!$B$8),OR('📊 Dashboard'!$B$9="(Semua)",$K472='📊 Dashboard'!$B$9)),1,0))</f>
        <v>0</v>
      </c>
      <c r="AR472" s="69"/>
    </row>
    <row r="473" ht="58" customHeight="1" spans="1:44">
      <c r="A473" s="58" t="str">
        <f t="shared" si="49"/>
        <v/>
      </c>
      <c r="B473" s="59"/>
      <c r="C473" s="60"/>
      <c r="D473" s="60"/>
      <c r="E473" s="58" t="str">
        <f t="shared" si="50"/>
        <v/>
      </c>
      <c r="F473" s="61"/>
      <c r="G473" s="61"/>
      <c r="H473" s="61"/>
      <c r="I473" s="61"/>
      <c r="J473" s="61"/>
      <c r="K473" s="61"/>
      <c r="L473" s="61"/>
      <c r="M473" s="61"/>
      <c r="N473" s="62"/>
      <c r="O473" s="62"/>
      <c r="P473" s="62"/>
      <c r="Q473" s="62"/>
      <c r="R473" s="63" t="str">
        <f>IFERROR(IF(OR($N473="",$O473="",$F473=""),"",ROUND(('⚙️ Setelan'!$B$3*'⚙️ Setelan'!$B$4/100)/(ABS($N473-$O473)*VLOOKUP($F473,'⚙️ Setelan'!$A$14:$F$20,4,FALSE)),2)),"")</f>
        <v/>
      </c>
      <c r="S473" s="64"/>
      <c r="T473" s="65" t="str">
        <f>IFERROR(IF(OR($N473="",$O473="",$S473=""),"",ABS($N473-$O473)*$S473*VLOOKUP($F473,'⚙️ Setelan'!$A$14:$F$20,4,FALSE)),"")</f>
        <v/>
      </c>
      <c r="U473" s="63" t="str">
        <f t="shared" si="51"/>
        <v/>
      </c>
      <c r="V473" s="65" t="str">
        <f>IFERROR(IF(OR($Q473="",$N473="",$S473=""),"",($Q473-$N473)*IF($G473="Buy",1,-1)*$S473*VLOOKUP($F473,'⚙️ Setelan'!$A$14:$F$20,4,FALSE)),"")</f>
        <v/>
      </c>
      <c r="W473" s="65" t="str">
        <f>IFERROR(IF(OR($S473="",$F473=""),"",$S473*VLOOKUP($F473,'⚙️ Setelan'!$A$14:$F$20,5,FALSE)),"")</f>
        <v/>
      </c>
      <c r="X473" s="65" t="str">
        <f t="shared" si="52"/>
        <v/>
      </c>
      <c r="Y473" s="63" t="str">
        <f t="shared" si="53"/>
        <v/>
      </c>
      <c r="Z473" s="58" t="str">
        <f t="shared" si="54"/>
        <v/>
      </c>
      <c r="AA473" s="66" t="str">
        <f t="shared" si="55"/>
        <v/>
      </c>
      <c r="AB473" s="62"/>
      <c r="AC473" s="62"/>
      <c r="AD473" s="63" t="str">
        <f>IFERROR(IF(OR($AB473="",$T473="",$T473=0),"",ROUND(ABS($N473-$AB473)*$S473*VLOOKUP($F473,'⚙️ Setelan'!$A$14:$F$20,4,FALSE)/$T473,2)),"")</f>
        <v/>
      </c>
      <c r="AE473" s="63" t="str">
        <f>IFERROR(IF(OR($AC473="",$T473="",$T473=0),"",ROUND(ABS($AC473-$N473)*$S473*VLOOKUP($F473,'⚙️ Setelan'!$A$14:$F$20,4,FALSE)/$T473,2)),"")</f>
        <v/>
      </c>
      <c r="AF473" s="61"/>
      <c r="AG473" s="61"/>
      <c r="AH473" s="61"/>
      <c r="AI473" s="61"/>
      <c r="AJ473" s="61"/>
      <c r="AK473" s="67"/>
      <c r="AL473" s="58" t="str">
        <f>IF(OR($C473="",$B473=""),"",IF(AND($Z472="Loss",$B473=$B472,MOD($C473-$D472,1)*1440&lt;'⚙️ Setelan'!$B$9),"⚠️ Revenge",""))</f>
        <v/>
      </c>
      <c r="AM473" s="68"/>
      <c r="AN473" s="58" t="str">
        <f>IF($AM473="","",IFERROR(_xlfn.IMAGE(IF(REGEXMATCH($AM473,"\.(png|jpg|jpeg|gif)$"),$AM473,"https://s3.tradingview.com/snapshots/"&amp;LOWER(MID(REGEXEXTRACT($AM473,"/x/([A-Za-z0-9]+)"),1,1))&amp;"/"&amp;REGEXEXTRACT($AM473,"/x/([A-Za-z0-9]+)")&amp;".png"),1),"⚠️ link tidak dikenali"))</f>
        <v/>
      </c>
      <c r="AO473" s="68"/>
      <c r="AP473" s="58" t="str">
        <f>IF($AO473="","",IFERROR(_xlfn.IMAGE(IF(REGEXMATCH($AO473,"\.(png|jpg|jpeg|gif)$"),$AO473,"https://s3.tradingview.com/snapshots/"&amp;LOWER(MID(REGEXEXTRACT($AO473,"/x/([A-Za-z0-9]+)"),1,1))&amp;"/"&amp;REGEXEXTRACT($AO473,"/x/([A-Za-z0-9]+)")&amp;".png"),1),"⚠️ link tidak dikenali"))</f>
        <v/>
      </c>
      <c r="AQ473" s="66">
        <f>IF($Z473="",0,IF(AND(OR('📊 Dashboard'!$B$4="(Semua)",$F473='📊 Dashboard'!$B$4),OR('📊 Dashboard'!$B$5="(Semua)",$H473='📊 Dashboard'!$B$5),OR('📊 Dashboard'!$B$6="(Semua)",$E473='📊 Dashboard'!$B$6),OR('📊 Dashboard'!$B$7="(Semua)",$AF473='📊 Dashboard'!$B$7),OR('📊 Dashboard'!$B$8="(Semua)",$AG473='📊 Dashboard'!$B$8),OR('📊 Dashboard'!$B$9="(Semua)",$K473='📊 Dashboard'!$B$9)),1,0))</f>
        <v>0</v>
      </c>
      <c r="AR473" s="69"/>
    </row>
    <row r="474" ht="58" customHeight="1" spans="1:44">
      <c r="A474" s="58" t="str">
        <f t="shared" si="49"/>
        <v/>
      </c>
      <c r="B474" s="59"/>
      <c r="C474" s="60"/>
      <c r="D474" s="60"/>
      <c r="E474" s="58" t="str">
        <f t="shared" si="50"/>
        <v/>
      </c>
      <c r="F474" s="61"/>
      <c r="G474" s="61"/>
      <c r="H474" s="61"/>
      <c r="I474" s="61"/>
      <c r="J474" s="61"/>
      <c r="K474" s="61"/>
      <c r="L474" s="61"/>
      <c r="M474" s="61"/>
      <c r="N474" s="62"/>
      <c r="O474" s="62"/>
      <c r="P474" s="62"/>
      <c r="Q474" s="62"/>
      <c r="R474" s="63" t="str">
        <f>IFERROR(IF(OR($N474="",$O474="",$F474=""),"",ROUND(('⚙️ Setelan'!$B$3*'⚙️ Setelan'!$B$4/100)/(ABS($N474-$O474)*VLOOKUP($F474,'⚙️ Setelan'!$A$14:$F$20,4,FALSE)),2)),"")</f>
        <v/>
      </c>
      <c r="S474" s="64"/>
      <c r="T474" s="65" t="str">
        <f>IFERROR(IF(OR($N474="",$O474="",$S474=""),"",ABS($N474-$O474)*$S474*VLOOKUP($F474,'⚙️ Setelan'!$A$14:$F$20,4,FALSE)),"")</f>
        <v/>
      </c>
      <c r="U474" s="63" t="str">
        <f t="shared" si="51"/>
        <v/>
      </c>
      <c r="V474" s="65" t="str">
        <f>IFERROR(IF(OR($Q474="",$N474="",$S474=""),"",($Q474-$N474)*IF($G474="Buy",1,-1)*$S474*VLOOKUP($F474,'⚙️ Setelan'!$A$14:$F$20,4,FALSE)),"")</f>
        <v/>
      </c>
      <c r="W474" s="65" t="str">
        <f>IFERROR(IF(OR($S474="",$F474=""),"",$S474*VLOOKUP($F474,'⚙️ Setelan'!$A$14:$F$20,5,FALSE)),"")</f>
        <v/>
      </c>
      <c r="X474" s="65" t="str">
        <f t="shared" si="52"/>
        <v/>
      </c>
      <c r="Y474" s="63" t="str">
        <f t="shared" si="53"/>
        <v/>
      </c>
      <c r="Z474" s="58" t="str">
        <f t="shared" si="54"/>
        <v/>
      </c>
      <c r="AA474" s="66" t="str">
        <f t="shared" si="55"/>
        <v/>
      </c>
      <c r="AB474" s="62"/>
      <c r="AC474" s="62"/>
      <c r="AD474" s="63" t="str">
        <f>IFERROR(IF(OR($AB474="",$T474="",$T474=0),"",ROUND(ABS($N474-$AB474)*$S474*VLOOKUP($F474,'⚙️ Setelan'!$A$14:$F$20,4,FALSE)/$T474,2)),"")</f>
        <v/>
      </c>
      <c r="AE474" s="63" t="str">
        <f>IFERROR(IF(OR($AC474="",$T474="",$T474=0),"",ROUND(ABS($AC474-$N474)*$S474*VLOOKUP($F474,'⚙️ Setelan'!$A$14:$F$20,4,FALSE)/$T474,2)),"")</f>
        <v/>
      </c>
      <c r="AF474" s="61"/>
      <c r="AG474" s="61"/>
      <c r="AH474" s="61"/>
      <c r="AI474" s="61"/>
      <c r="AJ474" s="61"/>
      <c r="AK474" s="67"/>
      <c r="AL474" s="58" t="str">
        <f>IF(OR($C474="",$B474=""),"",IF(AND($Z473="Loss",$B474=$B473,MOD($C474-$D473,1)*1440&lt;'⚙️ Setelan'!$B$9),"⚠️ Revenge",""))</f>
        <v/>
      </c>
      <c r="AM474" s="68"/>
      <c r="AN474" s="58" t="str">
        <f>IF($AM474="","",IFERROR(_xlfn.IMAGE(IF(REGEXMATCH($AM474,"\.(png|jpg|jpeg|gif)$"),$AM474,"https://s3.tradingview.com/snapshots/"&amp;LOWER(MID(REGEXEXTRACT($AM474,"/x/([A-Za-z0-9]+)"),1,1))&amp;"/"&amp;REGEXEXTRACT($AM474,"/x/([A-Za-z0-9]+)")&amp;".png"),1),"⚠️ link tidak dikenali"))</f>
        <v/>
      </c>
      <c r="AO474" s="68"/>
      <c r="AP474" s="58" t="str">
        <f>IF($AO474="","",IFERROR(_xlfn.IMAGE(IF(REGEXMATCH($AO474,"\.(png|jpg|jpeg|gif)$"),$AO474,"https://s3.tradingview.com/snapshots/"&amp;LOWER(MID(REGEXEXTRACT($AO474,"/x/([A-Za-z0-9]+)"),1,1))&amp;"/"&amp;REGEXEXTRACT($AO474,"/x/([A-Za-z0-9]+)")&amp;".png"),1),"⚠️ link tidak dikenali"))</f>
        <v/>
      </c>
      <c r="AQ474" s="66">
        <f>IF($Z474="",0,IF(AND(OR('📊 Dashboard'!$B$4="(Semua)",$F474='📊 Dashboard'!$B$4),OR('📊 Dashboard'!$B$5="(Semua)",$H474='📊 Dashboard'!$B$5),OR('📊 Dashboard'!$B$6="(Semua)",$E474='📊 Dashboard'!$B$6),OR('📊 Dashboard'!$B$7="(Semua)",$AF474='📊 Dashboard'!$B$7),OR('📊 Dashboard'!$B$8="(Semua)",$AG474='📊 Dashboard'!$B$8),OR('📊 Dashboard'!$B$9="(Semua)",$K474='📊 Dashboard'!$B$9)),1,0))</f>
        <v>0</v>
      </c>
      <c r="AR474" s="69"/>
    </row>
    <row r="475" ht="58" customHeight="1" spans="1:44">
      <c r="A475" s="58" t="str">
        <f t="shared" si="49"/>
        <v/>
      </c>
      <c r="B475" s="59"/>
      <c r="C475" s="60"/>
      <c r="D475" s="60"/>
      <c r="E475" s="58" t="str">
        <f t="shared" si="50"/>
        <v/>
      </c>
      <c r="F475" s="61"/>
      <c r="G475" s="61"/>
      <c r="H475" s="61"/>
      <c r="I475" s="61"/>
      <c r="J475" s="61"/>
      <c r="K475" s="61"/>
      <c r="L475" s="61"/>
      <c r="M475" s="61"/>
      <c r="N475" s="62"/>
      <c r="O475" s="62"/>
      <c r="P475" s="62"/>
      <c r="Q475" s="62"/>
      <c r="R475" s="63" t="str">
        <f>IFERROR(IF(OR($N475="",$O475="",$F475=""),"",ROUND(('⚙️ Setelan'!$B$3*'⚙️ Setelan'!$B$4/100)/(ABS($N475-$O475)*VLOOKUP($F475,'⚙️ Setelan'!$A$14:$F$20,4,FALSE)),2)),"")</f>
        <v/>
      </c>
      <c r="S475" s="64"/>
      <c r="T475" s="65" t="str">
        <f>IFERROR(IF(OR($N475="",$O475="",$S475=""),"",ABS($N475-$O475)*$S475*VLOOKUP($F475,'⚙️ Setelan'!$A$14:$F$20,4,FALSE)),"")</f>
        <v/>
      </c>
      <c r="U475" s="63" t="str">
        <f t="shared" si="51"/>
        <v/>
      </c>
      <c r="V475" s="65" t="str">
        <f>IFERROR(IF(OR($Q475="",$N475="",$S475=""),"",($Q475-$N475)*IF($G475="Buy",1,-1)*$S475*VLOOKUP($F475,'⚙️ Setelan'!$A$14:$F$20,4,FALSE)),"")</f>
        <v/>
      </c>
      <c r="W475" s="65" t="str">
        <f>IFERROR(IF(OR($S475="",$F475=""),"",$S475*VLOOKUP($F475,'⚙️ Setelan'!$A$14:$F$20,5,FALSE)),"")</f>
        <v/>
      </c>
      <c r="X475" s="65" t="str">
        <f t="shared" si="52"/>
        <v/>
      </c>
      <c r="Y475" s="63" t="str">
        <f t="shared" si="53"/>
        <v/>
      </c>
      <c r="Z475" s="58" t="str">
        <f t="shared" si="54"/>
        <v/>
      </c>
      <c r="AA475" s="66" t="str">
        <f t="shared" si="55"/>
        <v/>
      </c>
      <c r="AB475" s="62"/>
      <c r="AC475" s="62"/>
      <c r="AD475" s="63" t="str">
        <f>IFERROR(IF(OR($AB475="",$T475="",$T475=0),"",ROUND(ABS($N475-$AB475)*$S475*VLOOKUP($F475,'⚙️ Setelan'!$A$14:$F$20,4,FALSE)/$T475,2)),"")</f>
        <v/>
      </c>
      <c r="AE475" s="63" t="str">
        <f>IFERROR(IF(OR($AC475="",$T475="",$T475=0),"",ROUND(ABS($AC475-$N475)*$S475*VLOOKUP($F475,'⚙️ Setelan'!$A$14:$F$20,4,FALSE)/$T475,2)),"")</f>
        <v/>
      </c>
      <c r="AF475" s="61"/>
      <c r="AG475" s="61"/>
      <c r="AH475" s="61"/>
      <c r="AI475" s="61"/>
      <c r="AJ475" s="61"/>
      <c r="AK475" s="67"/>
      <c r="AL475" s="58" t="str">
        <f>IF(OR($C475="",$B475=""),"",IF(AND($Z474="Loss",$B475=$B474,MOD($C475-$D474,1)*1440&lt;'⚙️ Setelan'!$B$9),"⚠️ Revenge",""))</f>
        <v/>
      </c>
      <c r="AM475" s="68"/>
      <c r="AN475" s="58" t="str">
        <f>IF($AM475="","",IFERROR(_xlfn.IMAGE(IF(REGEXMATCH($AM475,"\.(png|jpg|jpeg|gif)$"),$AM475,"https://s3.tradingview.com/snapshots/"&amp;LOWER(MID(REGEXEXTRACT($AM475,"/x/([A-Za-z0-9]+)"),1,1))&amp;"/"&amp;REGEXEXTRACT($AM475,"/x/([A-Za-z0-9]+)")&amp;".png"),1),"⚠️ link tidak dikenali"))</f>
        <v/>
      </c>
      <c r="AO475" s="68"/>
      <c r="AP475" s="58" t="str">
        <f>IF($AO475="","",IFERROR(_xlfn.IMAGE(IF(REGEXMATCH($AO475,"\.(png|jpg|jpeg|gif)$"),$AO475,"https://s3.tradingview.com/snapshots/"&amp;LOWER(MID(REGEXEXTRACT($AO475,"/x/([A-Za-z0-9]+)"),1,1))&amp;"/"&amp;REGEXEXTRACT($AO475,"/x/([A-Za-z0-9]+)")&amp;".png"),1),"⚠️ link tidak dikenali"))</f>
        <v/>
      </c>
      <c r="AQ475" s="66">
        <f>IF($Z475="",0,IF(AND(OR('📊 Dashboard'!$B$4="(Semua)",$F475='📊 Dashboard'!$B$4),OR('📊 Dashboard'!$B$5="(Semua)",$H475='📊 Dashboard'!$B$5),OR('📊 Dashboard'!$B$6="(Semua)",$E475='📊 Dashboard'!$B$6),OR('📊 Dashboard'!$B$7="(Semua)",$AF475='📊 Dashboard'!$B$7),OR('📊 Dashboard'!$B$8="(Semua)",$AG475='📊 Dashboard'!$B$8),OR('📊 Dashboard'!$B$9="(Semua)",$K475='📊 Dashboard'!$B$9)),1,0))</f>
        <v>0</v>
      </c>
      <c r="AR475" s="69"/>
    </row>
    <row r="476" ht="58" customHeight="1" spans="1:44">
      <c r="A476" s="58" t="str">
        <f t="shared" si="49"/>
        <v/>
      </c>
      <c r="B476" s="59"/>
      <c r="C476" s="60"/>
      <c r="D476" s="60"/>
      <c r="E476" s="58" t="str">
        <f t="shared" si="50"/>
        <v/>
      </c>
      <c r="F476" s="61"/>
      <c r="G476" s="61"/>
      <c r="H476" s="61"/>
      <c r="I476" s="61"/>
      <c r="J476" s="61"/>
      <c r="K476" s="61"/>
      <c r="L476" s="61"/>
      <c r="M476" s="61"/>
      <c r="N476" s="62"/>
      <c r="O476" s="62"/>
      <c r="P476" s="62"/>
      <c r="Q476" s="62"/>
      <c r="R476" s="63" t="str">
        <f>IFERROR(IF(OR($N476="",$O476="",$F476=""),"",ROUND(('⚙️ Setelan'!$B$3*'⚙️ Setelan'!$B$4/100)/(ABS($N476-$O476)*VLOOKUP($F476,'⚙️ Setelan'!$A$14:$F$20,4,FALSE)),2)),"")</f>
        <v/>
      </c>
      <c r="S476" s="64"/>
      <c r="T476" s="65" t="str">
        <f>IFERROR(IF(OR($N476="",$O476="",$S476=""),"",ABS($N476-$O476)*$S476*VLOOKUP($F476,'⚙️ Setelan'!$A$14:$F$20,4,FALSE)),"")</f>
        <v/>
      </c>
      <c r="U476" s="63" t="str">
        <f t="shared" si="51"/>
        <v/>
      </c>
      <c r="V476" s="65" t="str">
        <f>IFERROR(IF(OR($Q476="",$N476="",$S476=""),"",($Q476-$N476)*IF($G476="Buy",1,-1)*$S476*VLOOKUP($F476,'⚙️ Setelan'!$A$14:$F$20,4,FALSE)),"")</f>
        <v/>
      </c>
      <c r="W476" s="65" t="str">
        <f>IFERROR(IF(OR($S476="",$F476=""),"",$S476*VLOOKUP($F476,'⚙️ Setelan'!$A$14:$F$20,5,FALSE)),"")</f>
        <v/>
      </c>
      <c r="X476" s="65" t="str">
        <f t="shared" si="52"/>
        <v/>
      </c>
      <c r="Y476" s="63" t="str">
        <f t="shared" si="53"/>
        <v/>
      </c>
      <c r="Z476" s="58" t="str">
        <f t="shared" si="54"/>
        <v/>
      </c>
      <c r="AA476" s="66" t="str">
        <f t="shared" si="55"/>
        <v/>
      </c>
      <c r="AB476" s="62"/>
      <c r="AC476" s="62"/>
      <c r="AD476" s="63" t="str">
        <f>IFERROR(IF(OR($AB476="",$T476="",$T476=0),"",ROUND(ABS($N476-$AB476)*$S476*VLOOKUP($F476,'⚙️ Setelan'!$A$14:$F$20,4,FALSE)/$T476,2)),"")</f>
        <v/>
      </c>
      <c r="AE476" s="63" t="str">
        <f>IFERROR(IF(OR($AC476="",$T476="",$T476=0),"",ROUND(ABS($AC476-$N476)*$S476*VLOOKUP($F476,'⚙️ Setelan'!$A$14:$F$20,4,FALSE)/$T476,2)),"")</f>
        <v/>
      </c>
      <c r="AF476" s="61"/>
      <c r="AG476" s="61"/>
      <c r="AH476" s="61"/>
      <c r="AI476" s="61"/>
      <c r="AJ476" s="61"/>
      <c r="AK476" s="67"/>
      <c r="AL476" s="58" t="str">
        <f>IF(OR($C476="",$B476=""),"",IF(AND($Z475="Loss",$B476=$B475,MOD($C476-$D475,1)*1440&lt;'⚙️ Setelan'!$B$9),"⚠️ Revenge",""))</f>
        <v/>
      </c>
      <c r="AM476" s="68"/>
      <c r="AN476" s="58" t="str">
        <f>IF($AM476="","",IFERROR(_xlfn.IMAGE(IF(REGEXMATCH($AM476,"\.(png|jpg|jpeg|gif)$"),$AM476,"https://s3.tradingview.com/snapshots/"&amp;LOWER(MID(REGEXEXTRACT($AM476,"/x/([A-Za-z0-9]+)"),1,1))&amp;"/"&amp;REGEXEXTRACT($AM476,"/x/([A-Za-z0-9]+)")&amp;".png"),1),"⚠️ link tidak dikenali"))</f>
        <v/>
      </c>
      <c r="AO476" s="68"/>
      <c r="AP476" s="58" t="str">
        <f>IF($AO476="","",IFERROR(_xlfn.IMAGE(IF(REGEXMATCH($AO476,"\.(png|jpg|jpeg|gif)$"),$AO476,"https://s3.tradingview.com/snapshots/"&amp;LOWER(MID(REGEXEXTRACT($AO476,"/x/([A-Za-z0-9]+)"),1,1))&amp;"/"&amp;REGEXEXTRACT($AO476,"/x/([A-Za-z0-9]+)")&amp;".png"),1),"⚠️ link tidak dikenali"))</f>
        <v/>
      </c>
      <c r="AQ476" s="66">
        <f>IF($Z476="",0,IF(AND(OR('📊 Dashboard'!$B$4="(Semua)",$F476='📊 Dashboard'!$B$4),OR('📊 Dashboard'!$B$5="(Semua)",$H476='📊 Dashboard'!$B$5),OR('📊 Dashboard'!$B$6="(Semua)",$E476='📊 Dashboard'!$B$6),OR('📊 Dashboard'!$B$7="(Semua)",$AF476='📊 Dashboard'!$B$7),OR('📊 Dashboard'!$B$8="(Semua)",$AG476='📊 Dashboard'!$B$8),OR('📊 Dashboard'!$B$9="(Semua)",$K476='📊 Dashboard'!$B$9)),1,0))</f>
        <v>0</v>
      </c>
      <c r="AR476" s="69"/>
    </row>
    <row r="477" ht="58" customHeight="1" spans="1:44">
      <c r="A477" s="58" t="str">
        <f t="shared" si="49"/>
        <v/>
      </c>
      <c r="B477" s="59"/>
      <c r="C477" s="60"/>
      <c r="D477" s="60"/>
      <c r="E477" s="58" t="str">
        <f t="shared" si="50"/>
        <v/>
      </c>
      <c r="F477" s="61"/>
      <c r="G477" s="61"/>
      <c r="H477" s="61"/>
      <c r="I477" s="61"/>
      <c r="J477" s="61"/>
      <c r="K477" s="61"/>
      <c r="L477" s="61"/>
      <c r="M477" s="61"/>
      <c r="N477" s="62"/>
      <c r="O477" s="62"/>
      <c r="P477" s="62"/>
      <c r="Q477" s="62"/>
      <c r="R477" s="63" t="str">
        <f>IFERROR(IF(OR($N477="",$O477="",$F477=""),"",ROUND(('⚙️ Setelan'!$B$3*'⚙️ Setelan'!$B$4/100)/(ABS($N477-$O477)*VLOOKUP($F477,'⚙️ Setelan'!$A$14:$F$20,4,FALSE)),2)),"")</f>
        <v/>
      </c>
      <c r="S477" s="64"/>
      <c r="T477" s="65" t="str">
        <f>IFERROR(IF(OR($N477="",$O477="",$S477=""),"",ABS($N477-$O477)*$S477*VLOOKUP($F477,'⚙️ Setelan'!$A$14:$F$20,4,FALSE)),"")</f>
        <v/>
      </c>
      <c r="U477" s="63" t="str">
        <f t="shared" si="51"/>
        <v/>
      </c>
      <c r="V477" s="65" t="str">
        <f>IFERROR(IF(OR($Q477="",$N477="",$S477=""),"",($Q477-$N477)*IF($G477="Buy",1,-1)*$S477*VLOOKUP($F477,'⚙️ Setelan'!$A$14:$F$20,4,FALSE)),"")</f>
        <v/>
      </c>
      <c r="W477" s="65" t="str">
        <f>IFERROR(IF(OR($S477="",$F477=""),"",$S477*VLOOKUP($F477,'⚙️ Setelan'!$A$14:$F$20,5,FALSE)),"")</f>
        <v/>
      </c>
      <c r="X477" s="65" t="str">
        <f t="shared" si="52"/>
        <v/>
      </c>
      <c r="Y477" s="63" t="str">
        <f t="shared" si="53"/>
        <v/>
      </c>
      <c r="Z477" s="58" t="str">
        <f t="shared" si="54"/>
        <v/>
      </c>
      <c r="AA477" s="66" t="str">
        <f t="shared" si="55"/>
        <v/>
      </c>
      <c r="AB477" s="62"/>
      <c r="AC477" s="62"/>
      <c r="AD477" s="63" t="str">
        <f>IFERROR(IF(OR($AB477="",$T477="",$T477=0),"",ROUND(ABS($N477-$AB477)*$S477*VLOOKUP($F477,'⚙️ Setelan'!$A$14:$F$20,4,FALSE)/$T477,2)),"")</f>
        <v/>
      </c>
      <c r="AE477" s="63" t="str">
        <f>IFERROR(IF(OR($AC477="",$T477="",$T477=0),"",ROUND(ABS($AC477-$N477)*$S477*VLOOKUP($F477,'⚙️ Setelan'!$A$14:$F$20,4,FALSE)/$T477,2)),"")</f>
        <v/>
      </c>
      <c r="AF477" s="61"/>
      <c r="AG477" s="61"/>
      <c r="AH477" s="61"/>
      <c r="AI477" s="61"/>
      <c r="AJ477" s="61"/>
      <c r="AK477" s="67"/>
      <c r="AL477" s="58" t="str">
        <f>IF(OR($C477="",$B477=""),"",IF(AND($Z476="Loss",$B477=$B476,MOD($C477-$D476,1)*1440&lt;'⚙️ Setelan'!$B$9),"⚠️ Revenge",""))</f>
        <v/>
      </c>
      <c r="AM477" s="68"/>
      <c r="AN477" s="58" t="str">
        <f>IF($AM477="","",IFERROR(_xlfn.IMAGE(IF(REGEXMATCH($AM477,"\.(png|jpg|jpeg|gif)$"),$AM477,"https://s3.tradingview.com/snapshots/"&amp;LOWER(MID(REGEXEXTRACT($AM477,"/x/([A-Za-z0-9]+)"),1,1))&amp;"/"&amp;REGEXEXTRACT($AM477,"/x/([A-Za-z0-9]+)")&amp;".png"),1),"⚠️ link tidak dikenali"))</f>
        <v/>
      </c>
      <c r="AO477" s="68"/>
      <c r="AP477" s="58" t="str">
        <f>IF($AO477="","",IFERROR(_xlfn.IMAGE(IF(REGEXMATCH($AO477,"\.(png|jpg|jpeg|gif)$"),$AO477,"https://s3.tradingview.com/snapshots/"&amp;LOWER(MID(REGEXEXTRACT($AO477,"/x/([A-Za-z0-9]+)"),1,1))&amp;"/"&amp;REGEXEXTRACT($AO477,"/x/([A-Za-z0-9]+)")&amp;".png"),1),"⚠️ link tidak dikenali"))</f>
        <v/>
      </c>
      <c r="AQ477" s="66">
        <f>IF($Z477="",0,IF(AND(OR('📊 Dashboard'!$B$4="(Semua)",$F477='📊 Dashboard'!$B$4),OR('📊 Dashboard'!$B$5="(Semua)",$H477='📊 Dashboard'!$B$5),OR('📊 Dashboard'!$B$6="(Semua)",$E477='📊 Dashboard'!$B$6),OR('📊 Dashboard'!$B$7="(Semua)",$AF477='📊 Dashboard'!$B$7),OR('📊 Dashboard'!$B$8="(Semua)",$AG477='📊 Dashboard'!$B$8),OR('📊 Dashboard'!$B$9="(Semua)",$K477='📊 Dashboard'!$B$9)),1,0))</f>
        <v>0</v>
      </c>
      <c r="AR477" s="69"/>
    </row>
    <row r="478" ht="58" customHeight="1" spans="1:44">
      <c r="A478" s="58" t="str">
        <f t="shared" si="49"/>
        <v/>
      </c>
      <c r="B478" s="59"/>
      <c r="C478" s="60"/>
      <c r="D478" s="60"/>
      <c r="E478" s="58" t="str">
        <f t="shared" si="50"/>
        <v/>
      </c>
      <c r="F478" s="61"/>
      <c r="G478" s="61"/>
      <c r="H478" s="61"/>
      <c r="I478" s="61"/>
      <c r="J478" s="61"/>
      <c r="K478" s="61"/>
      <c r="L478" s="61"/>
      <c r="M478" s="61"/>
      <c r="N478" s="62"/>
      <c r="O478" s="62"/>
      <c r="P478" s="62"/>
      <c r="Q478" s="62"/>
      <c r="R478" s="63" t="str">
        <f>IFERROR(IF(OR($N478="",$O478="",$F478=""),"",ROUND(('⚙️ Setelan'!$B$3*'⚙️ Setelan'!$B$4/100)/(ABS($N478-$O478)*VLOOKUP($F478,'⚙️ Setelan'!$A$14:$F$20,4,FALSE)),2)),"")</f>
        <v/>
      </c>
      <c r="S478" s="64"/>
      <c r="T478" s="65" t="str">
        <f>IFERROR(IF(OR($N478="",$O478="",$S478=""),"",ABS($N478-$O478)*$S478*VLOOKUP($F478,'⚙️ Setelan'!$A$14:$F$20,4,FALSE)),"")</f>
        <v/>
      </c>
      <c r="U478" s="63" t="str">
        <f t="shared" si="51"/>
        <v/>
      </c>
      <c r="V478" s="65" t="str">
        <f>IFERROR(IF(OR($Q478="",$N478="",$S478=""),"",($Q478-$N478)*IF($G478="Buy",1,-1)*$S478*VLOOKUP($F478,'⚙️ Setelan'!$A$14:$F$20,4,FALSE)),"")</f>
        <v/>
      </c>
      <c r="W478" s="65" t="str">
        <f>IFERROR(IF(OR($S478="",$F478=""),"",$S478*VLOOKUP($F478,'⚙️ Setelan'!$A$14:$F$20,5,FALSE)),"")</f>
        <v/>
      </c>
      <c r="X478" s="65" t="str">
        <f t="shared" si="52"/>
        <v/>
      </c>
      <c r="Y478" s="63" t="str">
        <f t="shared" si="53"/>
        <v/>
      </c>
      <c r="Z478" s="58" t="str">
        <f t="shared" si="54"/>
        <v/>
      </c>
      <c r="AA478" s="66" t="str">
        <f t="shared" si="55"/>
        <v/>
      </c>
      <c r="AB478" s="62"/>
      <c r="AC478" s="62"/>
      <c r="AD478" s="63" t="str">
        <f>IFERROR(IF(OR($AB478="",$T478="",$T478=0),"",ROUND(ABS($N478-$AB478)*$S478*VLOOKUP($F478,'⚙️ Setelan'!$A$14:$F$20,4,FALSE)/$T478,2)),"")</f>
        <v/>
      </c>
      <c r="AE478" s="63" t="str">
        <f>IFERROR(IF(OR($AC478="",$T478="",$T478=0),"",ROUND(ABS($AC478-$N478)*$S478*VLOOKUP($F478,'⚙️ Setelan'!$A$14:$F$20,4,FALSE)/$T478,2)),"")</f>
        <v/>
      </c>
      <c r="AF478" s="61"/>
      <c r="AG478" s="61"/>
      <c r="AH478" s="61"/>
      <c r="AI478" s="61"/>
      <c r="AJ478" s="61"/>
      <c r="AK478" s="67"/>
      <c r="AL478" s="58" t="str">
        <f>IF(OR($C478="",$B478=""),"",IF(AND($Z477="Loss",$B478=$B477,MOD($C478-$D477,1)*1440&lt;'⚙️ Setelan'!$B$9),"⚠️ Revenge",""))</f>
        <v/>
      </c>
      <c r="AM478" s="68"/>
      <c r="AN478" s="58" t="str">
        <f>IF($AM478="","",IFERROR(_xlfn.IMAGE(IF(REGEXMATCH($AM478,"\.(png|jpg|jpeg|gif)$"),$AM478,"https://s3.tradingview.com/snapshots/"&amp;LOWER(MID(REGEXEXTRACT($AM478,"/x/([A-Za-z0-9]+)"),1,1))&amp;"/"&amp;REGEXEXTRACT($AM478,"/x/([A-Za-z0-9]+)")&amp;".png"),1),"⚠️ link tidak dikenali"))</f>
        <v/>
      </c>
      <c r="AO478" s="68"/>
      <c r="AP478" s="58" t="str">
        <f>IF($AO478="","",IFERROR(_xlfn.IMAGE(IF(REGEXMATCH($AO478,"\.(png|jpg|jpeg|gif)$"),$AO478,"https://s3.tradingview.com/snapshots/"&amp;LOWER(MID(REGEXEXTRACT($AO478,"/x/([A-Za-z0-9]+)"),1,1))&amp;"/"&amp;REGEXEXTRACT($AO478,"/x/([A-Za-z0-9]+)")&amp;".png"),1),"⚠️ link tidak dikenali"))</f>
        <v/>
      </c>
      <c r="AQ478" s="66">
        <f>IF($Z478="",0,IF(AND(OR('📊 Dashboard'!$B$4="(Semua)",$F478='📊 Dashboard'!$B$4),OR('📊 Dashboard'!$B$5="(Semua)",$H478='📊 Dashboard'!$B$5),OR('📊 Dashboard'!$B$6="(Semua)",$E478='📊 Dashboard'!$B$6),OR('📊 Dashboard'!$B$7="(Semua)",$AF478='📊 Dashboard'!$B$7),OR('📊 Dashboard'!$B$8="(Semua)",$AG478='📊 Dashboard'!$B$8),OR('📊 Dashboard'!$B$9="(Semua)",$K478='📊 Dashboard'!$B$9)),1,0))</f>
        <v>0</v>
      </c>
      <c r="AR478" s="69"/>
    </row>
    <row r="479" ht="58" customHeight="1" spans="1:44">
      <c r="A479" s="58" t="str">
        <f t="shared" si="49"/>
        <v/>
      </c>
      <c r="B479" s="59"/>
      <c r="C479" s="60"/>
      <c r="D479" s="60"/>
      <c r="E479" s="58" t="str">
        <f t="shared" si="50"/>
        <v/>
      </c>
      <c r="F479" s="61"/>
      <c r="G479" s="61"/>
      <c r="H479" s="61"/>
      <c r="I479" s="61"/>
      <c r="J479" s="61"/>
      <c r="K479" s="61"/>
      <c r="L479" s="61"/>
      <c r="M479" s="61"/>
      <c r="N479" s="62"/>
      <c r="O479" s="62"/>
      <c r="P479" s="62"/>
      <c r="Q479" s="62"/>
      <c r="R479" s="63" t="str">
        <f>IFERROR(IF(OR($N479="",$O479="",$F479=""),"",ROUND(('⚙️ Setelan'!$B$3*'⚙️ Setelan'!$B$4/100)/(ABS($N479-$O479)*VLOOKUP($F479,'⚙️ Setelan'!$A$14:$F$20,4,FALSE)),2)),"")</f>
        <v/>
      </c>
      <c r="S479" s="64"/>
      <c r="T479" s="65" t="str">
        <f>IFERROR(IF(OR($N479="",$O479="",$S479=""),"",ABS($N479-$O479)*$S479*VLOOKUP($F479,'⚙️ Setelan'!$A$14:$F$20,4,FALSE)),"")</f>
        <v/>
      </c>
      <c r="U479" s="63" t="str">
        <f t="shared" si="51"/>
        <v/>
      </c>
      <c r="V479" s="65" t="str">
        <f>IFERROR(IF(OR($Q479="",$N479="",$S479=""),"",($Q479-$N479)*IF($G479="Buy",1,-1)*$S479*VLOOKUP($F479,'⚙️ Setelan'!$A$14:$F$20,4,FALSE)),"")</f>
        <v/>
      </c>
      <c r="W479" s="65" t="str">
        <f>IFERROR(IF(OR($S479="",$F479=""),"",$S479*VLOOKUP($F479,'⚙️ Setelan'!$A$14:$F$20,5,FALSE)),"")</f>
        <v/>
      </c>
      <c r="X479" s="65" t="str">
        <f t="shared" si="52"/>
        <v/>
      </c>
      <c r="Y479" s="63" t="str">
        <f t="shared" si="53"/>
        <v/>
      </c>
      <c r="Z479" s="58" t="str">
        <f t="shared" si="54"/>
        <v/>
      </c>
      <c r="AA479" s="66" t="str">
        <f t="shared" si="55"/>
        <v/>
      </c>
      <c r="AB479" s="62"/>
      <c r="AC479" s="62"/>
      <c r="AD479" s="63" t="str">
        <f>IFERROR(IF(OR($AB479="",$T479="",$T479=0),"",ROUND(ABS($N479-$AB479)*$S479*VLOOKUP($F479,'⚙️ Setelan'!$A$14:$F$20,4,FALSE)/$T479,2)),"")</f>
        <v/>
      </c>
      <c r="AE479" s="63" t="str">
        <f>IFERROR(IF(OR($AC479="",$T479="",$T479=0),"",ROUND(ABS($AC479-$N479)*$S479*VLOOKUP($F479,'⚙️ Setelan'!$A$14:$F$20,4,FALSE)/$T479,2)),"")</f>
        <v/>
      </c>
      <c r="AF479" s="61"/>
      <c r="AG479" s="61"/>
      <c r="AH479" s="61"/>
      <c r="AI479" s="61"/>
      <c r="AJ479" s="61"/>
      <c r="AK479" s="67"/>
      <c r="AL479" s="58" t="str">
        <f>IF(OR($C479="",$B479=""),"",IF(AND($Z478="Loss",$B479=$B478,MOD($C479-$D478,1)*1440&lt;'⚙️ Setelan'!$B$9),"⚠️ Revenge",""))</f>
        <v/>
      </c>
      <c r="AM479" s="68"/>
      <c r="AN479" s="58" t="str">
        <f>IF($AM479="","",IFERROR(_xlfn.IMAGE(IF(REGEXMATCH($AM479,"\.(png|jpg|jpeg|gif)$"),$AM479,"https://s3.tradingview.com/snapshots/"&amp;LOWER(MID(REGEXEXTRACT($AM479,"/x/([A-Za-z0-9]+)"),1,1))&amp;"/"&amp;REGEXEXTRACT($AM479,"/x/([A-Za-z0-9]+)")&amp;".png"),1),"⚠️ link tidak dikenali"))</f>
        <v/>
      </c>
      <c r="AO479" s="68"/>
      <c r="AP479" s="58" t="str">
        <f>IF($AO479="","",IFERROR(_xlfn.IMAGE(IF(REGEXMATCH($AO479,"\.(png|jpg|jpeg|gif)$"),$AO479,"https://s3.tradingview.com/snapshots/"&amp;LOWER(MID(REGEXEXTRACT($AO479,"/x/([A-Za-z0-9]+)"),1,1))&amp;"/"&amp;REGEXEXTRACT($AO479,"/x/([A-Za-z0-9]+)")&amp;".png"),1),"⚠️ link tidak dikenali"))</f>
        <v/>
      </c>
      <c r="AQ479" s="66">
        <f>IF($Z479="",0,IF(AND(OR('📊 Dashboard'!$B$4="(Semua)",$F479='📊 Dashboard'!$B$4),OR('📊 Dashboard'!$B$5="(Semua)",$H479='📊 Dashboard'!$B$5),OR('📊 Dashboard'!$B$6="(Semua)",$E479='📊 Dashboard'!$B$6),OR('📊 Dashboard'!$B$7="(Semua)",$AF479='📊 Dashboard'!$B$7),OR('📊 Dashboard'!$B$8="(Semua)",$AG479='📊 Dashboard'!$B$8),OR('📊 Dashboard'!$B$9="(Semua)",$K479='📊 Dashboard'!$B$9)),1,0))</f>
        <v>0</v>
      </c>
      <c r="AR479" s="69"/>
    </row>
    <row r="480" ht="58" customHeight="1" spans="1:44">
      <c r="A480" s="58" t="str">
        <f t="shared" si="49"/>
        <v/>
      </c>
      <c r="B480" s="59"/>
      <c r="C480" s="60"/>
      <c r="D480" s="60"/>
      <c r="E480" s="58" t="str">
        <f t="shared" si="50"/>
        <v/>
      </c>
      <c r="F480" s="61"/>
      <c r="G480" s="61"/>
      <c r="H480" s="61"/>
      <c r="I480" s="61"/>
      <c r="J480" s="61"/>
      <c r="K480" s="61"/>
      <c r="L480" s="61"/>
      <c r="M480" s="61"/>
      <c r="N480" s="62"/>
      <c r="O480" s="62"/>
      <c r="P480" s="62"/>
      <c r="Q480" s="62"/>
      <c r="R480" s="63" t="str">
        <f>IFERROR(IF(OR($N480="",$O480="",$F480=""),"",ROUND(('⚙️ Setelan'!$B$3*'⚙️ Setelan'!$B$4/100)/(ABS($N480-$O480)*VLOOKUP($F480,'⚙️ Setelan'!$A$14:$F$20,4,FALSE)),2)),"")</f>
        <v/>
      </c>
      <c r="S480" s="64"/>
      <c r="T480" s="65" t="str">
        <f>IFERROR(IF(OR($N480="",$O480="",$S480=""),"",ABS($N480-$O480)*$S480*VLOOKUP($F480,'⚙️ Setelan'!$A$14:$F$20,4,FALSE)),"")</f>
        <v/>
      </c>
      <c r="U480" s="63" t="str">
        <f t="shared" si="51"/>
        <v/>
      </c>
      <c r="V480" s="65" t="str">
        <f>IFERROR(IF(OR($Q480="",$N480="",$S480=""),"",($Q480-$N480)*IF($G480="Buy",1,-1)*$S480*VLOOKUP($F480,'⚙️ Setelan'!$A$14:$F$20,4,FALSE)),"")</f>
        <v/>
      </c>
      <c r="W480" s="65" t="str">
        <f>IFERROR(IF(OR($S480="",$F480=""),"",$S480*VLOOKUP($F480,'⚙️ Setelan'!$A$14:$F$20,5,FALSE)),"")</f>
        <v/>
      </c>
      <c r="X480" s="65" t="str">
        <f t="shared" si="52"/>
        <v/>
      </c>
      <c r="Y480" s="63" t="str">
        <f t="shared" si="53"/>
        <v/>
      </c>
      <c r="Z480" s="58" t="str">
        <f t="shared" si="54"/>
        <v/>
      </c>
      <c r="AA480" s="66" t="str">
        <f t="shared" si="55"/>
        <v/>
      </c>
      <c r="AB480" s="62"/>
      <c r="AC480" s="62"/>
      <c r="AD480" s="63" t="str">
        <f>IFERROR(IF(OR($AB480="",$T480="",$T480=0),"",ROUND(ABS($N480-$AB480)*$S480*VLOOKUP($F480,'⚙️ Setelan'!$A$14:$F$20,4,FALSE)/$T480,2)),"")</f>
        <v/>
      </c>
      <c r="AE480" s="63" t="str">
        <f>IFERROR(IF(OR($AC480="",$T480="",$T480=0),"",ROUND(ABS($AC480-$N480)*$S480*VLOOKUP($F480,'⚙️ Setelan'!$A$14:$F$20,4,FALSE)/$T480,2)),"")</f>
        <v/>
      </c>
      <c r="AF480" s="61"/>
      <c r="AG480" s="61"/>
      <c r="AH480" s="61"/>
      <c r="AI480" s="61"/>
      <c r="AJ480" s="61"/>
      <c r="AK480" s="67"/>
      <c r="AL480" s="58" t="str">
        <f>IF(OR($C480="",$B480=""),"",IF(AND($Z479="Loss",$B480=$B479,MOD($C480-$D479,1)*1440&lt;'⚙️ Setelan'!$B$9),"⚠️ Revenge",""))</f>
        <v/>
      </c>
      <c r="AM480" s="68"/>
      <c r="AN480" s="58" t="str">
        <f>IF($AM480="","",IFERROR(_xlfn.IMAGE(IF(REGEXMATCH($AM480,"\.(png|jpg|jpeg|gif)$"),$AM480,"https://s3.tradingview.com/snapshots/"&amp;LOWER(MID(REGEXEXTRACT($AM480,"/x/([A-Za-z0-9]+)"),1,1))&amp;"/"&amp;REGEXEXTRACT($AM480,"/x/([A-Za-z0-9]+)")&amp;".png"),1),"⚠️ link tidak dikenali"))</f>
        <v/>
      </c>
      <c r="AO480" s="68"/>
      <c r="AP480" s="58" t="str">
        <f>IF($AO480="","",IFERROR(_xlfn.IMAGE(IF(REGEXMATCH($AO480,"\.(png|jpg|jpeg|gif)$"),$AO480,"https://s3.tradingview.com/snapshots/"&amp;LOWER(MID(REGEXEXTRACT($AO480,"/x/([A-Za-z0-9]+)"),1,1))&amp;"/"&amp;REGEXEXTRACT($AO480,"/x/([A-Za-z0-9]+)")&amp;".png"),1),"⚠️ link tidak dikenali"))</f>
        <v/>
      </c>
      <c r="AQ480" s="66">
        <f>IF($Z480="",0,IF(AND(OR('📊 Dashboard'!$B$4="(Semua)",$F480='📊 Dashboard'!$B$4),OR('📊 Dashboard'!$B$5="(Semua)",$H480='📊 Dashboard'!$B$5),OR('📊 Dashboard'!$B$6="(Semua)",$E480='📊 Dashboard'!$B$6),OR('📊 Dashboard'!$B$7="(Semua)",$AF480='📊 Dashboard'!$B$7),OR('📊 Dashboard'!$B$8="(Semua)",$AG480='📊 Dashboard'!$B$8),OR('📊 Dashboard'!$B$9="(Semua)",$K480='📊 Dashboard'!$B$9)),1,0))</f>
        <v>0</v>
      </c>
      <c r="AR480" s="69"/>
    </row>
    <row r="481" ht="58" customHeight="1" spans="1:44">
      <c r="A481" s="58" t="str">
        <f t="shared" si="49"/>
        <v/>
      </c>
      <c r="B481" s="59"/>
      <c r="C481" s="60"/>
      <c r="D481" s="60"/>
      <c r="E481" s="58" t="str">
        <f t="shared" si="50"/>
        <v/>
      </c>
      <c r="F481" s="61"/>
      <c r="G481" s="61"/>
      <c r="H481" s="61"/>
      <c r="I481" s="61"/>
      <c r="J481" s="61"/>
      <c r="K481" s="61"/>
      <c r="L481" s="61"/>
      <c r="M481" s="61"/>
      <c r="N481" s="62"/>
      <c r="O481" s="62"/>
      <c r="P481" s="62"/>
      <c r="Q481" s="62"/>
      <c r="R481" s="63" t="str">
        <f>IFERROR(IF(OR($N481="",$O481="",$F481=""),"",ROUND(('⚙️ Setelan'!$B$3*'⚙️ Setelan'!$B$4/100)/(ABS($N481-$O481)*VLOOKUP($F481,'⚙️ Setelan'!$A$14:$F$20,4,FALSE)),2)),"")</f>
        <v/>
      </c>
      <c r="S481" s="64"/>
      <c r="T481" s="65" t="str">
        <f>IFERROR(IF(OR($N481="",$O481="",$S481=""),"",ABS($N481-$O481)*$S481*VLOOKUP($F481,'⚙️ Setelan'!$A$14:$F$20,4,FALSE)),"")</f>
        <v/>
      </c>
      <c r="U481" s="63" t="str">
        <f t="shared" si="51"/>
        <v/>
      </c>
      <c r="V481" s="65" t="str">
        <f>IFERROR(IF(OR($Q481="",$N481="",$S481=""),"",($Q481-$N481)*IF($G481="Buy",1,-1)*$S481*VLOOKUP($F481,'⚙️ Setelan'!$A$14:$F$20,4,FALSE)),"")</f>
        <v/>
      </c>
      <c r="W481" s="65" t="str">
        <f>IFERROR(IF(OR($S481="",$F481=""),"",$S481*VLOOKUP($F481,'⚙️ Setelan'!$A$14:$F$20,5,FALSE)),"")</f>
        <v/>
      </c>
      <c r="X481" s="65" t="str">
        <f t="shared" si="52"/>
        <v/>
      </c>
      <c r="Y481" s="63" t="str">
        <f t="shared" si="53"/>
        <v/>
      </c>
      <c r="Z481" s="58" t="str">
        <f t="shared" si="54"/>
        <v/>
      </c>
      <c r="AA481" s="66" t="str">
        <f t="shared" si="55"/>
        <v/>
      </c>
      <c r="AB481" s="62"/>
      <c r="AC481" s="62"/>
      <c r="AD481" s="63" t="str">
        <f>IFERROR(IF(OR($AB481="",$T481="",$T481=0),"",ROUND(ABS($N481-$AB481)*$S481*VLOOKUP($F481,'⚙️ Setelan'!$A$14:$F$20,4,FALSE)/$T481,2)),"")</f>
        <v/>
      </c>
      <c r="AE481" s="63" t="str">
        <f>IFERROR(IF(OR($AC481="",$T481="",$T481=0),"",ROUND(ABS($AC481-$N481)*$S481*VLOOKUP($F481,'⚙️ Setelan'!$A$14:$F$20,4,FALSE)/$T481,2)),"")</f>
        <v/>
      </c>
      <c r="AF481" s="61"/>
      <c r="AG481" s="61"/>
      <c r="AH481" s="61"/>
      <c r="AI481" s="61"/>
      <c r="AJ481" s="61"/>
      <c r="AK481" s="67"/>
      <c r="AL481" s="58" t="str">
        <f>IF(OR($C481="",$B481=""),"",IF(AND($Z480="Loss",$B481=$B480,MOD($C481-$D480,1)*1440&lt;'⚙️ Setelan'!$B$9),"⚠️ Revenge",""))</f>
        <v/>
      </c>
      <c r="AM481" s="68"/>
      <c r="AN481" s="58" t="str">
        <f>IF($AM481="","",IFERROR(_xlfn.IMAGE(IF(REGEXMATCH($AM481,"\.(png|jpg|jpeg|gif)$"),$AM481,"https://s3.tradingview.com/snapshots/"&amp;LOWER(MID(REGEXEXTRACT($AM481,"/x/([A-Za-z0-9]+)"),1,1))&amp;"/"&amp;REGEXEXTRACT($AM481,"/x/([A-Za-z0-9]+)")&amp;".png"),1),"⚠️ link tidak dikenali"))</f>
        <v/>
      </c>
      <c r="AO481" s="68"/>
      <c r="AP481" s="58" t="str">
        <f>IF($AO481="","",IFERROR(_xlfn.IMAGE(IF(REGEXMATCH($AO481,"\.(png|jpg|jpeg|gif)$"),$AO481,"https://s3.tradingview.com/snapshots/"&amp;LOWER(MID(REGEXEXTRACT($AO481,"/x/([A-Za-z0-9]+)"),1,1))&amp;"/"&amp;REGEXEXTRACT($AO481,"/x/([A-Za-z0-9]+)")&amp;".png"),1),"⚠️ link tidak dikenali"))</f>
        <v/>
      </c>
      <c r="AQ481" s="66">
        <f>IF($Z481="",0,IF(AND(OR('📊 Dashboard'!$B$4="(Semua)",$F481='📊 Dashboard'!$B$4),OR('📊 Dashboard'!$B$5="(Semua)",$H481='📊 Dashboard'!$B$5),OR('📊 Dashboard'!$B$6="(Semua)",$E481='📊 Dashboard'!$B$6),OR('📊 Dashboard'!$B$7="(Semua)",$AF481='📊 Dashboard'!$B$7),OR('📊 Dashboard'!$B$8="(Semua)",$AG481='📊 Dashboard'!$B$8),OR('📊 Dashboard'!$B$9="(Semua)",$K481='📊 Dashboard'!$B$9)),1,0))</f>
        <v>0</v>
      </c>
      <c r="AR481" s="69"/>
    </row>
    <row r="482" ht="58" customHeight="1" spans="1:44">
      <c r="A482" s="58" t="str">
        <f t="shared" si="49"/>
        <v/>
      </c>
      <c r="B482" s="59"/>
      <c r="C482" s="60"/>
      <c r="D482" s="60"/>
      <c r="E482" s="58" t="str">
        <f t="shared" si="50"/>
        <v/>
      </c>
      <c r="F482" s="61"/>
      <c r="G482" s="61"/>
      <c r="H482" s="61"/>
      <c r="I482" s="61"/>
      <c r="J482" s="61"/>
      <c r="K482" s="61"/>
      <c r="L482" s="61"/>
      <c r="M482" s="61"/>
      <c r="N482" s="62"/>
      <c r="O482" s="62"/>
      <c r="P482" s="62"/>
      <c r="Q482" s="62"/>
      <c r="R482" s="63" t="str">
        <f>IFERROR(IF(OR($N482="",$O482="",$F482=""),"",ROUND(('⚙️ Setelan'!$B$3*'⚙️ Setelan'!$B$4/100)/(ABS($N482-$O482)*VLOOKUP($F482,'⚙️ Setelan'!$A$14:$F$20,4,FALSE)),2)),"")</f>
        <v/>
      </c>
      <c r="S482" s="64"/>
      <c r="T482" s="65" t="str">
        <f>IFERROR(IF(OR($N482="",$O482="",$S482=""),"",ABS($N482-$O482)*$S482*VLOOKUP($F482,'⚙️ Setelan'!$A$14:$F$20,4,FALSE)),"")</f>
        <v/>
      </c>
      <c r="U482" s="63" t="str">
        <f t="shared" si="51"/>
        <v/>
      </c>
      <c r="V482" s="65" t="str">
        <f>IFERROR(IF(OR($Q482="",$N482="",$S482=""),"",($Q482-$N482)*IF($G482="Buy",1,-1)*$S482*VLOOKUP($F482,'⚙️ Setelan'!$A$14:$F$20,4,FALSE)),"")</f>
        <v/>
      </c>
      <c r="W482" s="65" t="str">
        <f>IFERROR(IF(OR($S482="",$F482=""),"",$S482*VLOOKUP($F482,'⚙️ Setelan'!$A$14:$F$20,5,FALSE)),"")</f>
        <v/>
      </c>
      <c r="X482" s="65" t="str">
        <f t="shared" si="52"/>
        <v/>
      </c>
      <c r="Y482" s="63" t="str">
        <f t="shared" si="53"/>
        <v/>
      </c>
      <c r="Z482" s="58" t="str">
        <f t="shared" si="54"/>
        <v/>
      </c>
      <c r="AA482" s="66" t="str">
        <f t="shared" si="55"/>
        <v/>
      </c>
      <c r="AB482" s="62"/>
      <c r="AC482" s="62"/>
      <c r="AD482" s="63" t="str">
        <f>IFERROR(IF(OR($AB482="",$T482="",$T482=0),"",ROUND(ABS($N482-$AB482)*$S482*VLOOKUP($F482,'⚙️ Setelan'!$A$14:$F$20,4,FALSE)/$T482,2)),"")</f>
        <v/>
      </c>
      <c r="AE482" s="63" t="str">
        <f>IFERROR(IF(OR($AC482="",$T482="",$T482=0),"",ROUND(ABS($AC482-$N482)*$S482*VLOOKUP($F482,'⚙️ Setelan'!$A$14:$F$20,4,FALSE)/$T482,2)),"")</f>
        <v/>
      </c>
      <c r="AF482" s="61"/>
      <c r="AG482" s="61"/>
      <c r="AH482" s="61"/>
      <c r="AI482" s="61"/>
      <c r="AJ482" s="61"/>
      <c r="AK482" s="67"/>
      <c r="AL482" s="58" t="str">
        <f>IF(OR($C482="",$B482=""),"",IF(AND($Z481="Loss",$B482=$B481,MOD($C482-$D481,1)*1440&lt;'⚙️ Setelan'!$B$9),"⚠️ Revenge",""))</f>
        <v/>
      </c>
      <c r="AM482" s="68"/>
      <c r="AN482" s="58" t="str">
        <f>IF($AM482="","",IFERROR(_xlfn.IMAGE(IF(REGEXMATCH($AM482,"\.(png|jpg|jpeg|gif)$"),$AM482,"https://s3.tradingview.com/snapshots/"&amp;LOWER(MID(REGEXEXTRACT($AM482,"/x/([A-Za-z0-9]+)"),1,1))&amp;"/"&amp;REGEXEXTRACT($AM482,"/x/([A-Za-z0-9]+)")&amp;".png"),1),"⚠️ link tidak dikenali"))</f>
        <v/>
      </c>
      <c r="AO482" s="68"/>
      <c r="AP482" s="58" t="str">
        <f>IF($AO482="","",IFERROR(_xlfn.IMAGE(IF(REGEXMATCH($AO482,"\.(png|jpg|jpeg|gif)$"),$AO482,"https://s3.tradingview.com/snapshots/"&amp;LOWER(MID(REGEXEXTRACT($AO482,"/x/([A-Za-z0-9]+)"),1,1))&amp;"/"&amp;REGEXEXTRACT($AO482,"/x/([A-Za-z0-9]+)")&amp;".png"),1),"⚠️ link tidak dikenali"))</f>
        <v/>
      </c>
      <c r="AQ482" s="66">
        <f>IF($Z482="",0,IF(AND(OR('📊 Dashboard'!$B$4="(Semua)",$F482='📊 Dashboard'!$B$4),OR('📊 Dashboard'!$B$5="(Semua)",$H482='📊 Dashboard'!$B$5),OR('📊 Dashboard'!$B$6="(Semua)",$E482='📊 Dashboard'!$B$6),OR('📊 Dashboard'!$B$7="(Semua)",$AF482='📊 Dashboard'!$B$7),OR('📊 Dashboard'!$B$8="(Semua)",$AG482='📊 Dashboard'!$B$8),OR('📊 Dashboard'!$B$9="(Semua)",$K482='📊 Dashboard'!$B$9)),1,0))</f>
        <v>0</v>
      </c>
      <c r="AR482" s="69"/>
    </row>
    <row r="483" ht="58" customHeight="1" spans="1:44">
      <c r="A483" s="58" t="str">
        <f t="shared" si="49"/>
        <v/>
      </c>
      <c r="B483" s="59"/>
      <c r="C483" s="60"/>
      <c r="D483" s="60"/>
      <c r="E483" s="58" t="str">
        <f t="shared" si="50"/>
        <v/>
      </c>
      <c r="F483" s="61"/>
      <c r="G483" s="61"/>
      <c r="H483" s="61"/>
      <c r="I483" s="61"/>
      <c r="J483" s="61"/>
      <c r="K483" s="61"/>
      <c r="L483" s="61"/>
      <c r="M483" s="61"/>
      <c r="N483" s="62"/>
      <c r="O483" s="62"/>
      <c r="P483" s="62"/>
      <c r="Q483" s="62"/>
      <c r="R483" s="63" t="str">
        <f>IFERROR(IF(OR($N483="",$O483="",$F483=""),"",ROUND(('⚙️ Setelan'!$B$3*'⚙️ Setelan'!$B$4/100)/(ABS($N483-$O483)*VLOOKUP($F483,'⚙️ Setelan'!$A$14:$F$20,4,FALSE)),2)),"")</f>
        <v/>
      </c>
      <c r="S483" s="64"/>
      <c r="T483" s="65" t="str">
        <f>IFERROR(IF(OR($N483="",$O483="",$S483=""),"",ABS($N483-$O483)*$S483*VLOOKUP($F483,'⚙️ Setelan'!$A$14:$F$20,4,FALSE)),"")</f>
        <v/>
      </c>
      <c r="U483" s="63" t="str">
        <f t="shared" si="51"/>
        <v/>
      </c>
      <c r="V483" s="65" t="str">
        <f>IFERROR(IF(OR($Q483="",$N483="",$S483=""),"",($Q483-$N483)*IF($G483="Buy",1,-1)*$S483*VLOOKUP($F483,'⚙️ Setelan'!$A$14:$F$20,4,FALSE)),"")</f>
        <v/>
      </c>
      <c r="W483" s="65" t="str">
        <f>IFERROR(IF(OR($S483="",$F483=""),"",$S483*VLOOKUP($F483,'⚙️ Setelan'!$A$14:$F$20,5,FALSE)),"")</f>
        <v/>
      </c>
      <c r="X483" s="65" t="str">
        <f t="shared" si="52"/>
        <v/>
      </c>
      <c r="Y483" s="63" t="str">
        <f t="shared" si="53"/>
        <v/>
      </c>
      <c r="Z483" s="58" t="str">
        <f t="shared" si="54"/>
        <v/>
      </c>
      <c r="AA483" s="66" t="str">
        <f t="shared" si="55"/>
        <v/>
      </c>
      <c r="AB483" s="62"/>
      <c r="AC483" s="62"/>
      <c r="AD483" s="63" t="str">
        <f>IFERROR(IF(OR($AB483="",$T483="",$T483=0),"",ROUND(ABS($N483-$AB483)*$S483*VLOOKUP($F483,'⚙️ Setelan'!$A$14:$F$20,4,FALSE)/$T483,2)),"")</f>
        <v/>
      </c>
      <c r="AE483" s="63" t="str">
        <f>IFERROR(IF(OR($AC483="",$T483="",$T483=0),"",ROUND(ABS($AC483-$N483)*$S483*VLOOKUP($F483,'⚙️ Setelan'!$A$14:$F$20,4,FALSE)/$T483,2)),"")</f>
        <v/>
      </c>
      <c r="AF483" s="61"/>
      <c r="AG483" s="61"/>
      <c r="AH483" s="61"/>
      <c r="AI483" s="61"/>
      <c r="AJ483" s="61"/>
      <c r="AK483" s="67"/>
      <c r="AL483" s="58" t="str">
        <f>IF(OR($C483="",$B483=""),"",IF(AND($Z482="Loss",$B483=$B482,MOD($C483-$D482,1)*1440&lt;'⚙️ Setelan'!$B$9),"⚠️ Revenge",""))</f>
        <v/>
      </c>
      <c r="AM483" s="68"/>
      <c r="AN483" s="58" t="str">
        <f>IF($AM483="","",IFERROR(_xlfn.IMAGE(IF(REGEXMATCH($AM483,"\.(png|jpg|jpeg|gif)$"),$AM483,"https://s3.tradingview.com/snapshots/"&amp;LOWER(MID(REGEXEXTRACT($AM483,"/x/([A-Za-z0-9]+)"),1,1))&amp;"/"&amp;REGEXEXTRACT($AM483,"/x/([A-Za-z0-9]+)")&amp;".png"),1),"⚠️ link tidak dikenali"))</f>
        <v/>
      </c>
      <c r="AO483" s="68"/>
      <c r="AP483" s="58" t="str">
        <f>IF($AO483="","",IFERROR(_xlfn.IMAGE(IF(REGEXMATCH($AO483,"\.(png|jpg|jpeg|gif)$"),$AO483,"https://s3.tradingview.com/snapshots/"&amp;LOWER(MID(REGEXEXTRACT($AO483,"/x/([A-Za-z0-9]+)"),1,1))&amp;"/"&amp;REGEXEXTRACT($AO483,"/x/([A-Za-z0-9]+)")&amp;".png"),1),"⚠️ link tidak dikenali"))</f>
        <v/>
      </c>
      <c r="AQ483" s="66">
        <f>IF($Z483="",0,IF(AND(OR('📊 Dashboard'!$B$4="(Semua)",$F483='📊 Dashboard'!$B$4),OR('📊 Dashboard'!$B$5="(Semua)",$H483='📊 Dashboard'!$B$5),OR('📊 Dashboard'!$B$6="(Semua)",$E483='📊 Dashboard'!$B$6),OR('📊 Dashboard'!$B$7="(Semua)",$AF483='📊 Dashboard'!$B$7),OR('📊 Dashboard'!$B$8="(Semua)",$AG483='📊 Dashboard'!$B$8),OR('📊 Dashboard'!$B$9="(Semua)",$K483='📊 Dashboard'!$B$9)),1,0))</f>
        <v>0</v>
      </c>
      <c r="AR483" s="69"/>
    </row>
    <row r="484" ht="58" customHeight="1" spans="1:44">
      <c r="A484" s="58" t="str">
        <f t="shared" si="49"/>
        <v/>
      </c>
      <c r="B484" s="59"/>
      <c r="C484" s="60"/>
      <c r="D484" s="60"/>
      <c r="E484" s="58" t="str">
        <f t="shared" si="50"/>
        <v/>
      </c>
      <c r="F484" s="61"/>
      <c r="G484" s="61"/>
      <c r="H484" s="61"/>
      <c r="I484" s="61"/>
      <c r="J484" s="61"/>
      <c r="K484" s="61"/>
      <c r="L484" s="61"/>
      <c r="M484" s="61"/>
      <c r="N484" s="62"/>
      <c r="O484" s="62"/>
      <c r="P484" s="62"/>
      <c r="Q484" s="62"/>
      <c r="R484" s="63" t="str">
        <f>IFERROR(IF(OR($N484="",$O484="",$F484=""),"",ROUND(('⚙️ Setelan'!$B$3*'⚙️ Setelan'!$B$4/100)/(ABS($N484-$O484)*VLOOKUP($F484,'⚙️ Setelan'!$A$14:$F$20,4,FALSE)),2)),"")</f>
        <v/>
      </c>
      <c r="S484" s="64"/>
      <c r="T484" s="65" t="str">
        <f>IFERROR(IF(OR($N484="",$O484="",$S484=""),"",ABS($N484-$O484)*$S484*VLOOKUP($F484,'⚙️ Setelan'!$A$14:$F$20,4,FALSE)),"")</f>
        <v/>
      </c>
      <c r="U484" s="63" t="str">
        <f t="shared" si="51"/>
        <v/>
      </c>
      <c r="V484" s="65" t="str">
        <f>IFERROR(IF(OR($Q484="",$N484="",$S484=""),"",($Q484-$N484)*IF($G484="Buy",1,-1)*$S484*VLOOKUP($F484,'⚙️ Setelan'!$A$14:$F$20,4,FALSE)),"")</f>
        <v/>
      </c>
      <c r="W484" s="65" t="str">
        <f>IFERROR(IF(OR($S484="",$F484=""),"",$S484*VLOOKUP($F484,'⚙️ Setelan'!$A$14:$F$20,5,FALSE)),"")</f>
        <v/>
      </c>
      <c r="X484" s="65" t="str">
        <f t="shared" si="52"/>
        <v/>
      </c>
      <c r="Y484" s="63" t="str">
        <f t="shared" si="53"/>
        <v/>
      </c>
      <c r="Z484" s="58" t="str">
        <f t="shared" si="54"/>
        <v/>
      </c>
      <c r="AA484" s="66" t="str">
        <f t="shared" si="55"/>
        <v/>
      </c>
      <c r="AB484" s="62"/>
      <c r="AC484" s="62"/>
      <c r="AD484" s="63" t="str">
        <f>IFERROR(IF(OR($AB484="",$T484="",$T484=0),"",ROUND(ABS($N484-$AB484)*$S484*VLOOKUP($F484,'⚙️ Setelan'!$A$14:$F$20,4,FALSE)/$T484,2)),"")</f>
        <v/>
      </c>
      <c r="AE484" s="63" t="str">
        <f>IFERROR(IF(OR($AC484="",$T484="",$T484=0),"",ROUND(ABS($AC484-$N484)*$S484*VLOOKUP($F484,'⚙️ Setelan'!$A$14:$F$20,4,FALSE)/$T484,2)),"")</f>
        <v/>
      </c>
      <c r="AF484" s="61"/>
      <c r="AG484" s="61"/>
      <c r="AH484" s="61"/>
      <c r="AI484" s="61"/>
      <c r="AJ484" s="61"/>
      <c r="AK484" s="67"/>
      <c r="AL484" s="58" t="str">
        <f>IF(OR($C484="",$B484=""),"",IF(AND($Z483="Loss",$B484=$B483,MOD($C484-$D483,1)*1440&lt;'⚙️ Setelan'!$B$9),"⚠️ Revenge",""))</f>
        <v/>
      </c>
      <c r="AM484" s="68"/>
      <c r="AN484" s="58" t="str">
        <f>IF($AM484="","",IFERROR(_xlfn.IMAGE(IF(REGEXMATCH($AM484,"\.(png|jpg|jpeg|gif)$"),$AM484,"https://s3.tradingview.com/snapshots/"&amp;LOWER(MID(REGEXEXTRACT($AM484,"/x/([A-Za-z0-9]+)"),1,1))&amp;"/"&amp;REGEXEXTRACT($AM484,"/x/([A-Za-z0-9]+)")&amp;".png"),1),"⚠️ link tidak dikenali"))</f>
        <v/>
      </c>
      <c r="AO484" s="68"/>
      <c r="AP484" s="58" t="str">
        <f>IF($AO484="","",IFERROR(_xlfn.IMAGE(IF(REGEXMATCH($AO484,"\.(png|jpg|jpeg|gif)$"),$AO484,"https://s3.tradingview.com/snapshots/"&amp;LOWER(MID(REGEXEXTRACT($AO484,"/x/([A-Za-z0-9]+)"),1,1))&amp;"/"&amp;REGEXEXTRACT($AO484,"/x/([A-Za-z0-9]+)")&amp;".png"),1),"⚠️ link tidak dikenali"))</f>
        <v/>
      </c>
      <c r="AQ484" s="66">
        <f>IF($Z484="",0,IF(AND(OR('📊 Dashboard'!$B$4="(Semua)",$F484='📊 Dashboard'!$B$4),OR('📊 Dashboard'!$B$5="(Semua)",$H484='📊 Dashboard'!$B$5),OR('📊 Dashboard'!$B$6="(Semua)",$E484='📊 Dashboard'!$B$6),OR('📊 Dashboard'!$B$7="(Semua)",$AF484='📊 Dashboard'!$B$7),OR('📊 Dashboard'!$B$8="(Semua)",$AG484='📊 Dashboard'!$B$8),OR('📊 Dashboard'!$B$9="(Semua)",$K484='📊 Dashboard'!$B$9)),1,0))</f>
        <v>0</v>
      </c>
      <c r="AR484" s="69"/>
    </row>
    <row r="485" ht="58" customHeight="1" spans="1:44">
      <c r="A485" s="58" t="str">
        <f t="shared" si="49"/>
        <v/>
      </c>
      <c r="B485" s="59"/>
      <c r="C485" s="60"/>
      <c r="D485" s="60"/>
      <c r="E485" s="58" t="str">
        <f t="shared" si="50"/>
        <v/>
      </c>
      <c r="F485" s="61"/>
      <c r="G485" s="61"/>
      <c r="H485" s="61"/>
      <c r="I485" s="61"/>
      <c r="J485" s="61"/>
      <c r="K485" s="61"/>
      <c r="L485" s="61"/>
      <c r="M485" s="61"/>
      <c r="N485" s="62"/>
      <c r="O485" s="62"/>
      <c r="P485" s="62"/>
      <c r="Q485" s="62"/>
      <c r="R485" s="63" t="str">
        <f>IFERROR(IF(OR($N485="",$O485="",$F485=""),"",ROUND(('⚙️ Setelan'!$B$3*'⚙️ Setelan'!$B$4/100)/(ABS($N485-$O485)*VLOOKUP($F485,'⚙️ Setelan'!$A$14:$F$20,4,FALSE)),2)),"")</f>
        <v/>
      </c>
      <c r="S485" s="64"/>
      <c r="T485" s="65" t="str">
        <f>IFERROR(IF(OR($N485="",$O485="",$S485=""),"",ABS($N485-$O485)*$S485*VLOOKUP($F485,'⚙️ Setelan'!$A$14:$F$20,4,FALSE)),"")</f>
        <v/>
      </c>
      <c r="U485" s="63" t="str">
        <f t="shared" si="51"/>
        <v/>
      </c>
      <c r="V485" s="65" t="str">
        <f>IFERROR(IF(OR($Q485="",$N485="",$S485=""),"",($Q485-$N485)*IF($G485="Buy",1,-1)*$S485*VLOOKUP($F485,'⚙️ Setelan'!$A$14:$F$20,4,FALSE)),"")</f>
        <v/>
      </c>
      <c r="W485" s="65" t="str">
        <f>IFERROR(IF(OR($S485="",$F485=""),"",$S485*VLOOKUP($F485,'⚙️ Setelan'!$A$14:$F$20,5,FALSE)),"")</f>
        <v/>
      </c>
      <c r="X485" s="65" t="str">
        <f t="shared" si="52"/>
        <v/>
      </c>
      <c r="Y485" s="63" t="str">
        <f t="shared" si="53"/>
        <v/>
      </c>
      <c r="Z485" s="58" t="str">
        <f t="shared" si="54"/>
        <v/>
      </c>
      <c r="AA485" s="66" t="str">
        <f t="shared" si="55"/>
        <v/>
      </c>
      <c r="AB485" s="62"/>
      <c r="AC485" s="62"/>
      <c r="AD485" s="63" t="str">
        <f>IFERROR(IF(OR($AB485="",$T485="",$T485=0),"",ROUND(ABS($N485-$AB485)*$S485*VLOOKUP($F485,'⚙️ Setelan'!$A$14:$F$20,4,FALSE)/$T485,2)),"")</f>
        <v/>
      </c>
      <c r="AE485" s="63" t="str">
        <f>IFERROR(IF(OR($AC485="",$T485="",$T485=0),"",ROUND(ABS($AC485-$N485)*$S485*VLOOKUP($F485,'⚙️ Setelan'!$A$14:$F$20,4,FALSE)/$T485,2)),"")</f>
        <v/>
      </c>
      <c r="AF485" s="61"/>
      <c r="AG485" s="61"/>
      <c r="AH485" s="61"/>
      <c r="AI485" s="61"/>
      <c r="AJ485" s="61"/>
      <c r="AK485" s="67"/>
      <c r="AL485" s="58" t="str">
        <f>IF(OR($C485="",$B485=""),"",IF(AND($Z484="Loss",$B485=$B484,MOD($C485-$D484,1)*1440&lt;'⚙️ Setelan'!$B$9),"⚠️ Revenge",""))</f>
        <v/>
      </c>
      <c r="AM485" s="68"/>
      <c r="AN485" s="58" t="str">
        <f>IF($AM485="","",IFERROR(_xlfn.IMAGE(IF(REGEXMATCH($AM485,"\.(png|jpg|jpeg|gif)$"),$AM485,"https://s3.tradingview.com/snapshots/"&amp;LOWER(MID(REGEXEXTRACT($AM485,"/x/([A-Za-z0-9]+)"),1,1))&amp;"/"&amp;REGEXEXTRACT($AM485,"/x/([A-Za-z0-9]+)")&amp;".png"),1),"⚠️ link tidak dikenali"))</f>
        <v/>
      </c>
      <c r="AO485" s="68"/>
      <c r="AP485" s="58" t="str">
        <f>IF($AO485="","",IFERROR(_xlfn.IMAGE(IF(REGEXMATCH($AO485,"\.(png|jpg|jpeg|gif)$"),$AO485,"https://s3.tradingview.com/snapshots/"&amp;LOWER(MID(REGEXEXTRACT($AO485,"/x/([A-Za-z0-9]+)"),1,1))&amp;"/"&amp;REGEXEXTRACT($AO485,"/x/([A-Za-z0-9]+)")&amp;".png"),1),"⚠️ link tidak dikenali"))</f>
        <v/>
      </c>
      <c r="AQ485" s="66">
        <f>IF($Z485="",0,IF(AND(OR('📊 Dashboard'!$B$4="(Semua)",$F485='📊 Dashboard'!$B$4),OR('📊 Dashboard'!$B$5="(Semua)",$H485='📊 Dashboard'!$B$5),OR('📊 Dashboard'!$B$6="(Semua)",$E485='📊 Dashboard'!$B$6),OR('📊 Dashboard'!$B$7="(Semua)",$AF485='📊 Dashboard'!$B$7),OR('📊 Dashboard'!$B$8="(Semua)",$AG485='📊 Dashboard'!$B$8),OR('📊 Dashboard'!$B$9="(Semua)",$K485='📊 Dashboard'!$B$9)),1,0))</f>
        <v>0</v>
      </c>
      <c r="AR485" s="69"/>
    </row>
    <row r="486" ht="58" customHeight="1" spans="1:44">
      <c r="A486" s="58" t="str">
        <f t="shared" si="49"/>
        <v/>
      </c>
      <c r="B486" s="59"/>
      <c r="C486" s="60"/>
      <c r="D486" s="60"/>
      <c r="E486" s="58" t="str">
        <f t="shared" si="50"/>
        <v/>
      </c>
      <c r="F486" s="61"/>
      <c r="G486" s="61"/>
      <c r="H486" s="61"/>
      <c r="I486" s="61"/>
      <c r="J486" s="61"/>
      <c r="K486" s="61"/>
      <c r="L486" s="61"/>
      <c r="M486" s="61"/>
      <c r="N486" s="62"/>
      <c r="O486" s="62"/>
      <c r="P486" s="62"/>
      <c r="Q486" s="62"/>
      <c r="R486" s="63" t="str">
        <f>IFERROR(IF(OR($N486="",$O486="",$F486=""),"",ROUND(('⚙️ Setelan'!$B$3*'⚙️ Setelan'!$B$4/100)/(ABS($N486-$O486)*VLOOKUP($F486,'⚙️ Setelan'!$A$14:$F$20,4,FALSE)),2)),"")</f>
        <v/>
      </c>
      <c r="S486" s="64"/>
      <c r="T486" s="65" t="str">
        <f>IFERROR(IF(OR($N486="",$O486="",$S486=""),"",ABS($N486-$O486)*$S486*VLOOKUP($F486,'⚙️ Setelan'!$A$14:$F$20,4,FALSE)),"")</f>
        <v/>
      </c>
      <c r="U486" s="63" t="str">
        <f t="shared" si="51"/>
        <v/>
      </c>
      <c r="V486" s="65" t="str">
        <f>IFERROR(IF(OR($Q486="",$N486="",$S486=""),"",($Q486-$N486)*IF($G486="Buy",1,-1)*$S486*VLOOKUP($F486,'⚙️ Setelan'!$A$14:$F$20,4,FALSE)),"")</f>
        <v/>
      </c>
      <c r="W486" s="65" t="str">
        <f>IFERROR(IF(OR($S486="",$F486=""),"",$S486*VLOOKUP($F486,'⚙️ Setelan'!$A$14:$F$20,5,FALSE)),"")</f>
        <v/>
      </c>
      <c r="X486" s="65" t="str">
        <f t="shared" si="52"/>
        <v/>
      </c>
      <c r="Y486" s="63" t="str">
        <f t="shared" si="53"/>
        <v/>
      </c>
      <c r="Z486" s="58" t="str">
        <f t="shared" si="54"/>
        <v/>
      </c>
      <c r="AA486" s="66" t="str">
        <f t="shared" si="55"/>
        <v/>
      </c>
      <c r="AB486" s="62"/>
      <c r="AC486" s="62"/>
      <c r="AD486" s="63" t="str">
        <f>IFERROR(IF(OR($AB486="",$T486="",$T486=0),"",ROUND(ABS($N486-$AB486)*$S486*VLOOKUP($F486,'⚙️ Setelan'!$A$14:$F$20,4,FALSE)/$T486,2)),"")</f>
        <v/>
      </c>
      <c r="AE486" s="63" t="str">
        <f>IFERROR(IF(OR($AC486="",$T486="",$T486=0),"",ROUND(ABS($AC486-$N486)*$S486*VLOOKUP($F486,'⚙️ Setelan'!$A$14:$F$20,4,FALSE)/$T486,2)),"")</f>
        <v/>
      </c>
      <c r="AF486" s="61"/>
      <c r="AG486" s="61"/>
      <c r="AH486" s="61"/>
      <c r="AI486" s="61"/>
      <c r="AJ486" s="61"/>
      <c r="AK486" s="67"/>
      <c r="AL486" s="58" t="str">
        <f>IF(OR($C486="",$B486=""),"",IF(AND($Z485="Loss",$B486=$B485,MOD($C486-$D485,1)*1440&lt;'⚙️ Setelan'!$B$9),"⚠️ Revenge",""))</f>
        <v/>
      </c>
      <c r="AM486" s="68"/>
      <c r="AN486" s="58" t="str">
        <f>IF($AM486="","",IFERROR(_xlfn.IMAGE(IF(REGEXMATCH($AM486,"\.(png|jpg|jpeg|gif)$"),$AM486,"https://s3.tradingview.com/snapshots/"&amp;LOWER(MID(REGEXEXTRACT($AM486,"/x/([A-Za-z0-9]+)"),1,1))&amp;"/"&amp;REGEXEXTRACT($AM486,"/x/([A-Za-z0-9]+)")&amp;".png"),1),"⚠️ link tidak dikenali"))</f>
        <v/>
      </c>
      <c r="AO486" s="68"/>
      <c r="AP486" s="58" t="str">
        <f>IF($AO486="","",IFERROR(_xlfn.IMAGE(IF(REGEXMATCH($AO486,"\.(png|jpg|jpeg|gif)$"),$AO486,"https://s3.tradingview.com/snapshots/"&amp;LOWER(MID(REGEXEXTRACT($AO486,"/x/([A-Za-z0-9]+)"),1,1))&amp;"/"&amp;REGEXEXTRACT($AO486,"/x/([A-Za-z0-9]+)")&amp;".png"),1),"⚠️ link tidak dikenali"))</f>
        <v/>
      </c>
      <c r="AQ486" s="66">
        <f>IF($Z486="",0,IF(AND(OR('📊 Dashboard'!$B$4="(Semua)",$F486='📊 Dashboard'!$B$4),OR('📊 Dashboard'!$B$5="(Semua)",$H486='📊 Dashboard'!$B$5),OR('📊 Dashboard'!$B$6="(Semua)",$E486='📊 Dashboard'!$B$6),OR('📊 Dashboard'!$B$7="(Semua)",$AF486='📊 Dashboard'!$B$7),OR('📊 Dashboard'!$B$8="(Semua)",$AG486='📊 Dashboard'!$B$8),OR('📊 Dashboard'!$B$9="(Semua)",$K486='📊 Dashboard'!$B$9)),1,0))</f>
        <v>0</v>
      </c>
      <c r="AR486" s="69"/>
    </row>
    <row r="487" ht="58" customHeight="1" spans="1:44">
      <c r="A487" s="58" t="str">
        <f t="shared" si="49"/>
        <v/>
      </c>
      <c r="B487" s="59"/>
      <c r="C487" s="60"/>
      <c r="D487" s="60"/>
      <c r="E487" s="58" t="str">
        <f t="shared" si="50"/>
        <v/>
      </c>
      <c r="F487" s="61"/>
      <c r="G487" s="61"/>
      <c r="H487" s="61"/>
      <c r="I487" s="61"/>
      <c r="J487" s="61"/>
      <c r="K487" s="61"/>
      <c r="L487" s="61"/>
      <c r="M487" s="61"/>
      <c r="N487" s="62"/>
      <c r="O487" s="62"/>
      <c r="P487" s="62"/>
      <c r="Q487" s="62"/>
      <c r="R487" s="63" t="str">
        <f>IFERROR(IF(OR($N487="",$O487="",$F487=""),"",ROUND(('⚙️ Setelan'!$B$3*'⚙️ Setelan'!$B$4/100)/(ABS($N487-$O487)*VLOOKUP($F487,'⚙️ Setelan'!$A$14:$F$20,4,FALSE)),2)),"")</f>
        <v/>
      </c>
      <c r="S487" s="64"/>
      <c r="T487" s="65" t="str">
        <f>IFERROR(IF(OR($N487="",$O487="",$S487=""),"",ABS($N487-$O487)*$S487*VLOOKUP($F487,'⚙️ Setelan'!$A$14:$F$20,4,FALSE)),"")</f>
        <v/>
      </c>
      <c r="U487" s="63" t="str">
        <f t="shared" si="51"/>
        <v/>
      </c>
      <c r="V487" s="65" t="str">
        <f>IFERROR(IF(OR($Q487="",$N487="",$S487=""),"",($Q487-$N487)*IF($G487="Buy",1,-1)*$S487*VLOOKUP($F487,'⚙️ Setelan'!$A$14:$F$20,4,FALSE)),"")</f>
        <v/>
      </c>
      <c r="W487" s="65" t="str">
        <f>IFERROR(IF(OR($S487="",$F487=""),"",$S487*VLOOKUP($F487,'⚙️ Setelan'!$A$14:$F$20,5,FALSE)),"")</f>
        <v/>
      </c>
      <c r="X487" s="65" t="str">
        <f t="shared" si="52"/>
        <v/>
      </c>
      <c r="Y487" s="63" t="str">
        <f t="shared" si="53"/>
        <v/>
      </c>
      <c r="Z487" s="58" t="str">
        <f t="shared" si="54"/>
        <v/>
      </c>
      <c r="AA487" s="66" t="str">
        <f t="shared" si="55"/>
        <v/>
      </c>
      <c r="AB487" s="62"/>
      <c r="AC487" s="62"/>
      <c r="AD487" s="63" t="str">
        <f>IFERROR(IF(OR($AB487="",$T487="",$T487=0),"",ROUND(ABS($N487-$AB487)*$S487*VLOOKUP($F487,'⚙️ Setelan'!$A$14:$F$20,4,FALSE)/$T487,2)),"")</f>
        <v/>
      </c>
      <c r="AE487" s="63" t="str">
        <f>IFERROR(IF(OR($AC487="",$T487="",$T487=0),"",ROUND(ABS($AC487-$N487)*$S487*VLOOKUP($F487,'⚙️ Setelan'!$A$14:$F$20,4,FALSE)/$T487,2)),"")</f>
        <v/>
      </c>
      <c r="AF487" s="61"/>
      <c r="AG487" s="61"/>
      <c r="AH487" s="61"/>
      <c r="AI487" s="61"/>
      <c r="AJ487" s="61"/>
      <c r="AK487" s="67"/>
      <c r="AL487" s="58" t="str">
        <f>IF(OR($C487="",$B487=""),"",IF(AND($Z486="Loss",$B487=$B486,MOD($C487-$D486,1)*1440&lt;'⚙️ Setelan'!$B$9),"⚠️ Revenge",""))</f>
        <v/>
      </c>
      <c r="AM487" s="68"/>
      <c r="AN487" s="58" t="str">
        <f>IF($AM487="","",IFERROR(_xlfn.IMAGE(IF(REGEXMATCH($AM487,"\.(png|jpg|jpeg|gif)$"),$AM487,"https://s3.tradingview.com/snapshots/"&amp;LOWER(MID(REGEXEXTRACT($AM487,"/x/([A-Za-z0-9]+)"),1,1))&amp;"/"&amp;REGEXEXTRACT($AM487,"/x/([A-Za-z0-9]+)")&amp;".png"),1),"⚠️ link tidak dikenali"))</f>
        <v/>
      </c>
      <c r="AO487" s="68"/>
      <c r="AP487" s="58" t="str">
        <f>IF($AO487="","",IFERROR(_xlfn.IMAGE(IF(REGEXMATCH($AO487,"\.(png|jpg|jpeg|gif)$"),$AO487,"https://s3.tradingview.com/snapshots/"&amp;LOWER(MID(REGEXEXTRACT($AO487,"/x/([A-Za-z0-9]+)"),1,1))&amp;"/"&amp;REGEXEXTRACT($AO487,"/x/([A-Za-z0-9]+)")&amp;".png"),1),"⚠️ link tidak dikenali"))</f>
        <v/>
      </c>
      <c r="AQ487" s="66">
        <f>IF($Z487="",0,IF(AND(OR('📊 Dashboard'!$B$4="(Semua)",$F487='📊 Dashboard'!$B$4),OR('📊 Dashboard'!$B$5="(Semua)",$H487='📊 Dashboard'!$B$5),OR('📊 Dashboard'!$B$6="(Semua)",$E487='📊 Dashboard'!$B$6),OR('📊 Dashboard'!$B$7="(Semua)",$AF487='📊 Dashboard'!$B$7),OR('📊 Dashboard'!$B$8="(Semua)",$AG487='📊 Dashboard'!$B$8),OR('📊 Dashboard'!$B$9="(Semua)",$K487='📊 Dashboard'!$B$9)),1,0))</f>
        <v>0</v>
      </c>
      <c r="AR487" s="69"/>
    </row>
    <row r="488" ht="58" customHeight="1" spans="1:44">
      <c r="A488" s="58" t="str">
        <f t="shared" si="49"/>
        <v/>
      </c>
      <c r="B488" s="59"/>
      <c r="C488" s="60"/>
      <c r="D488" s="60"/>
      <c r="E488" s="58" t="str">
        <f t="shared" si="50"/>
        <v/>
      </c>
      <c r="F488" s="61"/>
      <c r="G488" s="61"/>
      <c r="H488" s="61"/>
      <c r="I488" s="61"/>
      <c r="J488" s="61"/>
      <c r="K488" s="61"/>
      <c r="L488" s="61"/>
      <c r="M488" s="61"/>
      <c r="N488" s="62"/>
      <c r="O488" s="62"/>
      <c r="P488" s="62"/>
      <c r="Q488" s="62"/>
      <c r="R488" s="63" t="str">
        <f>IFERROR(IF(OR($N488="",$O488="",$F488=""),"",ROUND(('⚙️ Setelan'!$B$3*'⚙️ Setelan'!$B$4/100)/(ABS($N488-$O488)*VLOOKUP($F488,'⚙️ Setelan'!$A$14:$F$20,4,FALSE)),2)),"")</f>
        <v/>
      </c>
      <c r="S488" s="64"/>
      <c r="T488" s="65" t="str">
        <f>IFERROR(IF(OR($N488="",$O488="",$S488=""),"",ABS($N488-$O488)*$S488*VLOOKUP($F488,'⚙️ Setelan'!$A$14:$F$20,4,FALSE)),"")</f>
        <v/>
      </c>
      <c r="U488" s="63" t="str">
        <f t="shared" si="51"/>
        <v/>
      </c>
      <c r="V488" s="65" t="str">
        <f>IFERROR(IF(OR($Q488="",$N488="",$S488=""),"",($Q488-$N488)*IF($G488="Buy",1,-1)*$S488*VLOOKUP($F488,'⚙️ Setelan'!$A$14:$F$20,4,FALSE)),"")</f>
        <v/>
      </c>
      <c r="W488" s="65" t="str">
        <f>IFERROR(IF(OR($S488="",$F488=""),"",$S488*VLOOKUP($F488,'⚙️ Setelan'!$A$14:$F$20,5,FALSE)),"")</f>
        <v/>
      </c>
      <c r="X488" s="65" t="str">
        <f t="shared" si="52"/>
        <v/>
      </c>
      <c r="Y488" s="63" t="str">
        <f t="shared" si="53"/>
        <v/>
      </c>
      <c r="Z488" s="58" t="str">
        <f t="shared" si="54"/>
        <v/>
      </c>
      <c r="AA488" s="66" t="str">
        <f t="shared" si="55"/>
        <v/>
      </c>
      <c r="AB488" s="62"/>
      <c r="AC488" s="62"/>
      <c r="AD488" s="63" t="str">
        <f>IFERROR(IF(OR($AB488="",$T488="",$T488=0),"",ROUND(ABS($N488-$AB488)*$S488*VLOOKUP($F488,'⚙️ Setelan'!$A$14:$F$20,4,FALSE)/$T488,2)),"")</f>
        <v/>
      </c>
      <c r="AE488" s="63" t="str">
        <f>IFERROR(IF(OR($AC488="",$T488="",$T488=0),"",ROUND(ABS($AC488-$N488)*$S488*VLOOKUP($F488,'⚙️ Setelan'!$A$14:$F$20,4,FALSE)/$T488,2)),"")</f>
        <v/>
      </c>
      <c r="AF488" s="61"/>
      <c r="AG488" s="61"/>
      <c r="AH488" s="61"/>
      <c r="AI488" s="61"/>
      <c r="AJ488" s="61"/>
      <c r="AK488" s="67"/>
      <c r="AL488" s="58" t="str">
        <f>IF(OR($C488="",$B488=""),"",IF(AND($Z487="Loss",$B488=$B487,MOD($C488-$D487,1)*1440&lt;'⚙️ Setelan'!$B$9),"⚠️ Revenge",""))</f>
        <v/>
      </c>
      <c r="AM488" s="68"/>
      <c r="AN488" s="58" t="str">
        <f>IF($AM488="","",IFERROR(_xlfn.IMAGE(IF(REGEXMATCH($AM488,"\.(png|jpg|jpeg|gif)$"),$AM488,"https://s3.tradingview.com/snapshots/"&amp;LOWER(MID(REGEXEXTRACT($AM488,"/x/([A-Za-z0-9]+)"),1,1))&amp;"/"&amp;REGEXEXTRACT($AM488,"/x/([A-Za-z0-9]+)")&amp;".png"),1),"⚠️ link tidak dikenali"))</f>
        <v/>
      </c>
      <c r="AO488" s="68"/>
      <c r="AP488" s="58" t="str">
        <f>IF($AO488="","",IFERROR(_xlfn.IMAGE(IF(REGEXMATCH($AO488,"\.(png|jpg|jpeg|gif)$"),$AO488,"https://s3.tradingview.com/snapshots/"&amp;LOWER(MID(REGEXEXTRACT($AO488,"/x/([A-Za-z0-9]+)"),1,1))&amp;"/"&amp;REGEXEXTRACT($AO488,"/x/([A-Za-z0-9]+)")&amp;".png"),1),"⚠️ link tidak dikenali"))</f>
        <v/>
      </c>
      <c r="AQ488" s="66">
        <f>IF($Z488="",0,IF(AND(OR('📊 Dashboard'!$B$4="(Semua)",$F488='📊 Dashboard'!$B$4),OR('📊 Dashboard'!$B$5="(Semua)",$H488='📊 Dashboard'!$B$5),OR('📊 Dashboard'!$B$6="(Semua)",$E488='📊 Dashboard'!$B$6),OR('📊 Dashboard'!$B$7="(Semua)",$AF488='📊 Dashboard'!$B$7),OR('📊 Dashboard'!$B$8="(Semua)",$AG488='📊 Dashboard'!$B$8),OR('📊 Dashboard'!$B$9="(Semua)",$K488='📊 Dashboard'!$B$9)),1,0))</f>
        <v>0</v>
      </c>
      <c r="AR488" s="69"/>
    </row>
    <row r="489" ht="58" customHeight="1" spans="1:44">
      <c r="A489" s="58" t="str">
        <f t="shared" si="49"/>
        <v/>
      </c>
      <c r="B489" s="59"/>
      <c r="C489" s="60"/>
      <c r="D489" s="60"/>
      <c r="E489" s="58" t="str">
        <f t="shared" si="50"/>
        <v/>
      </c>
      <c r="F489" s="61"/>
      <c r="G489" s="61"/>
      <c r="H489" s="61"/>
      <c r="I489" s="61"/>
      <c r="J489" s="61"/>
      <c r="K489" s="61"/>
      <c r="L489" s="61"/>
      <c r="M489" s="61"/>
      <c r="N489" s="62"/>
      <c r="O489" s="62"/>
      <c r="P489" s="62"/>
      <c r="Q489" s="62"/>
      <c r="R489" s="63" t="str">
        <f>IFERROR(IF(OR($N489="",$O489="",$F489=""),"",ROUND(('⚙️ Setelan'!$B$3*'⚙️ Setelan'!$B$4/100)/(ABS($N489-$O489)*VLOOKUP($F489,'⚙️ Setelan'!$A$14:$F$20,4,FALSE)),2)),"")</f>
        <v/>
      </c>
      <c r="S489" s="64"/>
      <c r="T489" s="65" t="str">
        <f>IFERROR(IF(OR($N489="",$O489="",$S489=""),"",ABS($N489-$O489)*$S489*VLOOKUP($F489,'⚙️ Setelan'!$A$14:$F$20,4,FALSE)),"")</f>
        <v/>
      </c>
      <c r="U489" s="63" t="str">
        <f t="shared" si="51"/>
        <v/>
      </c>
      <c r="V489" s="65" t="str">
        <f>IFERROR(IF(OR($Q489="",$N489="",$S489=""),"",($Q489-$N489)*IF($G489="Buy",1,-1)*$S489*VLOOKUP($F489,'⚙️ Setelan'!$A$14:$F$20,4,FALSE)),"")</f>
        <v/>
      </c>
      <c r="W489" s="65" t="str">
        <f>IFERROR(IF(OR($S489="",$F489=""),"",$S489*VLOOKUP($F489,'⚙️ Setelan'!$A$14:$F$20,5,FALSE)),"")</f>
        <v/>
      </c>
      <c r="X489" s="65" t="str">
        <f t="shared" si="52"/>
        <v/>
      </c>
      <c r="Y489" s="63" t="str">
        <f t="shared" si="53"/>
        <v/>
      </c>
      <c r="Z489" s="58" t="str">
        <f t="shared" si="54"/>
        <v/>
      </c>
      <c r="AA489" s="66" t="str">
        <f t="shared" si="55"/>
        <v/>
      </c>
      <c r="AB489" s="62"/>
      <c r="AC489" s="62"/>
      <c r="AD489" s="63" t="str">
        <f>IFERROR(IF(OR($AB489="",$T489="",$T489=0),"",ROUND(ABS($N489-$AB489)*$S489*VLOOKUP($F489,'⚙️ Setelan'!$A$14:$F$20,4,FALSE)/$T489,2)),"")</f>
        <v/>
      </c>
      <c r="AE489" s="63" t="str">
        <f>IFERROR(IF(OR($AC489="",$T489="",$T489=0),"",ROUND(ABS($AC489-$N489)*$S489*VLOOKUP($F489,'⚙️ Setelan'!$A$14:$F$20,4,FALSE)/$T489,2)),"")</f>
        <v/>
      </c>
      <c r="AF489" s="61"/>
      <c r="AG489" s="61"/>
      <c r="AH489" s="61"/>
      <c r="AI489" s="61"/>
      <c r="AJ489" s="61"/>
      <c r="AK489" s="67"/>
      <c r="AL489" s="58" t="str">
        <f>IF(OR($C489="",$B489=""),"",IF(AND($Z488="Loss",$B489=$B488,MOD($C489-$D488,1)*1440&lt;'⚙️ Setelan'!$B$9),"⚠️ Revenge",""))</f>
        <v/>
      </c>
      <c r="AM489" s="68"/>
      <c r="AN489" s="58" t="str">
        <f>IF($AM489="","",IFERROR(_xlfn.IMAGE(IF(REGEXMATCH($AM489,"\.(png|jpg|jpeg|gif)$"),$AM489,"https://s3.tradingview.com/snapshots/"&amp;LOWER(MID(REGEXEXTRACT($AM489,"/x/([A-Za-z0-9]+)"),1,1))&amp;"/"&amp;REGEXEXTRACT($AM489,"/x/([A-Za-z0-9]+)")&amp;".png"),1),"⚠️ link tidak dikenali"))</f>
        <v/>
      </c>
      <c r="AO489" s="68"/>
      <c r="AP489" s="58" t="str">
        <f>IF($AO489="","",IFERROR(_xlfn.IMAGE(IF(REGEXMATCH($AO489,"\.(png|jpg|jpeg|gif)$"),$AO489,"https://s3.tradingview.com/snapshots/"&amp;LOWER(MID(REGEXEXTRACT($AO489,"/x/([A-Za-z0-9]+)"),1,1))&amp;"/"&amp;REGEXEXTRACT($AO489,"/x/([A-Za-z0-9]+)")&amp;".png"),1),"⚠️ link tidak dikenali"))</f>
        <v/>
      </c>
      <c r="AQ489" s="66">
        <f>IF($Z489="",0,IF(AND(OR('📊 Dashboard'!$B$4="(Semua)",$F489='📊 Dashboard'!$B$4),OR('📊 Dashboard'!$B$5="(Semua)",$H489='📊 Dashboard'!$B$5),OR('📊 Dashboard'!$B$6="(Semua)",$E489='📊 Dashboard'!$B$6),OR('📊 Dashboard'!$B$7="(Semua)",$AF489='📊 Dashboard'!$B$7),OR('📊 Dashboard'!$B$8="(Semua)",$AG489='📊 Dashboard'!$B$8),OR('📊 Dashboard'!$B$9="(Semua)",$K489='📊 Dashboard'!$B$9)),1,0))</f>
        <v>0</v>
      </c>
      <c r="AR489" s="69"/>
    </row>
    <row r="490" ht="58" customHeight="1" spans="1:44">
      <c r="A490" s="58" t="str">
        <f t="shared" si="49"/>
        <v/>
      </c>
      <c r="B490" s="59"/>
      <c r="C490" s="60"/>
      <c r="D490" s="60"/>
      <c r="E490" s="58" t="str">
        <f t="shared" si="50"/>
        <v/>
      </c>
      <c r="F490" s="61"/>
      <c r="G490" s="61"/>
      <c r="H490" s="61"/>
      <c r="I490" s="61"/>
      <c r="J490" s="61"/>
      <c r="K490" s="61"/>
      <c r="L490" s="61"/>
      <c r="M490" s="61"/>
      <c r="N490" s="62"/>
      <c r="O490" s="62"/>
      <c r="P490" s="62"/>
      <c r="Q490" s="62"/>
      <c r="R490" s="63" t="str">
        <f>IFERROR(IF(OR($N490="",$O490="",$F490=""),"",ROUND(('⚙️ Setelan'!$B$3*'⚙️ Setelan'!$B$4/100)/(ABS($N490-$O490)*VLOOKUP($F490,'⚙️ Setelan'!$A$14:$F$20,4,FALSE)),2)),"")</f>
        <v/>
      </c>
      <c r="S490" s="64"/>
      <c r="T490" s="65" t="str">
        <f>IFERROR(IF(OR($N490="",$O490="",$S490=""),"",ABS($N490-$O490)*$S490*VLOOKUP($F490,'⚙️ Setelan'!$A$14:$F$20,4,FALSE)),"")</f>
        <v/>
      </c>
      <c r="U490" s="63" t="str">
        <f t="shared" si="51"/>
        <v/>
      </c>
      <c r="V490" s="65" t="str">
        <f>IFERROR(IF(OR($Q490="",$N490="",$S490=""),"",($Q490-$N490)*IF($G490="Buy",1,-1)*$S490*VLOOKUP($F490,'⚙️ Setelan'!$A$14:$F$20,4,FALSE)),"")</f>
        <v/>
      </c>
      <c r="W490" s="65" t="str">
        <f>IFERROR(IF(OR($S490="",$F490=""),"",$S490*VLOOKUP($F490,'⚙️ Setelan'!$A$14:$F$20,5,FALSE)),"")</f>
        <v/>
      </c>
      <c r="X490" s="65" t="str">
        <f t="shared" si="52"/>
        <v/>
      </c>
      <c r="Y490" s="63" t="str">
        <f t="shared" si="53"/>
        <v/>
      </c>
      <c r="Z490" s="58" t="str">
        <f t="shared" si="54"/>
        <v/>
      </c>
      <c r="AA490" s="66" t="str">
        <f t="shared" si="55"/>
        <v/>
      </c>
      <c r="AB490" s="62"/>
      <c r="AC490" s="62"/>
      <c r="AD490" s="63" t="str">
        <f>IFERROR(IF(OR($AB490="",$T490="",$T490=0),"",ROUND(ABS($N490-$AB490)*$S490*VLOOKUP($F490,'⚙️ Setelan'!$A$14:$F$20,4,FALSE)/$T490,2)),"")</f>
        <v/>
      </c>
      <c r="AE490" s="63" t="str">
        <f>IFERROR(IF(OR($AC490="",$T490="",$T490=0),"",ROUND(ABS($AC490-$N490)*$S490*VLOOKUP($F490,'⚙️ Setelan'!$A$14:$F$20,4,FALSE)/$T490,2)),"")</f>
        <v/>
      </c>
      <c r="AF490" s="61"/>
      <c r="AG490" s="61"/>
      <c r="AH490" s="61"/>
      <c r="AI490" s="61"/>
      <c r="AJ490" s="61"/>
      <c r="AK490" s="67"/>
      <c r="AL490" s="58" t="str">
        <f>IF(OR($C490="",$B490=""),"",IF(AND($Z489="Loss",$B490=$B489,MOD($C490-$D489,1)*1440&lt;'⚙️ Setelan'!$B$9),"⚠️ Revenge",""))</f>
        <v/>
      </c>
      <c r="AM490" s="68"/>
      <c r="AN490" s="58" t="str">
        <f>IF($AM490="","",IFERROR(_xlfn.IMAGE(IF(REGEXMATCH($AM490,"\.(png|jpg|jpeg|gif)$"),$AM490,"https://s3.tradingview.com/snapshots/"&amp;LOWER(MID(REGEXEXTRACT($AM490,"/x/([A-Za-z0-9]+)"),1,1))&amp;"/"&amp;REGEXEXTRACT($AM490,"/x/([A-Za-z0-9]+)")&amp;".png"),1),"⚠️ link tidak dikenali"))</f>
        <v/>
      </c>
      <c r="AO490" s="68"/>
      <c r="AP490" s="58" t="str">
        <f>IF($AO490="","",IFERROR(_xlfn.IMAGE(IF(REGEXMATCH($AO490,"\.(png|jpg|jpeg|gif)$"),$AO490,"https://s3.tradingview.com/snapshots/"&amp;LOWER(MID(REGEXEXTRACT($AO490,"/x/([A-Za-z0-9]+)"),1,1))&amp;"/"&amp;REGEXEXTRACT($AO490,"/x/([A-Za-z0-9]+)")&amp;".png"),1),"⚠️ link tidak dikenali"))</f>
        <v/>
      </c>
      <c r="AQ490" s="66">
        <f>IF($Z490="",0,IF(AND(OR('📊 Dashboard'!$B$4="(Semua)",$F490='📊 Dashboard'!$B$4),OR('📊 Dashboard'!$B$5="(Semua)",$H490='📊 Dashboard'!$B$5),OR('📊 Dashboard'!$B$6="(Semua)",$E490='📊 Dashboard'!$B$6),OR('📊 Dashboard'!$B$7="(Semua)",$AF490='📊 Dashboard'!$B$7),OR('📊 Dashboard'!$B$8="(Semua)",$AG490='📊 Dashboard'!$B$8),OR('📊 Dashboard'!$B$9="(Semua)",$K490='📊 Dashboard'!$B$9)),1,0))</f>
        <v>0</v>
      </c>
      <c r="AR490" s="69"/>
    </row>
    <row r="491" ht="58" customHeight="1" spans="1:44">
      <c r="A491" s="58" t="str">
        <f t="shared" si="49"/>
        <v/>
      </c>
      <c r="B491" s="59"/>
      <c r="C491" s="60"/>
      <c r="D491" s="60"/>
      <c r="E491" s="58" t="str">
        <f t="shared" si="50"/>
        <v/>
      </c>
      <c r="F491" s="61"/>
      <c r="G491" s="61"/>
      <c r="H491" s="61"/>
      <c r="I491" s="61"/>
      <c r="J491" s="61"/>
      <c r="K491" s="61"/>
      <c r="L491" s="61"/>
      <c r="M491" s="61"/>
      <c r="N491" s="62"/>
      <c r="O491" s="62"/>
      <c r="P491" s="62"/>
      <c r="Q491" s="62"/>
      <c r="R491" s="63" t="str">
        <f>IFERROR(IF(OR($N491="",$O491="",$F491=""),"",ROUND(('⚙️ Setelan'!$B$3*'⚙️ Setelan'!$B$4/100)/(ABS($N491-$O491)*VLOOKUP($F491,'⚙️ Setelan'!$A$14:$F$20,4,FALSE)),2)),"")</f>
        <v/>
      </c>
      <c r="S491" s="64"/>
      <c r="T491" s="65" t="str">
        <f>IFERROR(IF(OR($N491="",$O491="",$S491=""),"",ABS($N491-$O491)*$S491*VLOOKUP($F491,'⚙️ Setelan'!$A$14:$F$20,4,FALSE)),"")</f>
        <v/>
      </c>
      <c r="U491" s="63" t="str">
        <f t="shared" si="51"/>
        <v/>
      </c>
      <c r="V491" s="65" t="str">
        <f>IFERROR(IF(OR($Q491="",$N491="",$S491=""),"",($Q491-$N491)*IF($G491="Buy",1,-1)*$S491*VLOOKUP($F491,'⚙️ Setelan'!$A$14:$F$20,4,FALSE)),"")</f>
        <v/>
      </c>
      <c r="W491" s="65" t="str">
        <f>IFERROR(IF(OR($S491="",$F491=""),"",$S491*VLOOKUP($F491,'⚙️ Setelan'!$A$14:$F$20,5,FALSE)),"")</f>
        <v/>
      </c>
      <c r="X491" s="65" t="str">
        <f t="shared" si="52"/>
        <v/>
      </c>
      <c r="Y491" s="63" t="str">
        <f t="shared" si="53"/>
        <v/>
      </c>
      <c r="Z491" s="58" t="str">
        <f t="shared" si="54"/>
        <v/>
      </c>
      <c r="AA491" s="66" t="str">
        <f t="shared" si="55"/>
        <v/>
      </c>
      <c r="AB491" s="62"/>
      <c r="AC491" s="62"/>
      <c r="AD491" s="63" t="str">
        <f>IFERROR(IF(OR($AB491="",$T491="",$T491=0),"",ROUND(ABS($N491-$AB491)*$S491*VLOOKUP($F491,'⚙️ Setelan'!$A$14:$F$20,4,FALSE)/$T491,2)),"")</f>
        <v/>
      </c>
      <c r="AE491" s="63" t="str">
        <f>IFERROR(IF(OR($AC491="",$T491="",$T491=0),"",ROUND(ABS($AC491-$N491)*$S491*VLOOKUP($F491,'⚙️ Setelan'!$A$14:$F$20,4,FALSE)/$T491,2)),"")</f>
        <v/>
      </c>
      <c r="AF491" s="61"/>
      <c r="AG491" s="61"/>
      <c r="AH491" s="61"/>
      <c r="AI491" s="61"/>
      <c r="AJ491" s="61"/>
      <c r="AK491" s="67"/>
      <c r="AL491" s="58" t="str">
        <f>IF(OR($C491="",$B491=""),"",IF(AND($Z490="Loss",$B491=$B490,MOD($C491-$D490,1)*1440&lt;'⚙️ Setelan'!$B$9),"⚠️ Revenge",""))</f>
        <v/>
      </c>
      <c r="AM491" s="68"/>
      <c r="AN491" s="58" t="str">
        <f>IF($AM491="","",IFERROR(_xlfn.IMAGE(IF(REGEXMATCH($AM491,"\.(png|jpg|jpeg|gif)$"),$AM491,"https://s3.tradingview.com/snapshots/"&amp;LOWER(MID(REGEXEXTRACT($AM491,"/x/([A-Za-z0-9]+)"),1,1))&amp;"/"&amp;REGEXEXTRACT($AM491,"/x/([A-Za-z0-9]+)")&amp;".png"),1),"⚠️ link tidak dikenali"))</f>
        <v/>
      </c>
      <c r="AO491" s="68"/>
      <c r="AP491" s="58" t="str">
        <f>IF($AO491="","",IFERROR(_xlfn.IMAGE(IF(REGEXMATCH($AO491,"\.(png|jpg|jpeg|gif)$"),$AO491,"https://s3.tradingview.com/snapshots/"&amp;LOWER(MID(REGEXEXTRACT($AO491,"/x/([A-Za-z0-9]+)"),1,1))&amp;"/"&amp;REGEXEXTRACT($AO491,"/x/([A-Za-z0-9]+)")&amp;".png"),1),"⚠️ link tidak dikenali"))</f>
        <v/>
      </c>
      <c r="AQ491" s="66">
        <f>IF($Z491="",0,IF(AND(OR('📊 Dashboard'!$B$4="(Semua)",$F491='📊 Dashboard'!$B$4),OR('📊 Dashboard'!$B$5="(Semua)",$H491='📊 Dashboard'!$B$5),OR('📊 Dashboard'!$B$6="(Semua)",$E491='📊 Dashboard'!$B$6),OR('📊 Dashboard'!$B$7="(Semua)",$AF491='📊 Dashboard'!$B$7),OR('📊 Dashboard'!$B$8="(Semua)",$AG491='📊 Dashboard'!$B$8),OR('📊 Dashboard'!$B$9="(Semua)",$K491='📊 Dashboard'!$B$9)),1,0))</f>
        <v>0</v>
      </c>
      <c r="AR491" s="69"/>
    </row>
    <row r="492" ht="58" customHeight="1" spans="1:44">
      <c r="A492" s="58" t="str">
        <f t="shared" si="49"/>
        <v/>
      </c>
      <c r="B492" s="59"/>
      <c r="C492" s="60"/>
      <c r="D492" s="60"/>
      <c r="E492" s="58" t="str">
        <f t="shared" si="50"/>
        <v/>
      </c>
      <c r="F492" s="61"/>
      <c r="G492" s="61"/>
      <c r="H492" s="61"/>
      <c r="I492" s="61"/>
      <c r="J492" s="61"/>
      <c r="K492" s="61"/>
      <c r="L492" s="61"/>
      <c r="M492" s="61"/>
      <c r="N492" s="62"/>
      <c r="O492" s="62"/>
      <c r="P492" s="62"/>
      <c r="Q492" s="62"/>
      <c r="R492" s="63" t="str">
        <f>IFERROR(IF(OR($N492="",$O492="",$F492=""),"",ROUND(('⚙️ Setelan'!$B$3*'⚙️ Setelan'!$B$4/100)/(ABS($N492-$O492)*VLOOKUP($F492,'⚙️ Setelan'!$A$14:$F$20,4,FALSE)),2)),"")</f>
        <v/>
      </c>
      <c r="S492" s="64"/>
      <c r="T492" s="65" t="str">
        <f>IFERROR(IF(OR($N492="",$O492="",$S492=""),"",ABS($N492-$O492)*$S492*VLOOKUP($F492,'⚙️ Setelan'!$A$14:$F$20,4,FALSE)),"")</f>
        <v/>
      </c>
      <c r="U492" s="63" t="str">
        <f t="shared" si="51"/>
        <v/>
      </c>
      <c r="V492" s="65" t="str">
        <f>IFERROR(IF(OR($Q492="",$N492="",$S492=""),"",($Q492-$N492)*IF($G492="Buy",1,-1)*$S492*VLOOKUP($F492,'⚙️ Setelan'!$A$14:$F$20,4,FALSE)),"")</f>
        <v/>
      </c>
      <c r="W492" s="65" t="str">
        <f>IFERROR(IF(OR($S492="",$F492=""),"",$S492*VLOOKUP($F492,'⚙️ Setelan'!$A$14:$F$20,5,FALSE)),"")</f>
        <v/>
      </c>
      <c r="X492" s="65" t="str">
        <f t="shared" si="52"/>
        <v/>
      </c>
      <c r="Y492" s="63" t="str">
        <f t="shared" si="53"/>
        <v/>
      </c>
      <c r="Z492" s="58" t="str">
        <f t="shared" si="54"/>
        <v/>
      </c>
      <c r="AA492" s="66" t="str">
        <f t="shared" si="55"/>
        <v/>
      </c>
      <c r="AB492" s="62"/>
      <c r="AC492" s="62"/>
      <c r="AD492" s="63" t="str">
        <f>IFERROR(IF(OR($AB492="",$T492="",$T492=0),"",ROUND(ABS($N492-$AB492)*$S492*VLOOKUP($F492,'⚙️ Setelan'!$A$14:$F$20,4,FALSE)/$T492,2)),"")</f>
        <v/>
      </c>
      <c r="AE492" s="63" t="str">
        <f>IFERROR(IF(OR($AC492="",$T492="",$T492=0),"",ROUND(ABS($AC492-$N492)*$S492*VLOOKUP($F492,'⚙️ Setelan'!$A$14:$F$20,4,FALSE)/$T492,2)),"")</f>
        <v/>
      </c>
      <c r="AF492" s="61"/>
      <c r="AG492" s="61"/>
      <c r="AH492" s="61"/>
      <c r="AI492" s="61"/>
      <c r="AJ492" s="61"/>
      <c r="AK492" s="67"/>
      <c r="AL492" s="58" t="str">
        <f>IF(OR($C492="",$B492=""),"",IF(AND($Z491="Loss",$B492=$B491,MOD($C492-$D491,1)*1440&lt;'⚙️ Setelan'!$B$9),"⚠️ Revenge",""))</f>
        <v/>
      </c>
      <c r="AM492" s="68"/>
      <c r="AN492" s="58" t="str">
        <f>IF($AM492="","",IFERROR(_xlfn.IMAGE(IF(REGEXMATCH($AM492,"\.(png|jpg|jpeg|gif)$"),$AM492,"https://s3.tradingview.com/snapshots/"&amp;LOWER(MID(REGEXEXTRACT($AM492,"/x/([A-Za-z0-9]+)"),1,1))&amp;"/"&amp;REGEXEXTRACT($AM492,"/x/([A-Za-z0-9]+)")&amp;".png"),1),"⚠️ link tidak dikenali"))</f>
        <v/>
      </c>
      <c r="AO492" s="68"/>
      <c r="AP492" s="58" t="str">
        <f>IF($AO492="","",IFERROR(_xlfn.IMAGE(IF(REGEXMATCH($AO492,"\.(png|jpg|jpeg|gif)$"),$AO492,"https://s3.tradingview.com/snapshots/"&amp;LOWER(MID(REGEXEXTRACT($AO492,"/x/([A-Za-z0-9]+)"),1,1))&amp;"/"&amp;REGEXEXTRACT($AO492,"/x/([A-Za-z0-9]+)")&amp;".png"),1),"⚠️ link tidak dikenali"))</f>
        <v/>
      </c>
      <c r="AQ492" s="66">
        <f>IF($Z492="",0,IF(AND(OR('📊 Dashboard'!$B$4="(Semua)",$F492='📊 Dashboard'!$B$4),OR('📊 Dashboard'!$B$5="(Semua)",$H492='📊 Dashboard'!$B$5),OR('📊 Dashboard'!$B$6="(Semua)",$E492='📊 Dashboard'!$B$6),OR('📊 Dashboard'!$B$7="(Semua)",$AF492='📊 Dashboard'!$B$7),OR('📊 Dashboard'!$B$8="(Semua)",$AG492='📊 Dashboard'!$B$8),OR('📊 Dashboard'!$B$9="(Semua)",$K492='📊 Dashboard'!$B$9)),1,0))</f>
        <v>0</v>
      </c>
      <c r="AR492" s="69"/>
    </row>
    <row r="493" ht="58" customHeight="1" spans="1:44">
      <c r="A493" s="58" t="str">
        <f t="shared" si="49"/>
        <v/>
      </c>
      <c r="B493" s="59"/>
      <c r="C493" s="60"/>
      <c r="D493" s="60"/>
      <c r="E493" s="58" t="str">
        <f t="shared" si="50"/>
        <v/>
      </c>
      <c r="F493" s="61"/>
      <c r="G493" s="61"/>
      <c r="H493" s="61"/>
      <c r="I493" s="61"/>
      <c r="J493" s="61"/>
      <c r="K493" s="61"/>
      <c r="L493" s="61"/>
      <c r="M493" s="61"/>
      <c r="N493" s="62"/>
      <c r="O493" s="62"/>
      <c r="P493" s="62"/>
      <c r="Q493" s="62"/>
      <c r="R493" s="63" t="str">
        <f>IFERROR(IF(OR($N493="",$O493="",$F493=""),"",ROUND(('⚙️ Setelan'!$B$3*'⚙️ Setelan'!$B$4/100)/(ABS($N493-$O493)*VLOOKUP($F493,'⚙️ Setelan'!$A$14:$F$20,4,FALSE)),2)),"")</f>
        <v/>
      </c>
      <c r="S493" s="64"/>
      <c r="T493" s="65" t="str">
        <f>IFERROR(IF(OR($N493="",$O493="",$S493=""),"",ABS($N493-$O493)*$S493*VLOOKUP($F493,'⚙️ Setelan'!$A$14:$F$20,4,FALSE)),"")</f>
        <v/>
      </c>
      <c r="U493" s="63" t="str">
        <f t="shared" si="51"/>
        <v/>
      </c>
      <c r="V493" s="65" t="str">
        <f>IFERROR(IF(OR($Q493="",$N493="",$S493=""),"",($Q493-$N493)*IF($G493="Buy",1,-1)*$S493*VLOOKUP($F493,'⚙️ Setelan'!$A$14:$F$20,4,FALSE)),"")</f>
        <v/>
      </c>
      <c r="W493" s="65" t="str">
        <f>IFERROR(IF(OR($S493="",$F493=""),"",$S493*VLOOKUP($F493,'⚙️ Setelan'!$A$14:$F$20,5,FALSE)),"")</f>
        <v/>
      </c>
      <c r="X493" s="65" t="str">
        <f t="shared" si="52"/>
        <v/>
      </c>
      <c r="Y493" s="63" t="str">
        <f t="shared" si="53"/>
        <v/>
      </c>
      <c r="Z493" s="58" t="str">
        <f t="shared" si="54"/>
        <v/>
      </c>
      <c r="AA493" s="66" t="str">
        <f t="shared" si="55"/>
        <v/>
      </c>
      <c r="AB493" s="62"/>
      <c r="AC493" s="62"/>
      <c r="AD493" s="63" t="str">
        <f>IFERROR(IF(OR($AB493="",$T493="",$T493=0),"",ROUND(ABS($N493-$AB493)*$S493*VLOOKUP($F493,'⚙️ Setelan'!$A$14:$F$20,4,FALSE)/$T493,2)),"")</f>
        <v/>
      </c>
      <c r="AE493" s="63" t="str">
        <f>IFERROR(IF(OR($AC493="",$T493="",$T493=0),"",ROUND(ABS($AC493-$N493)*$S493*VLOOKUP($F493,'⚙️ Setelan'!$A$14:$F$20,4,FALSE)/$T493,2)),"")</f>
        <v/>
      </c>
      <c r="AF493" s="61"/>
      <c r="AG493" s="61"/>
      <c r="AH493" s="61"/>
      <c r="AI493" s="61"/>
      <c r="AJ493" s="61"/>
      <c r="AK493" s="67"/>
      <c r="AL493" s="58" t="str">
        <f>IF(OR($C493="",$B493=""),"",IF(AND($Z492="Loss",$B493=$B492,MOD($C493-$D492,1)*1440&lt;'⚙️ Setelan'!$B$9),"⚠️ Revenge",""))</f>
        <v/>
      </c>
      <c r="AM493" s="68"/>
      <c r="AN493" s="58" t="str">
        <f>IF($AM493="","",IFERROR(_xlfn.IMAGE(IF(REGEXMATCH($AM493,"\.(png|jpg|jpeg|gif)$"),$AM493,"https://s3.tradingview.com/snapshots/"&amp;LOWER(MID(REGEXEXTRACT($AM493,"/x/([A-Za-z0-9]+)"),1,1))&amp;"/"&amp;REGEXEXTRACT($AM493,"/x/([A-Za-z0-9]+)")&amp;".png"),1),"⚠️ link tidak dikenali"))</f>
        <v/>
      </c>
      <c r="AO493" s="68"/>
      <c r="AP493" s="58" t="str">
        <f>IF($AO493="","",IFERROR(_xlfn.IMAGE(IF(REGEXMATCH($AO493,"\.(png|jpg|jpeg|gif)$"),$AO493,"https://s3.tradingview.com/snapshots/"&amp;LOWER(MID(REGEXEXTRACT($AO493,"/x/([A-Za-z0-9]+)"),1,1))&amp;"/"&amp;REGEXEXTRACT($AO493,"/x/([A-Za-z0-9]+)")&amp;".png"),1),"⚠️ link tidak dikenali"))</f>
        <v/>
      </c>
      <c r="AQ493" s="66">
        <f>IF($Z493="",0,IF(AND(OR('📊 Dashboard'!$B$4="(Semua)",$F493='📊 Dashboard'!$B$4),OR('📊 Dashboard'!$B$5="(Semua)",$H493='📊 Dashboard'!$B$5),OR('📊 Dashboard'!$B$6="(Semua)",$E493='📊 Dashboard'!$B$6),OR('📊 Dashboard'!$B$7="(Semua)",$AF493='📊 Dashboard'!$B$7),OR('📊 Dashboard'!$B$8="(Semua)",$AG493='📊 Dashboard'!$B$8),OR('📊 Dashboard'!$B$9="(Semua)",$K493='📊 Dashboard'!$B$9)),1,0))</f>
        <v>0</v>
      </c>
      <c r="AR493" s="69"/>
    </row>
    <row r="494" ht="58" customHeight="1" spans="1:44">
      <c r="A494" s="58" t="str">
        <f t="shared" si="49"/>
        <v/>
      </c>
      <c r="B494" s="59"/>
      <c r="C494" s="60"/>
      <c r="D494" s="60"/>
      <c r="E494" s="58" t="str">
        <f t="shared" si="50"/>
        <v/>
      </c>
      <c r="F494" s="61"/>
      <c r="G494" s="61"/>
      <c r="H494" s="61"/>
      <c r="I494" s="61"/>
      <c r="J494" s="61"/>
      <c r="K494" s="61"/>
      <c r="L494" s="61"/>
      <c r="M494" s="61"/>
      <c r="N494" s="62"/>
      <c r="O494" s="62"/>
      <c r="P494" s="62"/>
      <c r="Q494" s="62"/>
      <c r="R494" s="63" t="str">
        <f>IFERROR(IF(OR($N494="",$O494="",$F494=""),"",ROUND(('⚙️ Setelan'!$B$3*'⚙️ Setelan'!$B$4/100)/(ABS($N494-$O494)*VLOOKUP($F494,'⚙️ Setelan'!$A$14:$F$20,4,FALSE)),2)),"")</f>
        <v/>
      </c>
      <c r="S494" s="64"/>
      <c r="T494" s="65" t="str">
        <f>IFERROR(IF(OR($N494="",$O494="",$S494=""),"",ABS($N494-$O494)*$S494*VLOOKUP($F494,'⚙️ Setelan'!$A$14:$F$20,4,FALSE)),"")</f>
        <v/>
      </c>
      <c r="U494" s="63" t="str">
        <f t="shared" si="51"/>
        <v/>
      </c>
      <c r="V494" s="65" t="str">
        <f>IFERROR(IF(OR($Q494="",$N494="",$S494=""),"",($Q494-$N494)*IF($G494="Buy",1,-1)*$S494*VLOOKUP($F494,'⚙️ Setelan'!$A$14:$F$20,4,FALSE)),"")</f>
        <v/>
      </c>
      <c r="W494" s="65" t="str">
        <f>IFERROR(IF(OR($S494="",$F494=""),"",$S494*VLOOKUP($F494,'⚙️ Setelan'!$A$14:$F$20,5,FALSE)),"")</f>
        <v/>
      </c>
      <c r="X494" s="65" t="str">
        <f t="shared" si="52"/>
        <v/>
      </c>
      <c r="Y494" s="63" t="str">
        <f t="shared" si="53"/>
        <v/>
      </c>
      <c r="Z494" s="58" t="str">
        <f t="shared" si="54"/>
        <v/>
      </c>
      <c r="AA494" s="66" t="str">
        <f t="shared" si="55"/>
        <v/>
      </c>
      <c r="AB494" s="62"/>
      <c r="AC494" s="62"/>
      <c r="AD494" s="63" t="str">
        <f>IFERROR(IF(OR($AB494="",$T494="",$T494=0),"",ROUND(ABS($N494-$AB494)*$S494*VLOOKUP($F494,'⚙️ Setelan'!$A$14:$F$20,4,FALSE)/$T494,2)),"")</f>
        <v/>
      </c>
      <c r="AE494" s="63" t="str">
        <f>IFERROR(IF(OR($AC494="",$T494="",$T494=0),"",ROUND(ABS($AC494-$N494)*$S494*VLOOKUP($F494,'⚙️ Setelan'!$A$14:$F$20,4,FALSE)/$T494,2)),"")</f>
        <v/>
      </c>
      <c r="AF494" s="61"/>
      <c r="AG494" s="61"/>
      <c r="AH494" s="61"/>
      <c r="AI494" s="61"/>
      <c r="AJ494" s="61"/>
      <c r="AK494" s="67"/>
      <c r="AL494" s="58" t="str">
        <f>IF(OR($C494="",$B494=""),"",IF(AND($Z493="Loss",$B494=$B493,MOD($C494-$D493,1)*1440&lt;'⚙️ Setelan'!$B$9),"⚠️ Revenge",""))</f>
        <v/>
      </c>
      <c r="AM494" s="68"/>
      <c r="AN494" s="58" t="str">
        <f>IF($AM494="","",IFERROR(_xlfn.IMAGE(IF(REGEXMATCH($AM494,"\.(png|jpg|jpeg|gif)$"),$AM494,"https://s3.tradingview.com/snapshots/"&amp;LOWER(MID(REGEXEXTRACT($AM494,"/x/([A-Za-z0-9]+)"),1,1))&amp;"/"&amp;REGEXEXTRACT($AM494,"/x/([A-Za-z0-9]+)")&amp;".png"),1),"⚠️ link tidak dikenali"))</f>
        <v/>
      </c>
      <c r="AO494" s="68"/>
      <c r="AP494" s="58" t="str">
        <f>IF($AO494="","",IFERROR(_xlfn.IMAGE(IF(REGEXMATCH($AO494,"\.(png|jpg|jpeg|gif)$"),$AO494,"https://s3.tradingview.com/snapshots/"&amp;LOWER(MID(REGEXEXTRACT($AO494,"/x/([A-Za-z0-9]+)"),1,1))&amp;"/"&amp;REGEXEXTRACT($AO494,"/x/([A-Za-z0-9]+)")&amp;".png"),1),"⚠️ link tidak dikenali"))</f>
        <v/>
      </c>
      <c r="AQ494" s="66">
        <f>IF($Z494="",0,IF(AND(OR('📊 Dashboard'!$B$4="(Semua)",$F494='📊 Dashboard'!$B$4),OR('📊 Dashboard'!$B$5="(Semua)",$H494='📊 Dashboard'!$B$5),OR('📊 Dashboard'!$B$6="(Semua)",$E494='📊 Dashboard'!$B$6),OR('📊 Dashboard'!$B$7="(Semua)",$AF494='📊 Dashboard'!$B$7),OR('📊 Dashboard'!$B$8="(Semua)",$AG494='📊 Dashboard'!$B$8),OR('📊 Dashboard'!$B$9="(Semua)",$K494='📊 Dashboard'!$B$9)),1,0))</f>
        <v>0</v>
      </c>
      <c r="AR494" s="69"/>
    </row>
    <row r="495" ht="58" customHeight="1" spans="1:44">
      <c r="A495" s="58" t="str">
        <f t="shared" si="49"/>
        <v/>
      </c>
      <c r="B495" s="59"/>
      <c r="C495" s="60"/>
      <c r="D495" s="60"/>
      <c r="E495" s="58" t="str">
        <f t="shared" si="50"/>
        <v/>
      </c>
      <c r="F495" s="61"/>
      <c r="G495" s="61"/>
      <c r="H495" s="61"/>
      <c r="I495" s="61"/>
      <c r="J495" s="61"/>
      <c r="K495" s="61"/>
      <c r="L495" s="61"/>
      <c r="M495" s="61"/>
      <c r="N495" s="62"/>
      <c r="O495" s="62"/>
      <c r="P495" s="62"/>
      <c r="Q495" s="62"/>
      <c r="R495" s="63" t="str">
        <f>IFERROR(IF(OR($N495="",$O495="",$F495=""),"",ROUND(('⚙️ Setelan'!$B$3*'⚙️ Setelan'!$B$4/100)/(ABS($N495-$O495)*VLOOKUP($F495,'⚙️ Setelan'!$A$14:$F$20,4,FALSE)),2)),"")</f>
        <v/>
      </c>
      <c r="S495" s="64"/>
      <c r="T495" s="65" t="str">
        <f>IFERROR(IF(OR($N495="",$O495="",$S495=""),"",ABS($N495-$O495)*$S495*VLOOKUP($F495,'⚙️ Setelan'!$A$14:$F$20,4,FALSE)),"")</f>
        <v/>
      </c>
      <c r="U495" s="63" t="str">
        <f t="shared" si="51"/>
        <v/>
      </c>
      <c r="V495" s="65" t="str">
        <f>IFERROR(IF(OR($Q495="",$N495="",$S495=""),"",($Q495-$N495)*IF($G495="Buy",1,-1)*$S495*VLOOKUP($F495,'⚙️ Setelan'!$A$14:$F$20,4,FALSE)),"")</f>
        <v/>
      </c>
      <c r="W495" s="65" t="str">
        <f>IFERROR(IF(OR($S495="",$F495=""),"",$S495*VLOOKUP($F495,'⚙️ Setelan'!$A$14:$F$20,5,FALSE)),"")</f>
        <v/>
      </c>
      <c r="X495" s="65" t="str">
        <f t="shared" si="52"/>
        <v/>
      </c>
      <c r="Y495" s="63" t="str">
        <f t="shared" si="53"/>
        <v/>
      </c>
      <c r="Z495" s="58" t="str">
        <f t="shared" si="54"/>
        <v/>
      </c>
      <c r="AA495" s="66" t="str">
        <f t="shared" si="55"/>
        <v/>
      </c>
      <c r="AB495" s="62"/>
      <c r="AC495" s="62"/>
      <c r="AD495" s="63" t="str">
        <f>IFERROR(IF(OR($AB495="",$T495="",$T495=0),"",ROUND(ABS($N495-$AB495)*$S495*VLOOKUP($F495,'⚙️ Setelan'!$A$14:$F$20,4,FALSE)/$T495,2)),"")</f>
        <v/>
      </c>
      <c r="AE495" s="63" t="str">
        <f>IFERROR(IF(OR($AC495="",$T495="",$T495=0),"",ROUND(ABS($AC495-$N495)*$S495*VLOOKUP($F495,'⚙️ Setelan'!$A$14:$F$20,4,FALSE)/$T495,2)),"")</f>
        <v/>
      </c>
      <c r="AF495" s="61"/>
      <c r="AG495" s="61"/>
      <c r="AH495" s="61"/>
      <c r="AI495" s="61"/>
      <c r="AJ495" s="61"/>
      <c r="AK495" s="67"/>
      <c r="AL495" s="58" t="str">
        <f>IF(OR($C495="",$B495=""),"",IF(AND($Z494="Loss",$B495=$B494,MOD($C495-$D494,1)*1440&lt;'⚙️ Setelan'!$B$9),"⚠️ Revenge",""))</f>
        <v/>
      </c>
      <c r="AM495" s="68"/>
      <c r="AN495" s="58" t="str">
        <f>IF($AM495="","",IFERROR(_xlfn.IMAGE(IF(REGEXMATCH($AM495,"\.(png|jpg|jpeg|gif)$"),$AM495,"https://s3.tradingview.com/snapshots/"&amp;LOWER(MID(REGEXEXTRACT($AM495,"/x/([A-Za-z0-9]+)"),1,1))&amp;"/"&amp;REGEXEXTRACT($AM495,"/x/([A-Za-z0-9]+)")&amp;".png"),1),"⚠️ link tidak dikenali"))</f>
        <v/>
      </c>
      <c r="AO495" s="68"/>
      <c r="AP495" s="58" t="str">
        <f>IF($AO495="","",IFERROR(_xlfn.IMAGE(IF(REGEXMATCH($AO495,"\.(png|jpg|jpeg|gif)$"),$AO495,"https://s3.tradingview.com/snapshots/"&amp;LOWER(MID(REGEXEXTRACT($AO495,"/x/([A-Za-z0-9]+)"),1,1))&amp;"/"&amp;REGEXEXTRACT($AO495,"/x/([A-Za-z0-9]+)")&amp;".png"),1),"⚠️ link tidak dikenali"))</f>
        <v/>
      </c>
      <c r="AQ495" s="66">
        <f>IF($Z495="",0,IF(AND(OR('📊 Dashboard'!$B$4="(Semua)",$F495='📊 Dashboard'!$B$4),OR('📊 Dashboard'!$B$5="(Semua)",$H495='📊 Dashboard'!$B$5),OR('📊 Dashboard'!$B$6="(Semua)",$E495='📊 Dashboard'!$B$6),OR('📊 Dashboard'!$B$7="(Semua)",$AF495='📊 Dashboard'!$B$7),OR('📊 Dashboard'!$B$8="(Semua)",$AG495='📊 Dashboard'!$B$8),OR('📊 Dashboard'!$B$9="(Semua)",$K495='📊 Dashboard'!$B$9)),1,0))</f>
        <v>0</v>
      </c>
      <c r="AR495" s="69"/>
    </row>
    <row r="496" ht="58" customHeight="1" spans="1:44">
      <c r="A496" s="58" t="str">
        <f t="shared" si="49"/>
        <v/>
      </c>
      <c r="B496" s="59"/>
      <c r="C496" s="60"/>
      <c r="D496" s="60"/>
      <c r="E496" s="58" t="str">
        <f t="shared" si="50"/>
        <v/>
      </c>
      <c r="F496" s="61"/>
      <c r="G496" s="61"/>
      <c r="H496" s="61"/>
      <c r="I496" s="61"/>
      <c r="J496" s="61"/>
      <c r="K496" s="61"/>
      <c r="L496" s="61"/>
      <c r="M496" s="61"/>
      <c r="N496" s="62"/>
      <c r="O496" s="62"/>
      <c r="P496" s="62"/>
      <c r="Q496" s="62"/>
      <c r="R496" s="63" t="str">
        <f>IFERROR(IF(OR($N496="",$O496="",$F496=""),"",ROUND(('⚙️ Setelan'!$B$3*'⚙️ Setelan'!$B$4/100)/(ABS($N496-$O496)*VLOOKUP($F496,'⚙️ Setelan'!$A$14:$F$20,4,FALSE)),2)),"")</f>
        <v/>
      </c>
      <c r="S496" s="64"/>
      <c r="T496" s="65" t="str">
        <f>IFERROR(IF(OR($N496="",$O496="",$S496=""),"",ABS($N496-$O496)*$S496*VLOOKUP($F496,'⚙️ Setelan'!$A$14:$F$20,4,FALSE)),"")</f>
        <v/>
      </c>
      <c r="U496" s="63" t="str">
        <f t="shared" si="51"/>
        <v/>
      </c>
      <c r="V496" s="65" t="str">
        <f>IFERROR(IF(OR($Q496="",$N496="",$S496=""),"",($Q496-$N496)*IF($G496="Buy",1,-1)*$S496*VLOOKUP($F496,'⚙️ Setelan'!$A$14:$F$20,4,FALSE)),"")</f>
        <v/>
      </c>
      <c r="W496" s="65" t="str">
        <f>IFERROR(IF(OR($S496="",$F496=""),"",$S496*VLOOKUP($F496,'⚙️ Setelan'!$A$14:$F$20,5,FALSE)),"")</f>
        <v/>
      </c>
      <c r="X496" s="65" t="str">
        <f t="shared" si="52"/>
        <v/>
      </c>
      <c r="Y496" s="63" t="str">
        <f t="shared" si="53"/>
        <v/>
      </c>
      <c r="Z496" s="58" t="str">
        <f t="shared" si="54"/>
        <v/>
      </c>
      <c r="AA496" s="66" t="str">
        <f t="shared" si="55"/>
        <v/>
      </c>
      <c r="AB496" s="62"/>
      <c r="AC496" s="62"/>
      <c r="AD496" s="63" t="str">
        <f>IFERROR(IF(OR($AB496="",$T496="",$T496=0),"",ROUND(ABS($N496-$AB496)*$S496*VLOOKUP($F496,'⚙️ Setelan'!$A$14:$F$20,4,FALSE)/$T496,2)),"")</f>
        <v/>
      </c>
      <c r="AE496" s="63" t="str">
        <f>IFERROR(IF(OR($AC496="",$T496="",$T496=0),"",ROUND(ABS($AC496-$N496)*$S496*VLOOKUP($F496,'⚙️ Setelan'!$A$14:$F$20,4,FALSE)/$T496,2)),"")</f>
        <v/>
      </c>
      <c r="AF496" s="61"/>
      <c r="AG496" s="61"/>
      <c r="AH496" s="61"/>
      <c r="AI496" s="61"/>
      <c r="AJ496" s="61"/>
      <c r="AK496" s="67"/>
      <c r="AL496" s="58" t="str">
        <f>IF(OR($C496="",$B496=""),"",IF(AND($Z495="Loss",$B496=$B495,MOD($C496-$D495,1)*1440&lt;'⚙️ Setelan'!$B$9),"⚠️ Revenge",""))</f>
        <v/>
      </c>
      <c r="AM496" s="68"/>
      <c r="AN496" s="58" t="str">
        <f>IF($AM496="","",IFERROR(_xlfn.IMAGE(IF(REGEXMATCH($AM496,"\.(png|jpg|jpeg|gif)$"),$AM496,"https://s3.tradingview.com/snapshots/"&amp;LOWER(MID(REGEXEXTRACT($AM496,"/x/([A-Za-z0-9]+)"),1,1))&amp;"/"&amp;REGEXEXTRACT($AM496,"/x/([A-Za-z0-9]+)")&amp;".png"),1),"⚠️ link tidak dikenali"))</f>
        <v/>
      </c>
      <c r="AO496" s="68"/>
      <c r="AP496" s="58" t="str">
        <f>IF($AO496="","",IFERROR(_xlfn.IMAGE(IF(REGEXMATCH($AO496,"\.(png|jpg|jpeg|gif)$"),$AO496,"https://s3.tradingview.com/snapshots/"&amp;LOWER(MID(REGEXEXTRACT($AO496,"/x/([A-Za-z0-9]+)"),1,1))&amp;"/"&amp;REGEXEXTRACT($AO496,"/x/([A-Za-z0-9]+)")&amp;".png"),1),"⚠️ link tidak dikenali"))</f>
        <v/>
      </c>
      <c r="AQ496" s="66">
        <f>IF($Z496="",0,IF(AND(OR('📊 Dashboard'!$B$4="(Semua)",$F496='📊 Dashboard'!$B$4),OR('📊 Dashboard'!$B$5="(Semua)",$H496='📊 Dashboard'!$B$5),OR('📊 Dashboard'!$B$6="(Semua)",$E496='📊 Dashboard'!$B$6),OR('📊 Dashboard'!$B$7="(Semua)",$AF496='📊 Dashboard'!$B$7),OR('📊 Dashboard'!$B$8="(Semua)",$AG496='📊 Dashboard'!$B$8),OR('📊 Dashboard'!$B$9="(Semua)",$K496='📊 Dashboard'!$B$9)),1,0))</f>
        <v>0</v>
      </c>
      <c r="AR496" s="69"/>
    </row>
    <row r="497" ht="58" customHeight="1" spans="1:44">
      <c r="A497" s="58" t="str">
        <f t="shared" si="49"/>
        <v/>
      </c>
      <c r="B497" s="59"/>
      <c r="C497" s="60"/>
      <c r="D497" s="60"/>
      <c r="E497" s="58" t="str">
        <f t="shared" si="50"/>
        <v/>
      </c>
      <c r="F497" s="61"/>
      <c r="G497" s="61"/>
      <c r="H497" s="61"/>
      <c r="I497" s="61"/>
      <c r="J497" s="61"/>
      <c r="K497" s="61"/>
      <c r="L497" s="61"/>
      <c r="M497" s="61"/>
      <c r="N497" s="62"/>
      <c r="O497" s="62"/>
      <c r="P497" s="62"/>
      <c r="Q497" s="62"/>
      <c r="R497" s="63" t="str">
        <f>IFERROR(IF(OR($N497="",$O497="",$F497=""),"",ROUND(('⚙️ Setelan'!$B$3*'⚙️ Setelan'!$B$4/100)/(ABS($N497-$O497)*VLOOKUP($F497,'⚙️ Setelan'!$A$14:$F$20,4,FALSE)),2)),"")</f>
        <v/>
      </c>
      <c r="S497" s="64"/>
      <c r="T497" s="65" t="str">
        <f>IFERROR(IF(OR($N497="",$O497="",$S497=""),"",ABS($N497-$O497)*$S497*VLOOKUP($F497,'⚙️ Setelan'!$A$14:$F$20,4,FALSE)),"")</f>
        <v/>
      </c>
      <c r="U497" s="63" t="str">
        <f t="shared" si="51"/>
        <v/>
      </c>
      <c r="V497" s="65" t="str">
        <f>IFERROR(IF(OR($Q497="",$N497="",$S497=""),"",($Q497-$N497)*IF($G497="Buy",1,-1)*$S497*VLOOKUP($F497,'⚙️ Setelan'!$A$14:$F$20,4,FALSE)),"")</f>
        <v/>
      </c>
      <c r="W497" s="65" t="str">
        <f>IFERROR(IF(OR($S497="",$F497=""),"",$S497*VLOOKUP($F497,'⚙️ Setelan'!$A$14:$F$20,5,FALSE)),"")</f>
        <v/>
      </c>
      <c r="X497" s="65" t="str">
        <f t="shared" si="52"/>
        <v/>
      </c>
      <c r="Y497" s="63" t="str">
        <f t="shared" si="53"/>
        <v/>
      </c>
      <c r="Z497" s="58" t="str">
        <f t="shared" si="54"/>
        <v/>
      </c>
      <c r="AA497" s="66" t="str">
        <f t="shared" si="55"/>
        <v/>
      </c>
      <c r="AB497" s="62"/>
      <c r="AC497" s="62"/>
      <c r="AD497" s="63" t="str">
        <f>IFERROR(IF(OR($AB497="",$T497="",$T497=0),"",ROUND(ABS($N497-$AB497)*$S497*VLOOKUP($F497,'⚙️ Setelan'!$A$14:$F$20,4,FALSE)/$T497,2)),"")</f>
        <v/>
      </c>
      <c r="AE497" s="63" t="str">
        <f>IFERROR(IF(OR($AC497="",$T497="",$T497=0),"",ROUND(ABS($AC497-$N497)*$S497*VLOOKUP($F497,'⚙️ Setelan'!$A$14:$F$20,4,FALSE)/$T497,2)),"")</f>
        <v/>
      </c>
      <c r="AF497" s="61"/>
      <c r="AG497" s="61"/>
      <c r="AH497" s="61"/>
      <c r="AI497" s="61"/>
      <c r="AJ497" s="61"/>
      <c r="AK497" s="67"/>
      <c r="AL497" s="58" t="str">
        <f>IF(OR($C497="",$B497=""),"",IF(AND($Z496="Loss",$B497=$B496,MOD($C497-$D496,1)*1440&lt;'⚙️ Setelan'!$B$9),"⚠️ Revenge",""))</f>
        <v/>
      </c>
      <c r="AM497" s="68"/>
      <c r="AN497" s="58" t="str">
        <f>IF($AM497="","",IFERROR(_xlfn.IMAGE(IF(REGEXMATCH($AM497,"\.(png|jpg|jpeg|gif)$"),$AM497,"https://s3.tradingview.com/snapshots/"&amp;LOWER(MID(REGEXEXTRACT($AM497,"/x/([A-Za-z0-9]+)"),1,1))&amp;"/"&amp;REGEXEXTRACT($AM497,"/x/([A-Za-z0-9]+)")&amp;".png"),1),"⚠️ link tidak dikenali"))</f>
        <v/>
      </c>
      <c r="AO497" s="68"/>
      <c r="AP497" s="58" t="str">
        <f>IF($AO497="","",IFERROR(_xlfn.IMAGE(IF(REGEXMATCH($AO497,"\.(png|jpg|jpeg|gif)$"),$AO497,"https://s3.tradingview.com/snapshots/"&amp;LOWER(MID(REGEXEXTRACT($AO497,"/x/([A-Za-z0-9]+)"),1,1))&amp;"/"&amp;REGEXEXTRACT($AO497,"/x/([A-Za-z0-9]+)")&amp;".png"),1),"⚠️ link tidak dikenali"))</f>
        <v/>
      </c>
      <c r="AQ497" s="66">
        <f>IF($Z497="",0,IF(AND(OR('📊 Dashboard'!$B$4="(Semua)",$F497='📊 Dashboard'!$B$4),OR('📊 Dashboard'!$B$5="(Semua)",$H497='📊 Dashboard'!$B$5),OR('📊 Dashboard'!$B$6="(Semua)",$E497='📊 Dashboard'!$B$6),OR('📊 Dashboard'!$B$7="(Semua)",$AF497='📊 Dashboard'!$B$7),OR('📊 Dashboard'!$B$8="(Semua)",$AG497='📊 Dashboard'!$B$8),OR('📊 Dashboard'!$B$9="(Semua)",$K497='📊 Dashboard'!$B$9)),1,0))</f>
        <v>0</v>
      </c>
      <c r="AR497" s="69"/>
    </row>
    <row r="498" ht="58" customHeight="1" spans="1:44">
      <c r="A498" s="58" t="str">
        <f t="shared" si="49"/>
        <v/>
      </c>
      <c r="B498" s="59"/>
      <c r="C498" s="60"/>
      <c r="D498" s="60"/>
      <c r="E498" s="58" t="str">
        <f t="shared" si="50"/>
        <v/>
      </c>
      <c r="F498" s="61"/>
      <c r="G498" s="61"/>
      <c r="H498" s="61"/>
      <c r="I498" s="61"/>
      <c r="J498" s="61"/>
      <c r="K498" s="61"/>
      <c r="L498" s="61"/>
      <c r="M498" s="61"/>
      <c r="N498" s="62"/>
      <c r="O498" s="62"/>
      <c r="P498" s="62"/>
      <c r="Q498" s="62"/>
      <c r="R498" s="63" t="str">
        <f>IFERROR(IF(OR($N498="",$O498="",$F498=""),"",ROUND(('⚙️ Setelan'!$B$3*'⚙️ Setelan'!$B$4/100)/(ABS($N498-$O498)*VLOOKUP($F498,'⚙️ Setelan'!$A$14:$F$20,4,FALSE)),2)),"")</f>
        <v/>
      </c>
      <c r="S498" s="64"/>
      <c r="T498" s="65" t="str">
        <f>IFERROR(IF(OR($N498="",$O498="",$S498=""),"",ABS($N498-$O498)*$S498*VLOOKUP($F498,'⚙️ Setelan'!$A$14:$F$20,4,FALSE)),"")</f>
        <v/>
      </c>
      <c r="U498" s="63" t="str">
        <f t="shared" si="51"/>
        <v/>
      </c>
      <c r="V498" s="65" t="str">
        <f>IFERROR(IF(OR($Q498="",$N498="",$S498=""),"",($Q498-$N498)*IF($G498="Buy",1,-1)*$S498*VLOOKUP($F498,'⚙️ Setelan'!$A$14:$F$20,4,FALSE)),"")</f>
        <v/>
      </c>
      <c r="W498" s="65" t="str">
        <f>IFERROR(IF(OR($S498="",$F498=""),"",$S498*VLOOKUP($F498,'⚙️ Setelan'!$A$14:$F$20,5,FALSE)),"")</f>
        <v/>
      </c>
      <c r="X498" s="65" t="str">
        <f t="shared" si="52"/>
        <v/>
      </c>
      <c r="Y498" s="63" t="str">
        <f t="shared" si="53"/>
        <v/>
      </c>
      <c r="Z498" s="58" t="str">
        <f t="shared" si="54"/>
        <v/>
      </c>
      <c r="AA498" s="66" t="str">
        <f t="shared" si="55"/>
        <v/>
      </c>
      <c r="AB498" s="62"/>
      <c r="AC498" s="62"/>
      <c r="AD498" s="63" t="str">
        <f>IFERROR(IF(OR($AB498="",$T498="",$T498=0),"",ROUND(ABS($N498-$AB498)*$S498*VLOOKUP($F498,'⚙️ Setelan'!$A$14:$F$20,4,FALSE)/$T498,2)),"")</f>
        <v/>
      </c>
      <c r="AE498" s="63" t="str">
        <f>IFERROR(IF(OR($AC498="",$T498="",$T498=0),"",ROUND(ABS($AC498-$N498)*$S498*VLOOKUP($F498,'⚙️ Setelan'!$A$14:$F$20,4,FALSE)/$T498,2)),"")</f>
        <v/>
      </c>
      <c r="AF498" s="61"/>
      <c r="AG498" s="61"/>
      <c r="AH498" s="61"/>
      <c r="AI498" s="61"/>
      <c r="AJ498" s="61"/>
      <c r="AK498" s="67"/>
      <c r="AL498" s="58" t="str">
        <f>IF(OR($C498="",$B498=""),"",IF(AND($Z497="Loss",$B498=$B497,MOD($C498-$D497,1)*1440&lt;'⚙️ Setelan'!$B$9),"⚠️ Revenge",""))</f>
        <v/>
      </c>
      <c r="AM498" s="68"/>
      <c r="AN498" s="58" t="str">
        <f>IF($AM498="","",IFERROR(_xlfn.IMAGE(IF(REGEXMATCH($AM498,"\.(png|jpg|jpeg|gif)$"),$AM498,"https://s3.tradingview.com/snapshots/"&amp;LOWER(MID(REGEXEXTRACT($AM498,"/x/([A-Za-z0-9]+)"),1,1))&amp;"/"&amp;REGEXEXTRACT($AM498,"/x/([A-Za-z0-9]+)")&amp;".png"),1),"⚠️ link tidak dikenali"))</f>
        <v/>
      </c>
      <c r="AO498" s="68"/>
      <c r="AP498" s="58" t="str">
        <f>IF($AO498="","",IFERROR(_xlfn.IMAGE(IF(REGEXMATCH($AO498,"\.(png|jpg|jpeg|gif)$"),$AO498,"https://s3.tradingview.com/snapshots/"&amp;LOWER(MID(REGEXEXTRACT($AO498,"/x/([A-Za-z0-9]+)"),1,1))&amp;"/"&amp;REGEXEXTRACT($AO498,"/x/([A-Za-z0-9]+)")&amp;".png"),1),"⚠️ link tidak dikenali"))</f>
        <v/>
      </c>
      <c r="AQ498" s="66">
        <f>IF($Z498="",0,IF(AND(OR('📊 Dashboard'!$B$4="(Semua)",$F498='📊 Dashboard'!$B$4),OR('📊 Dashboard'!$B$5="(Semua)",$H498='📊 Dashboard'!$B$5),OR('📊 Dashboard'!$B$6="(Semua)",$E498='📊 Dashboard'!$B$6),OR('📊 Dashboard'!$B$7="(Semua)",$AF498='📊 Dashboard'!$B$7),OR('📊 Dashboard'!$B$8="(Semua)",$AG498='📊 Dashboard'!$B$8),OR('📊 Dashboard'!$B$9="(Semua)",$K498='📊 Dashboard'!$B$9)),1,0))</f>
        <v>0</v>
      </c>
      <c r="AR498" s="69"/>
    </row>
    <row r="499" ht="58" customHeight="1" spans="1:44">
      <c r="A499" s="58" t="str">
        <f t="shared" si="49"/>
        <v/>
      </c>
      <c r="B499" s="59"/>
      <c r="C499" s="60"/>
      <c r="D499" s="60"/>
      <c r="E499" s="58" t="str">
        <f t="shared" si="50"/>
        <v/>
      </c>
      <c r="F499" s="61"/>
      <c r="G499" s="61"/>
      <c r="H499" s="61"/>
      <c r="I499" s="61"/>
      <c r="J499" s="61"/>
      <c r="K499" s="61"/>
      <c r="L499" s="61"/>
      <c r="M499" s="61"/>
      <c r="N499" s="62"/>
      <c r="O499" s="62"/>
      <c r="P499" s="62"/>
      <c r="Q499" s="62"/>
      <c r="R499" s="63" t="str">
        <f>IFERROR(IF(OR($N499="",$O499="",$F499=""),"",ROUND(('⚙️ Setelan'!$B$3*'⚙️ Setelan'!$B$4/100)/(ABS($N499-$O499)*VLOOKUP($F499,'⚙️ Setelan'!$A$14:$F$20,4,FALSE)),2)),"")</f>
        <v/>
      </c>
      <c r="S499" s="64"/>
      <c r="T499" s="65" t="str">
        <f>IFERROR(IF(OR($N499="",$O499="",$S499=""),"",ABS($N499-$O499)*$S499*VLOOKUP($F499,'⚙️ Setelan'!$A$14:$F$20,4,FALSE)),"")</f>
        <v/>
      </c>
      <c r="U499" s="63" t="str">
        <f t="shared" si="51"/>
        <v/>
      </c>
      <c r="V499" s="65" t="str">
        <f>IFERROR(IF(OR($Q499="",$N499="",$S499=""),"",($Q499-$N499)*IF($G499="Buy",1,-1)*$S499*VLOOKUP($F499,'⚙️ Setelan'!$A$14:$F$20,4,FALSE)),"")</f>
        <v/>
      </c>
      <c r="W499" s="65" t="str">
        <f>IFERROR(IF(OR($S499="",$F499=""),"",$S499*VLOOKUP($F499,'⚙️ Setelan'!$A$14:$F$20,5,FALSE)),"")</f>
        <v/>
      </c>
      <c r="X499" s="65" t="str">
        <f t="shared" si="52"/>
        <v/>
      </c>
      <c r="Y499" s="63" t="str">
        <f t="shared" si="53"/>
        <v/>
      </c>
      <c r="Z499" s="58" t="str">
        <f t="shared" si="54"/>
        <v/>
      </c>
      <c r="AA499" s="66" t="str">
        <f t="shared" si="55"/>
        <v/>
      </c>
      <c r="AB499" s="62"/>
      <c r="AC499" s="62"/>
      <c r="AD499" s="63" t="str">
        <f>IFERROR(IF(OR($AB499="",$T499="",$T499=0),"",ROUND(ABS($N499-$AB499)*$S499*VLOOKUP($F499,'⚙️ Setelan'!$A$14:$F$20,4,FALSE)/$T499,2)),"")</f>
        <v/>
      </c>
      <c r="AE499" s="63" t="str">
        <f>IFERROR(IF(OR($AC499="",$T499="",$T499=0),"",ROUND(ABS($AC499-$N499)*$S499*VLOOKUP($F499,'⚙️ Setelan'!$A$14:$F$20,4,FALSE)/$T499,2)),"")</f>
        <v/>
      </c>
      <c r="AF499" s="61"/>
      <c r="AG499" s="61"/>
      <c r="AH499" s="61"/>
      <c r="AI499" s="61"/>
      <c r="AJ499" s="61"/>
      <c r="AK499" s="67"/>
      <c r="AL499" s="58" t="str">
        <f>IF(OR($C499="",$B499=""),"",IF(AND($Z498="Loss",$B499=$B498,MOD($C499-$D498,1)*1440&lt;'⚙️ Setelan'!$B$9),"⚠️ Revenge",""))</f>
        <v/>
      </c>
      <c r="AM499" s="68"/>
      <c r="AN499" s="58" t="str">
        <f>IF($AM499="","",IFERROR(_xlfn.IMAGE(IF(REGEXMATCH($AM499,"\.(png|jpg|jpeg|gif)$"),$AM499,"https://s3.tradingview.com/snapshots/"&amp;LOWER(MID(REGEXEXTRACT($AM499,"/x/([A-Za-z0-9]+)"),1,1))&amp;"/"&amp;REGEXEXTRACT($AM499,"/x/([A-Za-z0-9]+)")&amp;".png"),1),"⚠️ link tidak dikenali"))</f>
        <v/>
      </c>
      <c r="AO499" s="68"/>
      <c r="AP499" s="58" t="str">
        <f>IF($AO499="","",IFERROR(_xlfn.IMAGE(IF(REGEXMATCH($AO499,"\.(png|jpg|jpeg|gif)$"),$AO499,"https://s3.tradingview.com/snapshots/"&amp;LOWER(MID(REGEXEXTRACT($AO499,"/x/([A-Za-z0-9]+)"),1,1))&amp;"/"&amp;REGEXEXTRACT($AO499,"/x/([A-Za-z0-9]+)")&amp;".png"),1),"⚠️ link tidak dikenali"))</f>
        <v/>
      </c>
      <c r="AQ499" s="66">
        <f>IF($Z499="",0,IF(AND(OR('📊 Dashboard'!$B$4="(Semua)",$F499='📊 Dashboard'!$B$4),OR('📊 Dashboard'!$B$5="(Semua)",$H499='📊 Dashboard'!$B$5),OR('📊 Dashboard'!$B$6="(Semua)",$E499='📊 Dashboard'!$B$6),OR('📊 Dashboard'!$B$7="(Semua)",$AF499='📊 Dashboard'!$B$7),OR('📊 Dashboard'!$B$8="(Semua)",$AG499='📊 Dashboard'!$B$8),OR('📊 Dashboard'!$B$9="(Semua)",$K499='📊 Dashboard'!$B$9)),1,0))</f>
        <v>0</v>
      </c>
      <c r="AR499" s="69"/>
    </row>
    <row r="500" ht="58" customHeight="1" spans="1:44">
      <c r="A500" s="58" t="str">
        <f t="shared" si="49"/>
        <v/>
      </c>
      <c r="B500" s="59"/>
      <c r="C500" s="60"/>
      <c r="D500" s="60"/>
      <c r="E500" s="58" t="str">
        <f t="shared" si="50"/>
        <v/>
      </c>
      <c r="F500" s="61"/>
      <c r="G500" s="61"/>
      <c r="H500" s="61"/>
      <c r="I500" s="61"/>
      <c r="J500" s="61"/>
      <c r="K500" s="61"/>
      <c r="L500" s="61"/>
      <c r="M500" s="61"/>
      <c r="N500" s="62"/>
      <c r="O500" s="62"/>
      <c r="P500" s="62"/>
      <c r="Q500" s="62"/>
      <c r="R500" s="63" t="str">
        <f>IFERROR(IF(OR($N500="",$O500="",$F500=""),"",ROUND(('⚙️ Setelan'!$B$3*'⚙️ Setelan'!$B$4/100)/(ABS($N500-$O500)*VLOOKUP($F500,'⚙️ Setelan'!$A$14:$F$20,4,FALSE)),2)),"")</f>
        <v/>
      </c>
      <c r="S500" s="64"/>
      <c r="T500" s="65" t="str">
        <f>IFERROR(IF(OR($N500="",$O500="",$S500=""),"",ABS($N500-$O500)*$S500*VLOOKUP($F500,'⚙️ Setelan'!$A$14:$F$20,4,FALSE)),"")</f>
        <v/>
      </c>
      <c r="U500" s="63" t="str">
        <f t="shared" si="51"/>
        <v/>
      </c>
      <c r="V500" s="65" t="str">
        <f>IFERROR(IF(OR($Q500="",$N500="",$S500=""),"",($Q500-$N500)*IF($G500="Buy",1,-1)*$S500*VLOOKUP($F500,'⚙️ Setelan'!$A$14:$F$20,4,FALSE)),"")</f>
        <v/>
      </c>
      <c r="W500" s="65" t="str">
        <f>IFERROR(IF(OR($S500="",$F500=""),"",$S500*VLOOKUP($F500,'⚙️ Setelan'!$A$14:$F$20,5,FALSE)),"")</f>
        <v/>
      </c>
      <c r="X500" s="65" t="str">
        <f t="shared" si="52"/>
        <v/>
      </c>
      <c r="Y500" s="63" t="str">
        <f t="shared" si="53"/>
        <v/>
      </c>
      <c r="Z500" s="58" t="str">
        <f t="shared" si="54"/>
        <v/>
      </c>
      <c r="AA500" s="66" t="str">
        <f t="shared" si="55"/>
        <v/>
      </c>
      <c r="AB500" s="62"/>
      <c r="AC500" s="62"/>
      <c r="AD500" s="63" t="str">
        <f>IFERROR(IF(OR($AB500="",$T500="",$T500=0),"",ROUND(ABS($N500-$AB500)*$S500*VLOOKUP($F500,'⚙️ Setelan'!$A$14:$F$20,4,FALSE)/$T500,2)),"")</f>
        <v/>
      </c>
      <c r="AE500" s="63" t="str">
        <f>IFERROR(IF(OR($AC500="",$T500="",$T500=0),"",ROUND(ABS($AC500-$N500)*$S500*VLOOKUP($F500,'⚙️ Setelan'!$A$14:$F$20,4,FALSE)/$T500,2)),"")</f>
        <v/>
      </c>
      <c r="AF500" s="61"/>
      <c r="AG500" s="61"/>
      <c r="AH500" s="61"/>
      <c r="AI500" s="61"/>
      <c r="AJ500" s="61"/>
      <c r="AK500" s="67"/>
      <c r="AL500" s="58" t="str">
        <f>IF(OR($C500="",$B500=""),"",IF(AND($Z499="Loss",$B500=$B499,MOD($C500-$D499,1)*1440&lt;'⚙️ Setelan'!$B$9),"⚠️ Revenge",""))</f>
        <v/>
      </c>
      <c r="AM500" s="68"/>
      <c r="AN500" s="58" t="str">
        <f>IF($AM500="","",IFERROR(_xlfn.IMAGE(IF(REGEXMATCH($AM500,"\.(png|jpg|jpeg|gif)$"),$AM500,"https://s3.tradingview.com/snapshots/"&amp;LOWER(MID(REGEXEXTRACT($AM500,"/x/([A-Za-z0-9]+)"),1,1))&amp;"/"&amp;REGEXEXTRACT($AM500,"/x/([A-Za-z0-9]+)")&amp;".png"),1),"⚠️ link tidak dikenali"))</f>
        <v/>
      </c>
      <c r="AO500" s="68"/>
      <c r="AP500" s="58" t="str">
        <f>IF($AO500="","",IFERROR(_xlfn.IMAGE(IF(REGEXMATCH($AO500,"\.(png|jpg|jpeg|gif)$"),$AO500,"https://s3.tradingview.com/snapshots/"&amp;LOWER(MID(REGEXEXTRACT($AO500,"/x/([A-Za-z0-9]+)"),1,1))&amp;"/"&amp;REGEXEXTRACT($AO500,"/x/([A-Za-z0-9]+)")&amp;".png"),1),"⚠️ link tidak dikenali"))</f>
        <v/>
      </c>
      <c r="AQ500" s="66">
        <f>IF($Z500="",0,IF(AND(OR('📊 Dashboard'!$B$4="(Semua)",$F500='📊 Dashboard'!$B$4),OR('📊 Dashboard'!$B$5="(Semua)",$H500='📊 Dashboard'!$B$5),OR('📊 Dashboard'!$B$6="(Semua)",$E500='📊 Dashboard'!$B$6),OR('📊 Dashboard'!$B$7="(Semua)",$AF500='📊 Dashboard'!$B$7),OR('📊 Dashboard'!$B$8="(Semua)",$AG500='📊 Dashboard'!$B$8),OR('📊 Dashboard'!$B$9="(Semua)",$K500='📊 Dashboard'!$B$9)),1,0))</f>
        <v>0</v>
      </c>
      <c r="AR500" s="69"/>
    </row>
    <row r="501" ht="58" customHeight="1" spans="1:44">
      <c r="A501" s="58" t="str">
        <f t="shared" si="49"/>
        <v/>
      </c>
      <c r="B501" s="59"/>
      <c r="C501" s="60"/>
      <c r="D501" s="60"/>
      <c r="E501" s="58" t="str">
        <f t="shared" si="50"/>
        <v/>
      </c>
      <c r="F501" s="61"/>
      <c r="G501" s="61"/>
      <c r="H501" s="61"/>
      <c r="I501" s="61"/>
      <c r="J501" s="61"/>
      <c r="K501" s="61"/>
      <c r="L501" s="61"/>
      <c r="M501" s="61"/>
      <c r="N501" s="62"/>
      <c r="O501" s="62"/>
      <c r="P501" s="62"/>
      <c r="Q501" s="62"/>
      <c r="R501" s="63" t="str">
        <f>IFERROR(IF(OR($N501="",$O501="",$F501=""),"",ROUND(('⚙️ Setelan'!$B$3*'⚙️ Setelan'!$B$4/100)/(ABS($N501-$O501)*VLOOKUP($F501,'⚙️ Setelan'!$A$14:$F$20,4,FALSE)),2)),"")</f>
        <v/>
      </c>
      <c r="S501" s="64"/>
      <c r="T501" s="65" t="str">
        <f>IFERROR(IF(OR($N501="",$O501="",$S501=""),"",ABS($N501-$O501)*$S501*VLOOKUP($F501,'⚙️ Setelan'!$A$14:$F$20,4,FALSE)),"")</f>
        <v/>
      </c>
      <c r="U501" s="63" t="str">
        <f t="shared" si="51"/>
        <v/>
      </c>
      <c r="V501" s="65" t="str">
        <f>IFERROR(IF(OR($Q501="",$N501="",$S501=""),"",($Q501-$N501)*IF($G501="Buy",1,-1)*$S501*VLOOKUP($F501,'⚙️ Setelan'!$A$14:$F$20,4,FALSE)),"")</f>
        <v/>
      </c>
      <c r="W501" s="65" t="str">
        <f>IFERROR(IF(OR($S501="",$F501=""),"",$S501*VLOOKUP($F501,'⚙️ Setelan'!$A$14:$F$20,5,FALSE)),"")</f>
        <v/>
      </c>
      <c r="X501" s="65" t="str">
        <f t="shared" si="52"/>
        <v/>
      </c>
      <c r="Y501" s="63" t="str">
        <f t="shared" si="53"/>
        <v/>
      </c>
      <c r="Z501" s="58" t="str">
        <f t="shared" si="54"/>
        <v/>
      </c>
      <c r="AA501" s="66" t="str">
        <f t="shared" si="55"/>
        <v/>
      </c>
      <c r="AB501" s="62"/>
      <c r="AC501" s="62"/>
      <c r="AD501" s="63" t="str">
        <f>IFERROR(IF(OR($AB501="",$T501="",$T501=0),"",ROUND(ABS($N501-$AB501)*$S501*VLOOKUP($F501,'⚙️ Setelan'!$A$14:$F$20,4,FALSE)/$T501,2)),"")</f>
        <v/>
      </c>
      <c r="AE501" s="63" t="str">
        <f>IFERROR(IF(OR($AC501="",$T501="",$T501=0),"",ROUND(ABS($AC501-$N501)*$S501*VLOOKUP($F501,'⚙️ Setelan'!$A$14:$F$20,4,FALSE)/$T501,2)),"")</f>
        <v/>
      </c>
      <c r="AF501" s="61"/>
      <c r="AG501" s="61"/>
      <c r="AH501" s="61"/>
      <c r="AI501" s="61"/>
      <c r="AJ501" s="61"/>
      <c r="AK501" s="67"/>
      <c r="AL501" s="58" t="str">
        <f>IF(OR($C501="",$B501=""),"",IF(AND($Z500="Loss",$B501=$B500,MOD($C501-$D500,1)*1440&lt;'⚙️ Setelan'!$B$9),"⚠️ Revenge",""))</f>
        <v/>
      </c>
      <c r="AM501" s="68"/>
      <c r="AN501" s="58" t="str">
        <f>IF($AM501="","",IFERROR(_xlfn.IMAGE(IF(REGEXMATCH($AM501,"\.(png|jpg|jpeg|gif)$"),$AM501,"https://s3.tradingview.com/snapshots/"&amp;LOWER(MID(REGEXEXTRACT($AM501,"/x/([A-Za-z0-9]+)"),1,1))&amp;"/"&amp;REGEXEXTRACT($AM501,"/x/([A-Za-z0-9]+)")&amp;".png"),1),"⚠️ link tidak dikenali"))</f>
        <v/>
      </c>
      <c r="AO501" s="68"/>
      <c r="AP501" s="58" t="str">
        <f>IF($AO501="","",IFERROR(_xlfn.IMAGE(IF(REGEXMATCH($AO501,"\.(png|jpg|jpeg|gif)$"),$AO501,"https://s3.tradingview.com/snapshots/"&amp;LOWER(MID(REGEXEXTRACT($AO501,"/x/([A-Za-z0-9]+)"),1,1))&amp;"/"&amp;REGEXEXTRACT($AO501,"/x/([A-Za-z0-9]+)")&amp;".png"),1),"⚠️ link tidak dikenali"))</f>
        <v/>
      </c>
      <c r="AQ501" s="66">
        <f>IF($Z501="",0,IF(AND(OR('📊 Dashboard'!$B$4="(Semua)",$F501='📊 Dashboard'!$B$4),OR('📊 Dashboard'!$B$5="(Semua)",$H501='📊 Dashboard'!$B$5),OR('📊 Dashboard'!$B$6="(Semua)",$E501='📊 Dashboard'!$B$6),OR('📊 Dashboard'!$B$7="(Semua)",$AF501='📊 Dashboard'!$B$7),OR('📊 Dashboard'!$B$8="(Semua)",$AG501='📊 Dashboard'!$B$8),OR('📊 Dashboard'!$B$9="(Semua)",$K501='📊 Dashboard'!$B$9)),1,0))</f>
        <v>0</v>
      </c>
      <c r="AR501" s="69"/>
    </row>
    <row r="502" ht="58" customHeight="1" spans="1:44">
      <c r="A502" s="58" t="str">
        <f t="shared" si="49"/>
        <v/>
      </c>
      <c r="B502" s="59"/>
      <c r="C502" s="60"/>
      <c r="D502" s="60"/>
      <c r="E502" s="58" t="str">
        <f t="shared" si="50"/>
        <v/>
      </c>
      <c r="F502" s="61"/>
      <c r="G502" s="61"/>
      <c r="H502" s="61"/>
      <c r="I502" s="61"/>
      <c r="J502" s="61"/>
      <c r="K502" s="61"/>
      <c r="L502" s="61"/>
      <c r="M502" s="61"/>
      <c r="N502" s="62"/>
      <c r="O502" s="62"/>
      <c r="P502" s="62"/>
      <c r="Q502" s="62"/>
      <c r="R502" s="63" t="str">
        <f>IFERROR(IF(OR($N502="",$O502="",$F502=""),"",ROUND(('⚙️ Setelan'!$B$3*'⚙️ Setelan'!$B$4/100)/(ABS($N502-$O502)*VLOOKUP($F502,'⚙️ Setelan'!$A$14:$F$20,4,FALSE)),2)),"")</f>
        <v/>
      </c>
      <c r="S502" s="64"/>
      <c r="T502" s="65" t="str">
        <f>IFERROR(IF(OR($N502="",$O502="",$S502=""),"",ABS($N502-$O502)*$S502*VLOOKUP($F502,'⚙️ Setelan'!$A$14:$F$20,4,FALSE)),"")</f>
        <v/>
      </c>
      <c r="U502" s="63" t="str">
        <f t="shared" si="51"/>
        <v/>
      </c>
      <c r="V502" s="65" t="str">
        <f>IFERROR(IF(OR($Q502="",$N502="",$S502=""),"",($Q502-$N502)*IF($G502="Buy",1,-1)*$S502*VLOOKUP($F502,'⚙️ Setelan'!$A$14:$F$20,4,FALSE)),"")</f>
        <v/>
      </c>
      <c r="W502" s="65" t="str">
        <f>IFERROR(IF(OR($S502="",$F502=""),"",$S502*VLOOKUP($F502,'⚙️ Setelan'!$A$14:$F$20,5,FALSE)),"")</f>
        <v/>
      </c>
      <c r="X502" s="65" t="str">
        <f t="shared" si="52"/>
        <v/>
      </c>
      <c r="Y502" s="63" t="str">
        <f t="shared" si="53"/>
        <v/>
      </c>
      <c r="Z502" s="58" t="str">
        <f t="shared" si="54"/>
        <v/>
      </c>
      <c r="AA502" s="66" t="str">
        <f t="shared" si="55"/>
        <v/>
      </c>
      <c r="AB502" s="62"/>
      <c r="AC502" s="62"/>
      <c r="AD502" s="63" t="str">
        <f>IFERROR(IF(OR($AB502="",$T502="",$T502=0),"",ROUND(ABS($N502-$AB502)*$S502*VLOOKUP($F502,'⚙️ Setelan'!$A$14:$F$20,4,FALSE)/$T502,2)),"")</f>
        <v/>
      </c>
      <c r="AE502" s="63" t="str">
        <f>IFERROR(IF(OR($AC502="",$T502="",$T502=0),"",ROUND(ABS($AC502-$N502)*$S502*VLOOKUP($F502,'⚙️ Setelan'!$A$14:$F$20,4,FALSE)/$T502,2)),"")</f>
        <v/>
      </c>
      <c r="AF502" s="61"/>
      <c r="AG502" s="61"/>
      <c r="AH502" s="61"/>
      <c r="AI502" s="61"/>
      <c r="AJ502" s="61"/>
      <c r="AK502" s="67"/>
      <c r="AL502" s="58" t="str">
        <f>IF(OR($C502="",$B502=""),"",IF(AND($Z501="Loss",$B502=$B501,MOD($C502-$D501,1)*1440&lt;'⚙️ Setelan'!$B$9),"⚠️ Revenge",""))</f>
        <v/>
      </c>
      <c r="AM502" s="68"/>
      <c r="AN502" s="58" t="str">
        <f>IF($AM502="","",IFERROR(_xlfn.IMAGE(IF(REGEXMATCH($AM502,"\.(png|jpg|jpeg|gif)$"),$AM502,"https://s3.tradingview.com/snapshots/"&amp;LOWER(MID(REGEXEXTRACT($AM502,"/x/([A-Za-z0-9]+)"),1,1))&amp;"/"&amp;REGEXEXTRACT($AM502,"/x/([A-Za-z0-9]+)")&amp;".png"),1),"⚠️ link tidak dikenali"))</f>
        <v/>
      </c>
      <c r="AO502" s="68"/>
      <c r="AP502" s="58" t="str">
        <f>IF($AO502="","",IFERROR(_xlfn.IMAGE(IF(REGEXMATCH($AO502,"\.(png|jpg|jpeg|gif)$"),$AO502,"https://s3.tradingview.com/snapshots/"&amp;LOWER(MID(REGEXEXTRACT($AO502,"/x/([A-Za-z0-9]+)"),1,1))&amp;"/"&amp;REGEXEXTRACT($AO502,"/x/([A-Za-z0-9]+)")&amp;".png"),1),"⚠️ link tidak dikenali"))</f>
        <v/>
      </c>
      <c r="AQ502" s="66">
        <f>IF($Z502="",0,IF(AND(OR('📊 Dashboard'!$B$4="(Semua)",$F502='📊 Dashboard'!$B$4),OR('📊 Dashboard'!$B$5="(Semua)",$H502='📊 Dashboard'!$B$5),OR('📊 Dashboard'!$B$6="(Semua)",$E502='📊 Dashboard'!$B$6),OR('📊 Dashboard'!$B$7="(Semua)",$AF502='📊 Dashboard'!$B$7),OR('📊 Dashboard'!$B$8="(Semua)",$AG502='📊 Dashboard'!$B$8),OR('📊 Dashboard'!$B$9="(Semua)",$K502='📊 Dashboard'!$B$9)),1,0))</f>
        <v>0</v>
      </c>
      <c r="AR502" s="69"/>
    </row>
  </sheetData>
  <mergeCells count="8">
    <mergeCell ref="A1:G1"/>
    <mergeCell ref="H1:M1"/>
    <mergeCell ref="N1:S1"/>
    <mergeCell ref="T1:AA1"/>
    <mergeCell ref="AB1:AE1"/>
    <mergeCell ref="AF1:AK1"/>
    <mergeCell ref="AM1:AP1"/>
    <mergeCell ref="AQ1:AR1"/>
  </mergeCells>
  <conditionalFormatting sqref="O3:O502">
    <cfRule type="expression" dxfId="0" priority="9">
      <formula>AND($N3&lt;&gt;"",$O3="")</formula>
    </cfRule>
  </conditionalFormatting>
  <conditionalFormatting sqref="S3:S502">
    <cfRule type="expression" dxfId="0" priority="8">
      <formula>AND($S3&lt;&gt;"",$R3&lt;&gt;"",OR($S3&gt;$R3*1.5,$S3&lt;$R3*0.5))</formula>
    </cfRule>
  </conditionalFormatting>
  <conditionalFormatting sqref="X3:X502">
    <cfRule type="expression" dxfId="1" priority="6">
      <formula>AND($X3&lt;&gt;"",$X3&gt;0)</formula>
    </cfRule>
    <cfRule type="expression" dxfId="2" priority="7">
      <formula>AND($X3&lt;&gt;"",$X3&lt;0)</formula>
    </cfRule>
  </conditionalFormatting>
  <conditionalFormatting sqref="Y3:Y502">
    <cfRule type="expression" dxfId="1" priority="4">
      <formula>AND($Y3&lt;&gt;"",$Y3&gt;0)</formula>
    </cfRule>
    <cfRule type="expression" dxfId="2" priority="5">
      <formula>AND($Y3&lt;&gt;"",$Y3&lt;0)</formula>
    </cfRule>
  </conditionalFormatting>
  <conditionalFormatting sqref="Z3:Z502">
    <cfRule type="expression" dxfId="1" priority="1">
      <formula>$Z3="Win"</formula>
    </cfRule>
    <cfRule type="expression" dxfId="2" priority="2">
      <formula>$Z3="Loss"</formula>
    </cfRule>
    <cfRule type="expression" dxfId="3" priority="3">
      <formula>$Z3="BE"</formula>
    </cfRule>
  </conditionalFormatting>
  <conditionalFormatting sqref="AF3:AF502">
    <cfRule type="expression" dxfId="0" priority="12">
      <formula>OR($AF3="FOMO",$AF3="Balas dendam",$AF3="Overconfident")</formula>
    </cfRule>
  </conditionalFormatting>
  <conditionalFormatting sqref="AG3:AG502">
    <cfRule type="expression" dxfId="0" priority="13">
      <formula>OR($AG3="Capek",$AG3="Ngantuk")</formula>
    </cfRule>
  </conditionalFormatting>
  <conditionalFormatting sqref="AJ3:AJ502">
    <cfRule type="expression" dxfId="0" priority="11">
      <formula>AND($AJ3&lt;&gt;"",$AJ3&lt;&gt;"Tidak ada")</formula>
    </cfRule>
  </conditionalFormatting>
  <conditionalFormatting sqref="AL3:AL502">
    <cfRule type="expression" dxfId="2" priority="10">
      <formula>$AL3="⚠️ Revenge"</formula>
    </cfRule>
  </conditionalFormatting>
  <dataValidations count="10">
    <dataValidation type="list" allowBlank="1" sqref="F3:F502">
      <formula1>"XAUUSD,BTCUSD,EURUSD,GBPUSD,USDJPY"</formula1>
    </dataValidation>
    <dataValidation type="list" allowBlank="1" sqref="G3:G502">
      <formula1>"Buy,Sell"</formula1>
    </dataValidation>
    <dataValidation type="list" allowBlank="1" sqref="H3:H502">
      <formula1>"First Touch,RBS Retest,SBR Retest,Lainnya"</formula1>
    </dataValidation>
    <dataValidation type="list" allowBlank="1" sqref="I3:I502">
      <formula1>"M1,M5,M15"</formula1>
    </dataValidation>
    <dataValidation type="list" allowBlank="1" sqref="L3:L502">
      <formula1>"POC,VAH,VAL,Tidak ada"</formula1>
    </dataValidation>
    <dataValidation type="list" allowBlank="1" sqref="M3:M502 AI3:AI502 J3:K502">
      <formula1>"Ya,Tidak"</formula1>
    </dataValidation>
    <dataValidation type="list" allowBlank="1" sqref="AF3:AF502">
      <formula1>"Tenang,FOMO,Balas dendam,Ragu,Overconfident,Bosan"</formula1>
    </dataValidation>
    <dataValidation type="list" allowBlank="1" sqref="AG3:AG502">
      <formula1>"Segar,Biasa,Capek,Ngantuk"</formula1>
    </dataValidation>
    <dataValidation type="list" allowBlank="1" sqref="AH3:AH502">
      <formula1>"1,2,3,4,5"</formula1>
    </dataValidation>
    <dataValidation type="list" allowBlank="1" sqref="AJ3:AJ502">
      <formula1>"Tidak ada,Geser SL,Entry tanpa plan,Lot kegedean,Revenge trade,Exit kecepetan,Entry telat,Lawan bias,Lainnya"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2"/>
  <sheetViews>
    <sheetView showGridLines="0" workbookViewId="0">
      <pane ySplit="2" topLeftCell="A3" activePane="bottomLeft" state="frozen"/>
      <selection/>
      <selection pane="bottomLeft" activeCell="B6" sqref="B6"/>
    </sheetView>
  </sheetViews>
  <sheetFormatPr defaultColWidth="9" defaultRowHeight="16.8"/>
  <cols>
    <col min="1" max="1" width="13" customWidth="1"/>
    <col min="2" max="2" width="8" customWidth="1"/>
    <col min="3" max="3" width="14" customWidth="1"/>
    <col min="4" max="5" width="10" customWidth="1"/>
    <col min="6" max="6" width="20" customWidth="1"/>
    <col min="7" max="7" width="12" customWidth="1"/>
    <col min="8" max="8" width="11" customWidth="1"/>
    <col min="9" max="9" width="12" customWidth="1"/>
  </cols>
  <sheetData>
    <row r="1" ht="19.2" spans="1:9">
      <c r="A1" s="37" t="s">
        <v>120</v>
      </c>
    </row>
    <row r="2" spans="1:9">
      <c r="A2" s="43" t="s">
        <v>66</v>
      </c>
      <c r="B2" s="43" t="s">
        <v>121</v>
      </c>
      <c r="C2" s="43" t="s">
        <v>87</v>
      </c>
      <c r="D2" s="43" t="s">
        <v>122</v>
      </c>
      <c r="E2" s="43" t="s">
        <v>123</v>
      </c>
      <c r="F2" s="43" t="s">
        <v>124</v>
      </c>
      <c r="G2" s="43" t="s">
        <v>125</v>
      </c>
      <c r="H2" s="43" t="s">
        <v>126</v>
      </c>
      <c r="I2" s="43" t="s">
        <v>127</v>
      </c>
    </row>
    <row r="3" spans="1:9">
      <c r="A3" s="44">
        <f>IFERROR(_xlfn._xlws.SORT(_xlfn.UNIQUE(_xlfn._xlws.FILTER('📒 Jurnal'!$B$3:$B$502,'📒 Jurnal'!$B$3:$B$502&lt;&gt;""))),"")</f>
        <v>46265</v>
      </c>
      <c r="B3" s="25">
        <f>IF($A3="","",(COUNTIFS('📒 Jurnal'!$B$3:$B$502,$A3,'📒 Jurnal'!$Z$3:$Z$502,"Win")+COUNTIFS('📒 Jurnal'!$B$3:$B$502,$A3,'📒 Jurnal'!$Z$3:$Z$502,"Loss")+COUNTIFS('📒 Jurnal'!$B$3:$B$502,$A3,'📒 Jurnal'!$Z$3:$Z$502,"BE")))</f>
        <v>9</v>
      </c>
      <c r="C3" s="28">
        <f>IF($A3="","",SUMIFS('📒 Jurnal'!$X$3:$X$502,'📒 Jurnal'!$B$3:$B$502,$A3))</f>
        <v>251.414999999986</v>
      </c>
      <c r="D3" s="24">
        <f>IF($A3="","",SUMIFS('📒 Jurnal'!$Y$3:$Y$502,'📒 Jurnal'!$B$3:$B$502,$A3))</f>
        <v>1.55</v>
      </c>
      <c r="E3" s="23">
        <f>IF($A3="","",IFERROR(COUNTIFS('📒 Jurnal'!$B$3:$B$502,$A3,'📒 Jurnal'!$Z$3:$Z$502,"Win")/(COUNTIFS('📒 Jurnal'!$B$3:$B$502,$A3,'📒 Jurnal'!$Z$3:$Z$502,"Win")+COUNTIFS('📒 Jurnal'!$B$3:$B$502,$A3,'📒 Jurnal'!$Z$3:$Z$502,"Loss")+COUNTIFS('📒 Jurnal'!$B$3:$B$502,$A3,'📒 Jurnal'!$Z$3:$Z$502,"BE")),""))</f>
        <v>0.777777777777778</v>
      </c>
      <c r="F3" s="25" t="str">
        <f>IF($A3="","",IF($B3=0,"—",IF(OR($C3&lt;=-'⚙️ Setelan'!$B$5,$B3&gt;'⚙️ Setelan'!$B$6,COUNTIFS('📒 Jurnal'!$B$3:$B$502,$A3,'📒 Jurnal'!$AL$3:$AL$502,"⚠️ Revenge")&gt;0),"🔴 LANGGAR","✅ Aman")))</f>
        <v>🔴 LANGGAR</v>
      </c>
      <c r="G3" s="45">
        <f>IF($A3="","",SUM($D$3:$D3))</f>
        <v>1.55</v>
      </c>
      <c r="H3" s="45">
        <f>IF($A3="","",MAX($G$3:$G3))</f>
        <v>1.55</v>
      </c>
      <c r="I3" s="45">
        <f t="shared" ref="I3:I66" si="0">IF($A3="","",$H3-$G3)</f>
        <v>0</v>
      </c>
    </row>
    <row r="4" spans="1:9">
      <c r="B4" s="25" t="str">
        <f>IF($A4="","",(COUNTIFS('📒 Jurnal'!$B$3:$B$502,$A4,'📒 Jurnal'!$Z$3:$Z$502,"Win")+COUNTIFS('📒 Jurnal'!$B$3:$B$502,$A4,'📒 Jurnal'!$Z$3:$Z$502,"Loss")+COUNTIFS('📒 Jurnal'!$B$3:$B$502,$A4,'📒 Jurnal'!$Z$3:$Z$502,"BE")))</f>
        <v/>
      </c>
      <c r="C4" s="28" t="str">
        <f>IF($A4="","",SUMIFS('📒 Jurnal'!$X$3:$X$502,'📒 Jurnal'!$B$3:$B$502,$A4))</f>
        <v/>
      </c>
      <c r="D4" s="24" t="str">
        <f>IF($A4="","",SUMIFS('📒 Jurnal'!$Y$3:$Y$502,'📒 Jurnal'!$B$3:$B$502,$A4))</f>
        <v/>
      </c>
      <c r="E4" s="23" t="str">
        <f>IF($A4="","",IFERROR(COUNTIFS('📒 Jurnal'!$B$3:$B$502,$A4,'📒 Jurnal'!$Z$3:$Z$502,"Win")/(COUNTIFS('📒 Jurnal'!$B$3:$B$502,$A4,'📒 Jurnal'!$Z$3:$Z$502,"Win")+COUNTIFS('📒 Jurnal'!$B$3:$B$502,$A4,'📒 Jurnal'!$Z$3:$Z$502,"Loss")+COUNTIFS('📒 Jurnal'!$B$3:$B$502,$A4,'📒 Jurnal'!$Z$3:$Z$502,"BE")),""))</f>
        <v/>
      </c>
      <c r="F4" s="25" t="str">
        <f>IF($A4="","",IF($B4=0,"—",IF(OR($C4&lt;=-'⚙️ Setelan'!$B$5,$B4&gt;'⚙️ Setelan'!$B$6,COUNTIFS('📒 Jurnal'!$B$3:$B$502,$A4,'📒 Jurnal'!$AL$3:$AL$502,"⚠️ Revenge")&gt;0),"🔴 LANGGAR","✅ Aman")))</f>
        <v/>
      </c>
      <c r="G4" s="45" t="str">
        <f>IF($A4="","",SUM($D$3:$D4))</f>
        <v/>
      </c>
      <c r="H4" s="45" t="str">
        <f>IF($A4="","",MAX($G$3:$G4))</f>
        <v/>
      </c>
      <c r="I4" s="45" t="str">
        <f t="shared" si="0"/>
        <v/>
      </c>
    </row>
    <row r="5" spans="1:9">
      <c r="B5" s="25" t="str">
        <f>IF($A5="","",(COUNTIFS('📒 Jurnal'!$B$3:$B$502,$A5,'📒 Jurnal'!$Z$3:$Z$502,"Win")+COUNTIFS('📒 Jurnal'!$B$3:$B$502,$A5,'📒 Jurnal'!$Z$3:$Z$502,"Loss")+COUNTIFS('📒 Jurnal'!$B$3:$B$502,$A5,'📒 Jurnal'!$Z$3:$Z$502,"BE")))</f>
        <v/>
      </c>
      <c r="C5" s="28" t="str">
        <f>IF($A5="","",SUMIFS('📒 Jurnal'!$X$3:$X$502,'📒 Jurnal'!$B$3:$B$502,$A5))</f>
        <v/>
      </c>
      <c r="D5" s="24" t="str">
        <f>IF($A5="","",SUMIFS('📒 Jurnal'!$Y$3:$Y$502,'📒 Jurnal'!$B$3:$B$502,$A5))</f>
        <v/>
      </c>
      <c r="E5" s="23" t="str">
        <f>IF($A5="","",IFERROR(COUNTIFS('📒 Jurnal'!$B$3:$B$502,$A5,'📒 Jurnal'!$Z$3:$Z$502,"Win")/(COUNTIFS('📒 Jurnal'!$B$3:$B$502,$A5,'📒 Jurnal'!$Z$3:$Z$502,"Win")+COUNTIFS('📒 Jurnal'!$B$3:$B$502,$A5,'📒 Jurnal'!$Z$3:$Z$502,"Loss")+COUNTIFS('📒 Jurnal'!$B$3:$B$502,$A5,'📒 Jurnal'!$Z$3:$Z$502,"BE")),""))</f>
        <v/>
      </c>
      <c r="F5" s="25" t="str">
        <f>IF($A5="","",IF($B5=0,"—",IF(OR($C5&lt;=-'⚙️ Setelan'!$B$5,$B5&gt;'⚙️ Setelan'!$B$6,COUNTIFS('📒 Jurnal'!$B$3:$B$502,$A5,'📒 Jurnal'!$AL$3:$AL$502,"⚠️ Revenge")&gt;0),"🔴 LANGGAR","✅ Aman")))</f>
        <v/>
      </c>
      <c r="G5" s="45" t="str">
        <f>IF($A5="","",SUM($D$3:$D5))</f>
        <v/>
      </c>
      <c r="H5" s="45" t="str">
        <f>IF($A5="","",MAX($G$3:$G5))</f>
        <v/>
      </c>
      <c r="I5" s="45" t="str">
        <f t="shared" si="0"/>
        <v/>
      </c>
    </row>
    <row r="6" spans="1:9">
      <c r="B6" s="25" t="str">
        <f>IF($A6="","",(COUNTIFS('📒 Jurnal'!$B$3:$B$502,$A6,'📒 Jurnal'!$Z$3:$Z$502,"Win")+COUNTIFS('📒 Jurnal'!$B$3:$B$502,$A6,'📒 Jurnal'!$Z$3:$Z$502,"Loss")+COUNTIFS('📒 Jurnal'!$B$3:$B$502,$A6,'📒 Jurnal'!$Z$3:$Z$502,"BE")))</f>
        <v/>
      </c>
      <c r="C6" s="28" t="str">
        <f>IF($A6="","",SUMIFS('📒 Jurnal'!$X$3:$X$502,'📒 Jurnal'!$B$3:$B$502,$A6))</f>
        <v/>
      </c>
      <c r="D6" s="24" t="str">
        <f>IF($A6="","",SUMIFS('📒 Jurnal'!$Y$3:$Y$502,'📒 Jurnal'!$B$3:$B$502,$A6))</f>
        <v/>
      </c>
      <c r="E6" s="23" t="str">
        <f>IF($A6="","",IFERROR(COUNTIFS('📒 Jurnal'!$B$3:$B$502,$A6,'📒 Jurnal'!$Z$3:$Z$502,"Win")/(COUNTIFS('📒 Jurnal'!$B$3:$B$502,$A6,'📒 Jurnal'!$Z$3:$Z$502,"Win")+COUNTIFS('📒 Jurnal'!$B$3:$B$502,$A6,'📒 Jurnal'!$Z$3:$Z$502,"Loss")+COUNTIFS('📒 Jurnal'!$B$3:$B$502,$A6,'📒 Jurnal'!$Z$3:$Z$502,"BE")),""))</f>
        <v/>
      </c>
      <c r="F6" s="25" t="str">
        <f>IF($A6="","",IF($B6=0,"—",IF(OR($C6&lt;=-'⚙️ Setelan'!$B$5,$B6&gt;'⚙️ Setelan'!$B$6,COUNTIFS('📒 Jurnal'!$B$3:$B$502,$A6,'📒 Jurnal'!$AL$3:$AL$502,"⚠️ Revenge")&gt;0),"🔴 LANGGAR","✅ Aman")))</f>
        <v/>
      </c>
      <c r="G6" s="45" t="str">
        <f>IF($A6="","",SUM($D$3:$D6))</f>
        <v/>
      </c>
      <c r="H6" s="45" t="str">
        <f>IF($A6="","",MAX($G$3:$G6))</f>
        <v/>
      </c>
      <c r="I6" s="45" t="str">
        <f t="shared" si="0"/>
        <v/>
      </c>
    </row>
    <row r="7" spans="1:9">
      <c r="B7" s="25" t="str">
        <f>IF($A7="","",(COUNTIFS('📒 Jurnal'!$B$3:$B$502,$A7,'📒 Jurnal'!$Z$3:$Z$502,"Win")+COUNTIFS('📒 Jurnal'!$B$3:$B$502,$A7,'📒 Jurnal'!$Z$3:$Z$502,"Loss")+COUNTIFS('📒 Jurnal'!$B$3:$B$502,$A7,'📒 Jurnal'!$Z$3:$Z$502,"BE")))</f>
        <v/>
      </c>
      <c r="C7" s="28" t="str">
        <f>IF($A7="","",SUMIFS('📒 Jurnal'!$X$3:$X$502,'📒 Jurnal'!$B$3:$B$502,$A7))</f>
        <v/>
      </c>
      <c r="D7" s="24" t="str">
        <f>IF($A7="","",SUMIFS('📒 Jurnal'!$Y$3:$Y$502,'📒 Jurnal'!$B$3:$B$502,$A7))</f>
        <v/>
      </c>
      <c r="E7" s="23" t="str">
        <f>IF($A7="","",IFERROR(COUNTIFS('📒 Jurnal'!$B$3:$B$502,$A7,'📒 Jurnal'!$Z$3:$Z$502,"Win")/(COUNTIFS('📒 Jurnal'!$B$3:$B$502,$A7,'📒 Jurnal'!$Z$3:$Z$502,"Win")+COUNTIFS('📒 Jurnal'!$B$3:$B$502,$A7,'📒 Jurnal'!$Z$3:$Z$502,"Loss")+COUNTIFS('📒 Jurnal'!$B$3:$B$502,$A7,'📒 Jurnal'!$Z$3:$Z$502,"BE")),""))</f>
        <v/>
      </c>
      <c r="F7" s="25" t="str">
        <f>IF($A7="","",IF($B7=0,"—",IF(OR($C7&lt;=-'⚙️ Setelan'!$B$5,$B7&gt;'⚙️ Setelan'!$B$6,COUNTIFS('📒 Jurnal'!$B$3:$B$502,$A7,'📒 Jurnal'!$AL$3:$AL$502,"⚠️ Revenge")&gt;0),"🔴 LANGGAR","✅ Aman")))</f>
        <v/>
      </c>
      <c r="G7" s="45" t="str">
        <f>IF($A7="","",SUM($D$3:$D7))</f>
        <v/>
      </c>
      <c r="H7" s="45" t="str">
        <f>IF($A7="","",MAX($G$3:$G7))</f>
        <v/>
      </c>
      <c r="I7" s="45" t="str">
        <f t="shared" si="0"/>
        <v/>
      </c>
    </row>
    <row r="8" spans="1:9">
      <c r="B8" s="25" t="str">
        <f>IF($A8="","",(COUNTIFS('📒 Jurnal'!$B$3:$B$502,$A8,'📒 Jurnal'!$Z$3:$Z$502,"Win")+COUNTIFS('📒 Jurnal'!$B$3:$B$502,$A8,'📒 Jurnal'!$Z$3:$Z$502,"Loss")+COUNTIFS('📒 Jurnal'!$B$3:$B$502,$A8,'📒 Jurnal'!$Z$3:$Z$502,"BE")))</f>
        <v/>
      </c>
      <c r="C8" s="28" t="str">
        <f>IF($A8="","",SUMIFS('📒 Jurnal'!$X$3:$X$502,'📒 Jurnal'!$B$3:$B$502,$A8))</f>
        <v/>
      </c>
      <c r="D8" s="24" t="str">
        <f>IF($A8="","",SUMIFS('📒 Jurnal'!$Y$3:$Y$502,'📒 Jurnal'!$B$3:$B$502,$A8))</f>
        <v/>
      </c>
      <c r="E8" s="23" t="str">
        <f>IF($A8="","",IFERROR(COUNTIFS('📒 Jurnal'!$B$3:$B$502,$A8,'📒 Jurnal'!$Z$3:$Z$502,"Win")/(COUNTIFS('📒 Jurnal'!$B$3:$B$502,$A8,'📒 Jurnal'!$Z$3:$Z$502,"Win")+COUNTIFS('📒 Jurnal'!$B$3:$B$502,$A8,'📒 Jurnal'!$Z$3:$Z$502,"Loss")+COUNTIFS('📒 Jurnal'!$B$3:$B$502,$A8,'📒 Jurnal'!$Z$3:$Z$502,"BE")),""))</f>
        <v/>
      </c>
      <c r="F8" s="25" t="str">
        <f>IF($A8="","",IF($B8=0,"—",IF(OR($C8&lt;=-'⚙️ Setelan'!$B$5,$B8&gt;'⚙️ Setelan'!$B$6,COUNTIFS('📒 Jurnal'!$B$3:$B$502,$A8,'📒 Jurnal'!$AL$3:$AL$502,"⚠️ Revenge")&gt;0),"🔴 LANGGAR","✅ Aman")))</f>
        <v/>
      </c>
      <c r="G8" s="45" t="str">
        <f>IF($A8="","",SUM($D$3:$D8))</f>
        <v/>
      </c>
      <c r="H8" s="45" t="str">
        <f>IF($A8="","",MAX($G$3:$G8))</f>
        <v/>
      </c>
      <c r="I8" s="45" t="str">
        <f t="shared" si="0"/>
        <v/>
      </c>
    </row>
    <row r="9" spans="1:9">
      <c r="B9" s="25" t="str">
        <f>IF($A9="","",(COUNTIFS('📒 Jurnal'!$B$3:$B$502,$A9,'📒 Jurnal'!$Z$3:$Z$502,"Win")+COUNTIFS('📒 Jurnal'!$B$3:$B$502,$A9,'📒 Jurnal'!$Z$3:$Z$502,"Loss")+COUNTIFS('📒 Jurnal'!$B$3:$B$502,$A9,'📒 Jurnal'!$Z$3:$Z$502,"BE")))</f>
        <v/>
      </c>
      <c r="C9" s="28" t="str">
        <f>IF($A9="","",SUMIFS('📒 Jurnal'!$X$3:$X$502,'📒 Jurnal'!$B$3:$B$502,$A9))</f>
        <v/>
      </c>
      <c r="D9" s="24" t="str">
        <f>IF($A9="","",SUMIFS('📒 Jurnal'!$Y$3:$Y$502,'📒 Jurnal'!$B$3:$B$502,$A9))</f>
        <v/>
      </c>
      <c r="E9" s="23" t="str">
        <f>IF($A9="","",IFERROR(COUNTIFS('📒 Jurnal'!$B$3:$B$502,$A9,'📒 Jurnal'!$Z$3:$Z$502,"Win")/(COUNTIFS('📒 Jurnal'!$B$3:$B$502,$A9,'📒 Jurnal'!$Z$3:$Z$502,"Win")+COUNTIFS('📒 Jurnal'!$B$3:$B$502,$A9,'📒 Jurnal'!$Z$3:$Z$502,"Loss")+COUNTIFS('📒 Jurnal'!$B$3:$B$502,$A9,'📒 Jurnal'!$Z$3:$Z$502,"BE")),""))</f>
        <v/>
      </c>
      <c r="F9" s="25" t="str">
        <f>IF($A9="","",IF($B9=0,"—",IF(OR($C9&lt;=-'⚙️ Setelan'!$B$5,$B9&gt;'⚙️ Setelan'!$B$6,COUNTIFS('📒 Jurnal'!$B$3:$B$502,$A9,'📒 Jurnal'!$AL$3:$AL$502,"⚠️ Revenge")&gt;0),"🔴 LANGGAR","✅ Aman")))</f>
        <v/>
      </c>
      <c r="G9" s="45" t="str">
        <f>IF($A9="","",SUM($D$3:$D9))</f>
        <v/>
      </c>
      <c r="H9" s="45" t="str">
        <f>IF($A9="","",MAX($G$3:$G9))</f>
        <v/>
      </c>
      <c r="I9" s="45" t="str">
        <f t="shared" si="0"/>
        <v/>
      </c>
    </row>
    <row r="10" spans="1:9">
      <c r="B10" s="25" t="str">
        <f>IF($A10="","",(COUNTIFS('📒 Jurnal'!$B$3:$B$502,$A10,'📒 Jurnal'!$Z$3:$Z$502,"Win")+COUNTIFS('📒 Jurnal'!$B$3:$B$502,$A10,'📒 Jurnal'!$Z$3:$Z$502,"Loss")+COUNTIFS('📒 Jurnal'!$B$3:$B$502,$A10,'📒 Jurnal'!$Z$3:$Z$502,"BE")))</f>
        <v/>
      </c>
      <c r="C10" s="28" t="str">
        <f>IF($A10="","",SUMIFS('📒 Jurnal'!$X$3:$X$502,'📒 Jurnal'!$B$3:$B$502,$A10))</f>
        <v/>
      </c>
      <c r="D10" s="24" t="str">
        <f>IF($A10="","",SUMIFS('📒 Jurnal'!$Y$3:$Y$502,'📒 Jurnal'!$B$3:$B$502,$A10))</f>
        <v/>
      </c>
      <c r="E10" s="23" t="str">
        <f>IF($A10="","",IFERROR(COUNTIFS('📒 Jurnal'!$B$3:$B$502,$A10,'📒 Jurnal'!$Z$3:$Z$502,"Win")/(COUNTIFS('📒 Jurnal'!$B$3:$B$502,$A10,'📒 Jurnal'!$Z$3:$Z$502,"Win")+COUNTIFS('📒 Jurnal'!$B$3:$B$502,$A10,'📒 Jurnal'!$Z$3:$Z$502,"Loss")+COUNTIFS('📒 Jurnal'!$B$3:$B$502,$A10,'📒 Jurnal'!$Z$3:$Z$502,"BE")),""))</f>
        <v/>
      </c>
      <c r="F10" s="25" t="str">
        <f>IF($A10="","",IF($B10=0,"—",IF(OR($C10&lt;=-'⚙️ Setelan'!$B$5,$B10&gt;'⚙️ Setelan'!$B$6,COUNTIFS('📒 Jurnal'!$B$3:$B$502,$A10,'📒 Jurnal'!$AL$3:$AL$502,"⚠️ Revenge")&gt;0),"🔴 LANGGAR","✅ Aman")))</f>
        <v/>
      </c>
      <c r="G10" s="45" t="str">
        <f>IF($A10="","",SUM($D$3:$D10))</f>
        <v/>
      </c>
      <c r="H10" s="45" t="str">
        <f>IF($A10="","",MAX($G$3:$G10))</f>
        <v/>
      </c>
      <c r="I10" s="45" t="str">
        <f t="shared" si="0"/>
        <v/>
      </c>
    </row>
    <row r="11" spans="1:9">
      <c r="B11" s="25" t="str">
        <f>IF($A11="","",(COUNTIFS('📒 Jurnal'!$B$3:$B$502,$A11,'📒 Jurnal'!$Z$3:$Z$502,"Win")+COUNTIFS('📒 Jurnal'!$B$3:$B$502,$A11,'📒 Jurnal'!$Z$3:$Z$502,"Loss")+COUNTIFS('📒 Jurnal'!$B$3:$B$502,$A11,'📒 Jurnal'!$Z$3:$Z$502,"BE")))</f>
        <v/>
      </c>
      <c r="C11" s="28" t="str">
        <f>IF($A11="","",SUMIFS('📒 Jurnal'!$X$3:$X$502,'📒 Jurnal'!$B$3:$B$502,$A11))</f>
        <v/>
      </c>
      <c r="D11" s="24" t="str">
        <f>IF($A11="","",SUMIFS('📒 Jurnal'!$Y$3:$Y$502,'📒 Jurnal'!$B$3:$B$502,$A11))</f>
        <v/>
      </c>
      <c r="E11" s="23" t="str">
        <f>IF($A11="","",IFERROR(COUNTIFS('📒 Jurnal'!$B$3:$B$502,$A11,'📒 Jurnal'!$Z$3:$Z$502,"Win")/(COUNTIFS('📒 Jurnal'!$B$3:$B$502,$A11,'📒 Jurnal'!$Z$3:$Z$502,"Win")+COUNTIFS('📒 Jurnal'!$B$3:$B$502,$A11,'📒 Jurnal'!$Z$3:$Z$502,"Loss")+COUNTIFS('📒 Jurnal'!$B$3:$B$502,$A11,'📒 Jurnal'!$Z$3:$Z$502,"BE")),""))</f>
        <v/>
      </c>
      <c r="F11" s="25" t="str">
        <f>IF($A11="","",IF($B11=0,"—",IF(OR($C11&lt;=-'⚙️ Setelan'!$B$5,$B11&gt;'⚙️ Setelan'!$B$6,COUNTIFS('📒 Jurnal'!$B$3:$B$502,$A11,'📒 Jurnal'!$AL$3:$AL$502,"⚠️ Revenge")&gt;0),"🔴 LANGGAR","✅ Aman")))</f>
        <v/>
      </c>
      <c r="G11" s="45" t="str">
        <f>IF($A11="","",SUM($D$3:$D11))</f>
        <v/>
      </c>
      <c r="H11" s="45" t="str">
        <f>IF($A11="","",MAX($G$3:$G11))</f>
        <v/>
      </c>
      <c r="I11" s="45" t="str">
        <f t="shared" si="0"/>
        <v/>
      </c>
    </row>
    <row r="12" spans="1:9">
      <c r="B12" s="25" t="str">
        <f>IF($A12="","",(COUNTIFS('📒 Jurnal'!$B$3:$B$502,$A12,'📒 Jurnal'!$Z$3:$Z$502,"Win")+COUNTIFS('📒 Jurnal'!$B$3:$B$502,$A12,'📒 Jurnal'!$Z$3:$Z$502,"Loss")+COUNTIFS('📒 Jurnal'!$B$3:$B$502,$A12,'📒 Jurnal'!$Z$3:$Z$502,"BE")))</f>
        <v/>
      </c>
      <c r="C12" s="28" t="str">
        <f>IF($A12="","",SUMIFS('📒 Jurnal'!$X$3:$X$502,'📒 Jurnal'!$B$3:$B$502,$A12))</f>
        <v/>
      </c>
      <c r="D12" s="24" t="str">
        <f>IF($A12="","",SUMIFS('📒 Jurnal'!$Y$3:$Y$502,'📒 Jurnal'!$B$3:$B$502,$A12))</f>
        <v/>
      </c>
      <c r="E12" s="23" t="str">
        <f>IF($A12="","",IFERROR(COUNTIFS('📒 Jurnal'!$B$3:$B$502,$A12,'📒 Jurnal'!$Z$3:$Z$502,"Win")/(COUNTIFS('📒 Jurnal'!$B$3:$B$502,$A12,'📒 Jurnal'!$Z$3:$Z$502,"Win")+COUNTIFS('📒 Jurnal'!$B$3:$B$502,$A12,'📒 Jurnal'!$Z$3:$Z$502,"Loss")+COUNTIFS('📒 Jurnal'!$B$3:$B$502,$A12,'📒 Jurnal'!$Z$3:$Z$502,"BE")),""))</f>
        <v/>
      </c>
      <c r="F12" s="25" t="str">
        <f>IF($A12="","",IF($B12=0,"—",IF(OR($C12&lt;=-'⚙️ Setelan'!$B$5,$B12&gt;'⚙️ Setelan'!$B$6,COUNTIFS('📒 Jurnal'!$B$3:$B$502,$A12,'📒 Jurnal'!$AL$3:$AL$502,"⚠️ Revenge")&gt;0),"🔴 LANGGAR","✅ Aman")))</f>
        <v/>
      </c>
      <c r="G12" s="45" t="str">
        <f>IF($A12="","",SUM($D$3:$D12))</f>
        <v/>
      </c>
      <c r="H12" s="45" t="str">
        <f>IF($A12="","",MAX($G$3:$G12))</f>
        <v/>
      </c>
      <c r="I12" s="45" t="str">
        <f t="shared" si="0"/>
        <v/>
      </c>
    </row>
    <row r="13" spans="1:9">
      <c r="B13" s="25" t="str">
        <f>IF($A13="","",(COUNTIFS('📒 Jurnal'!$B$3:$B$502,$A13,'📒 Jurnal'!$Z$3:$Z$502,"Win")+COUNTIFS('📒 Jurnal'!$B$3:$B$502,$A13,'📒 Jurnal'!$Z$3:$Z$502,"Loss")+COUNTIFS('📒 Jurnal'!$B$3:$B$502,$A13,'📒 Jurnal'!$Z$3:$Z$502,"BE")))</f>
        <v/>
      </c>
      <c r="C13" s="28" t="str">
        <f>IF($A13="","",SUMIFS('📒 Jurnal'!$X$3:$X$502,'📒 Jurnal'!$B$3:$B$502,$A13))</f>
        <v/>
      </c>
      <c r="D13" s="24" t="str">
        <f>IF($A13="","",SUMIFS('📒 Jurnal'!$Y$3:$Y$502,'📒 Jurnal'!$B$3:$B$502,$A13))</f>
        <v/>
      </c>
      <c r="E13" s="23" t="str">
        <f>IF($A13="","",IFERROR(COUNTIFS('📒 Jurnal'!$B$3:$B$502,$A13,'📒 Jurnal'!$Z$3:$Z$502,"Win")/(COUNTIFS('📒 Jurnal'!$B$3:$B$502,$A13,'📒 Jurnal'!$Z$3:$Z$502,"Win")+COUNTIFS('📒 Jurnal'!$B$3:$B$502,$A13,'📒 Jurnal'!$Z$3:$Z$502,"Loss")+COUNTIFS('📒 Jurnal'!$B$3:$B$502,$A13,'📒 Jurnal'!$Z$3:$Z$502,"BE")),""))</f>
        <v/>
      </c>
      <c r="F13" s="25" t="str">
        <f>IF($A13="","",IF($B13=0,"—",IF(OR($C13&lt;=-'⚙️ Setelan'!$B$5,$B13&gt;'⚙️ Setelan'!$B$6,COUNTIFS('📒 Jurnal'!$B$3:$B$502,$A13,'📒 Jurnal'!$AL$3:$AL$502,"⚠️ Revenge")&gt;0),"🔴 LANGGAR","✅ Aman")))</f>
        <v/>
      </c>
      <c r="G13" s="45" t="str">
        <f>IF($A13="","",SUM($D$3:$D13))</f>
        <v/>
      </c>
      <c r="H13" s="45" t="str">
        <f>IF($A13="","",MAX($G$3:$G13))</f>
        <v/>
      </c>
      <c r="I13" s="45" t="str">
        <f t="shared" si="0"/>
        <v/>
      </c>
    </row>
    <row r="14" spans="1:9">
      <c r="B14" s="25" t="str">
        <f>IF($A14="","",(COUNTIFS('📒 Jurnal'!$B$3:$B$502,$A14,'📒 Jurnal'!$Z$3:$Z$502,"Win")+COUNTIFS('📒 Jurnal'!$B$3:$B$502,$A14,'📒 Jurnal'!$Z$3:$Z$502,"Loss")+COUNTIFS('📒 Jurnal'!$B$3:$B$502,$A14,'📒 Jurnal'!$Z$3:$Z$502,"BE")))</f>
        <v/>
      </c>
      <c r="C14" s="28" t="str">
        <f>IF($A14="","",SUMIFS('📒 Jurnal'!$X$3:$X$502,'📒 Jurnal'!$B$3:$B$502,$A14))</f>
        <v/>
      </c>
      <c r="D14" s="24" t="str">
        <f>IF($A14="","",SUMIFS('📒 Jurnal'!$Y$3:$Y$502,'📒 Jurnal'!$B$3:$B$502,$A14))</f>
        <v/>
      </c>
      <c r="E14" s="23" t="str">
        <f>IF($A14="","",IFERROR(COUNTIFS('📒 Jurnal'!$B$3:$B$502,$A14,'📒 Jurnal'!$Z$3:$Z$502,"Win")/(COUNTIFS('📒 Jurnal'!$B$3:$B$502,$A14,'📒 Jurnal'!$Z$3:$Z$502,"Win")+COUNTIFS('📒 Jurnal'!$B$3:$B$502,$A14,'📒 Jurnal'!$Z$3:$Z$502,"Loss")+COUNTIFS('📒 Jurnal'!$B$3:$B$502,$A14,'📒 Jurnal'!$Z$3:$Z$502,"BE")),""))</f>
        <v/>
      </c>
      <c r="F14" s="25" t="str">
        <f>IF($A14="","",IF($B14=0,"—",IF(OR($C14&lt;=-'⚙️ Setelan'!$B$5,$B14&gt;'⚙️ Setelan'!$B$6,COUNTIFS('📒 Jurnal'!$B$3:$B$502,$A14,'📒 Jurnal'!$AL$3:$AL$502,"⚠️ Revenge")&gt;0),"🔴 LANGGAR","✅ Aman")))</f>
        <v/>
      </c>
      <c r="G14" s="45" t="str">
        <f>IF($A14="","",SUM($D$3:$D14))</f>
        <v/>
      </c>
      <c r="H14" s="45" t="str">
        <f>IF($A14="","",MAX($G$3:$G14))</f>
        <v/>
      </c>
      <c r="I14" s="45" t="str">
        <f t="shared" si="0"/>
        <v/>
      </c>
    </row>
    <row r="15" spans="1:9">
      <c r="B15" s="25" t="str">
        <f>IF($A15="","",(COUNTIFS('📒 Jurnal'!$B$3:$B$502,$A15,'📒 Jurnal'!$Z$3:$Z$502,"Win")+COUNTIFS('📒 Jurnal'!$B$3:$B$502,$A15,'📒 Jurnal'!$Z$3:$Z$502,"Loss")+COUNTIFS('📒 Jurnal'!$B$3:$B$502,$A15,'📒 Jurnal'!$Z$3:$Z$502,"BE")))</f>
        <v/>
      </c>
      <c r="C15" s="28" t="str">
        <f>IF($A15="","",SUMIFS('📒 Jurnal'!$X$3:$X$502,'📒 Jurnal'!$B$3:$B$502,$A15))</f>
        <v/>
      </c>
      <c r="D15" s="24" t="str">
        <f>IF($A15="","",SUMIFS('📒 Jurnal'!$Y$3:$Y$502,'📒 Jurnal'!$B$3:$B$502,$A15))</f>
        <v/>
      </c>
      <c r="E15" s="23" t="str">
        <f>IF($A15="","",IFERROR(COUNTIFS('📒 Jurnal'!$B$3:$B$502,$A15,'📒 Jurnal'!$Z$3:$Z$502,"Win")/(COUNTIFS('📒 Jurnal'!$B$3:$B$502,$A15,'📒 Jurnal'!$Z$3:$Z$502,"Win")+COUNTIFS('📒 Jurnal'!$B$3:$B$502,$A15,'📒 Jurnal'!$Z$3:$Z$502,"Loss")+COUNTIFS('📒 Jurnal'!$B$3:$B$502,$A15,'📒 Jurnal'!$Z$3:$Z$502,"BE")),""))</f>
        <v/>
      </c>
      <c r="F15" s="25" t="str">
        <f>IF($A15="","",IF($B15=0,"—",IF(OR($C15&lt;=-'⚙️ Setelan'!$B$5,$B15&gt;'⚙️ Setelan'!$B$6,COUNTIFS('📒 Jurnal'!$B$3:$B$502,$A15,'📒 Jurnal'!$AL$3:$AL$502,"⚠️ Revenge")&gt;0),"🔴 LANGGAR","✅ Aman")))</f>
        <v/>
      </c>
      <c r="G15" s="45" t="str">
        <f>IF($A15="","",SUM($D$3:$D15))</f>
        <v/>
      </c>
      <c r="H15" s="45" t="str">
        <f>IF($A15="","",MAX($G$3:$G15))</f>
        <v/>
      </c>
      <c r="I15" s="45" t="str">
        <f t="shared" si="0"/>
        <v/>
      </c>
    </row>
    <row r="16" spans="1:9">
      <c r="B16" s="25" t="str">
        <f>IF($A16="","",(COUNTIFS('📒 Jurnal'!$B$3:$B$502,$A16,'📒 Jurnal'!$Z$3:$Z$502,"Win")+COUNTIFS('📒 Jurnal'!$B$3:$B$502,$A16,'📒 Jurnal'!$Z$3:$Z$502,"Loss")+COUNTIFS('📒 Jurnal'!$B$3:$B$502,$A16,'📒 Jurnal'!$Z$3:$Z$502,"BE")))</f>
        <v/>
      </c>
      <c r="C16" s="28" t="str">
        <f>IF($A16="","",SUMIFS('📒 Jurnal'!$X$3:$X$502,'📒 Jurnal'!$B$3:$B$502,$A16))</f>
        <v/>
      </c>
      <c r="D16" s="24" t="str">
        <f>IF($A16="","",SUMIFS('📒 Jurnal'!$Y$3:$Y$502,'📒 Jurnal'!$B$3:$B$502,$A16))</f>
        <v/>
      </c>
      <c r="E16" s="23" t="str">
        <f>IF($A16="","",IFERROR(COUNTIFS('📒 Jurnal'!$B$3:$B$502,$A16,'📒 Jurnal'!$Z$3:$Z$502,"Win")/(COUNTIFS('📒 Jurnal'!$B$3:$B$502,$A16,'📒 Jurnal'!$Z$3:$Z$502,"Win")+COUNTIFS('📒 Jurnal'!$B$3:$B$502,$A16,'📒 Jurnal'!$Z$3:$Z$502,"Loss")+COUNTIFS('📒 Jurnal'!$B$3:$B$502,$A16,'📒 Jurnal'!$Z$3:$Z$502,"BE")),""))</f>
        <v/>
      </c>
      <c r="F16" s="25" t="str">
        <f>IF($A16="","",IF($B16=0,"—",IF(OR($C16&lt;=-'⚙️ Setelan'!$B$5,$B16&gt;'⚙️ Setelan'!$B$6,COUNTIFS('📒 Jurnal'!$B$3:$B$502,$A16,'📒 Jurnal'!$AL$3:$AL$502,"⚠️ Revenge")&gt;0),"🔴 LANGGAR","✅ Aman")))</f>
        <v/>
      </c>
      <c r="G16" s="45" t="str">
        <f>IF($A16="","",SUM($D$3:$D16))</f>
        <v/>
      </c>
      <c r="H16" s="45" t="str">
        <f>IF($A16="","",MAX($G$3:$G16))</f>
        <v/>
      </c>
      <c r="I16" s="45" t="str">
        <f t="shared" si="0"/>
        <v/>
      </c>
    </row>
    <row r="17" spans="2:9">
      <c r="B17" s="25" t="str">
        <f>IF($A17="","",(COUNTIFS('📒 Jurnal'!$B$3:$B$502,$A17,'📒 Jurnal'!$Z$3:$Z$502,"Win")+COUNTIFS('📒 Jurnal'!$B$3:$B$502,$A17,'📒 Jurnal'!$Z$3:$Z$502,"Loss")+COUNTIFS('📒 Jurnal'!$B$3:$B$502,$A17,'📒 Jurnal'!$Z$3:$Z$502,"BE")))</f>
        <v/>
      </c>
      <c r="C17" s="28" t="str">
        <f>IF($A17="","",SUMIFS('📒 Jurnal'!$X$3:$X$502,'📒 Jurnal'!$B$3:$B$502,$A17))</f>
        <v/>
      </c>
      <c r="D17" s="24" t="str">
        <f>IF($A17="","",SUMIFS('📒 Jurnal'!$Y$3:$Y$502,'📒 Jurnal'!$B$3:$B$502,$A17))</f>
        <v/>
      </c>
      <c r="E17" s="23" t="str">
        <f>IF($A17="","",IFERROR(COUNTIFS('📒 Jurnal'!$B$3:$B$502,$A17,'📒 Jurnal'!$Z$3:$Z$502,"Win")/(COUNTIFS('📒 Jurnal'!$B$3:$B$502,$A17,'📒 Jurnal'!$Z$3:$Z$502,"Win")+COUNTIFS('📒 Jurnal'!$B$3:$B$502,$A17,'📒 Jurnal'!$Z$3:$Z$502,"Loss")+COUNTIFS('📒 Jurnal'!$B$3:$B$502,$A17,'📒 Jurnal'!$Z$3:$Z$502,"BE")),""))</f>
        <v/>
      </c>
      <c r="F17" s="25" t="str">
        <f>IF($A17="","",IF($B17=0,"—",IF(OR($C17&lt;=-'⚙️ Setelan'!$B$5,$B17&gt;'⚙️ Setelan'!$B$6,COUNTIFS('📒 Jurnal'!$B$3:$B$502,$A17,'📒 Jurnal'!$AL$3:$AL$502,"⚠️ Revenge")&gt;0),"🔴 LANGGAR","✅ Aman")))</f>
        <v/>
      </c>
      <c r="G17" s="45" t="str">
        <f>IF($A17="","",SUM($D$3:$D17))</f>
        <v/>
      </c>
      <c r="H17" s="45" t="str">
        <f>IF($A17="","",MAX($G$3:$G17))</f>
        <v/>
      </c>
      <c r="I17" s="45" t="str">
        <f t="shared" si="0"/>
        <v/>
      </c>
    </row>
    <row r="18" spans="2:9">
      <c r="B18" s="25" t="str">
        <f>IF($A18="","",(COUNTIFS('📒 Jurnal'!$B$3:$B$502,$A18,'📒 Jurnal'!$Z$3:$Z$502,"Win")+COUNTIFS('📒 Jurnal'!$B$3:$B$502,$A18,'📒 Jurnal'!$Z$3:$Z$502,"Loss")+COUNTIFS('📒 Jurnal'!$B$3:$B$502,$A18,'📒 Jurnal'!$Z$3:$Z$502,"BE")))</f>
        <v/>
      </c>
      <c r="C18" s="28" t="str">
        <f>IF($A18="","",SUMIFS('📒 Jurnal'!$X$3:$X$502,'📒 Jurnal'!$B$3:$B$502,$A18))</f>
        <v/>
      </c>
      <c r="D18" s="24" t="str">
        <f>IF($A18="","",SUMIFS('📒 Jurnal'!$Y$3:$Y$502,'📒 Jurnal'!$B$3:$B$502,$A18))</f>
        <v/>
      </c>
      <c r="E18" s="23" t="str">
        <f>IF($A18="","",IFERROR(COUNTIFS('📒 Jurnal'!$B$3:$B$502,$A18,'📒 Jurnal'!$Z$3:$Z$502,"Win")/(COUNTIFS('📒 Jurnal'!$B$3:$B$502,$A18,'📒 Jurnal'!$Z$3:$Z$502,"Win")+COUNTIFS('📒 Jurnal'!$B$3:$B$502,$A18,'📒 Jurnal'!$Z$3:$Z$502,"Loss")+COUNTIFS('📒 Jurnal'!$B$3:$B$502,$A18,'📒 Jurnal'!$Z$3:$Z$502,"BE")),""))</f>
        <v/>
      </c>
      <c r="F18" s="25" t="str">
        <f>IF($A18="","",IF($B18=0,"—",IF(OR($C18&lt;=-'⚙️ Setelan'!$B$5,$B18&gt;'⚙️ Setelan'!$B$6,COUNTIFS('📒 Jurnal'!$B$3:$B$502,$A18,'📒 Jurnal'!$AL$3:$AL$502,"⚠️ Revenge")&gt;0),"🔴 LANGGAR","✅ Aman")))</f>
        <v/>
      </c>
      <c r="G18" s="45" t="str">
        <f>IF($A18="","",SUM($D$3:$D18))</f>
        <v/>
      </c>
      <c r="H18" s="45" t="str">
        <f>IF($A18="","",MAX($G$3:$G18))</f>
        <v/>
      </c>
      <c r="I18" s="45" t="str">
        <f t="shared" si="0"/>
        <v/>
      </c>
    </row>
    <row r="19" spans="2:9">
      <c r="B19" s="25" t="str">
        <f>IF($A19="","",(COUNTIFS('📒 Jurnal'!$B$3:$B$502,$A19,'📒 Jurnal'!$Z$3:$Z$502,"Win")+COUNTIFS('📒 Jurnal'!$B$3:$B$502,$A19,'📒 Jurnal'!$Z$3:$Z$502,"Loss")+COUNTIFS('📒 Jurnal'!$B$3:$B$502,$A19,'📒 Jurnal'!$Z$3:$Z$502,"BE")))</f>
        <v/>
      </c>
      <c r="C19" s="28" t="str">
        <f>IF($A19="","",SUMIFS('📒 Jurnal'!$X$3:$X$502,'📒 Jurnal'!$B$3:$B$502,$A19))</f>
        <v/>
      </c>
      <c r="D19" s="24" t="str">
        <f>IF($A19="","",SUMIFS('📒 Jurnal'!$Y$3:$Y$502,'📒 Jurnal'!$B$3:$B$502,$A19))</f>
        <v/>
      </c>
      <c r="E19" s="23" t="str">
        <f>IF($A19="","",IFERROR(COUNTIFS('📒 Jurnal'!$B$3:$B$502,$A19,'📒 Jurnal'!$Z$3:$Z$502,"Win")/(COUNTIFS('📒 Jurnal'!$B$3:$B$502,$A19,'📒 Jurnal'!$Z$3:$Z$502,"Win")+COUNTIFS('📒 Jurnal'!$B$3:$B$502,$A19,'📒 Jurnal'!$Z$3:$Z$502,"Loss")+COUNTIFS('📒 Jurnal'!$B$3:$B$502,$A19,'📒 Jurnal'!$Z$3:$Z$502,"BE")),""))</f>
        <v/>
      </c>
      <c r="F19" s="25" t="str">
        <f>IF($A19="","",IF($B19=0,"—",IF(OR($C19&lt;=-'⚙️ Setelan'!$B$5,$B19&gt;'⚙️ Setelan'!$B$6,COUNTIFS('📒 Jurnal'!$B$3:$B$502,$A19,'📒 Jurnal'!$AL$3:$AL$502,"⚠️ Revenge")&gt;0),"🔴 LANGGAR","✅ Aman")))</f>
        <v/>
      </c>
      <c r="G19" s="45" t="str">
        <f>IF($A19="","",SUM($D$3:$D19))</f>
        <v/>
      </c>
      <c r="H19" s="45" t="str">
        <f>IF($A19="","",MAX($G$3:$G19))</f>
        <v/>
      </c>
      <c r="I19" s="45" t="str">
        <f t="shared" si="0"/>
        <v/>
      </c>
    </row>
    <row r="20" spans="2:9">
      <c r="B20" s="25" t="str">
        <f>IF($A20="","",(COUNTIFS('📒 Jurnal'!$B$3:$B$502,$A20,'📒 Jurnal'!$Z$3:$Z$502,"Win")+COUNTIFS('📒 Jurnal'!$B$3:$B$502,$A20,'📒 Jurnal'!$Z$3:$Z$502,"Loss")+COUNTIFS('📒 Jurnal'!$B$3:$B$502,$A20,'📒 Jurnal'!$Z$3:$Z$502,"BE")))</f>
        <v/>
      </c>
      <c r="C20" s="28" t="str">
        <f>IF($A20="","",SUMIFS('📒 Jurnal'!$X$3:$X$502,'📒 Jurnal'!$B$3:$B$502,$A20))</f>
        <v/>
      </c>
      <c r="D20" s="24" t="str">
        <f>IF($A20="","",SUMIFS('📒 Jurnal'!$Y$3:$Y$502,'📒 Jurnal'!$B$3:$B$502,$A20))</f>
        <v/>
      </c>
      <c r="E20" s="23" t="str">
        <f>IF($A20="","",IFERROR(COUNTIFS('📒 Jurnal'!$B$3:$B$502,$A20,'📒 Jurnal'!$Z$3:$Z$502,"Win")/(COUNTIFS('📒 Jurnal'!$B$3:$B$502,$A20,'📒 Jurnal'!$Z$3:$Z$502,"Win")+COUNTIFS('📒 Jurnal'!$B$3:$B$502,$A20,'📒 Jurnal'!$Z$3:$Z$502,"Loss")+COUNTIFS('📒 Jurnal'!$B$3:$B$502,$A20,'📒 Jurnal'!$Z$3:$Z$502,"BE")),""))</f>
        <v/>
      </c>
      <c r="F20" s="25" t="str">
        <f>IF($A20="","",IF($B20=0,"—",IF(OR($C20&lt;=-'⚙️ Setelan'!$B$5,$B20&gt;'⚙️ Setelan'!$B$6,COUNTIFS('📒 Jurnal'!$B$3:$B$502,$A20,'📒 Jurnal'!$AL$3:$AL$502,"⚠️ Revenge")&gt;0),"🔴 LANGGAR","✅ Aman")))</f>
        <v/>
      </c>
      <c r="G20" s="45" t="str">
        <f>IF($A20="","",SUM($D$3:$D20))</f>
        <v/>
      </c>
      <c r="H20" s="45" t="str">
        <f>IF($A20="","",MAX($G$3:$G20))</f>
        <v/>
      </c>
      <c r="I20" s="45" t="str">
        <f t="shared" si="0"/>
        <v/>
      </c>
    </row>
    <row r="21" spans="2:9">
      <c r="B21" s="25" t="str">
        <f>IF($A21="","",(COUNTIFS('📒 Jurnal'!$B$3:$B$502,$A21,'📒 Jurnal'!$Z$3:$Z$502,"Win")+COUNTIFS('📒 Jurnal'!$B$3:$B$502,$A21,'📒 Jurnal'!$Z$3:$Z$502,"Loss")+COUNTIFS('📒 Jurnal'!$B$3:$B$502,$A21,'📒 Jurnal'!$Z$3:$Z$502,"BE")))</f>
        <v/>
      </c>
      <c r="C21" s="28" t="str">
        <f>IF($A21="","",SUMIFS('📒 Jurnal'!$X$3:$X$502,'📒 Jurnal'!$B$3:$B$502,$A21))</f>
        <v/>
      </c>
      <c r="D21" s="24" t="str">
        <f>IF($A21="","",SUMIFS('📒 Jurnal'!$Y$3:$Y$502,'📒 Jurnal'!$B$3:$B$502,$A21))</f>
        <v/>
      </c>
      <c r="E21" s="23" t="str">
        <f>IF($A21="","",IFERROR(COUNTIFS('📒 Jurnal'!$B$3:$B$502,$A21,'📒 Jurnal'!$Z$3:$Z$502,"Win")/(COUNTIFS('📒 Jurnal'!$B$3:$B$502,$A21,'📒 Jurnal'!$Z$3:$Z$502,"Win")+COUNTIFS('📒 Jurnal'!$B$3:$B$502,$A21,'📒 Jurnal'!$Z$3:$Z$502,"Loss")+COUNTIFS('📒 Jurnal'!$B$3:$B$502,$A21,'📒 Jurnal'!$Z$3:$Z$502,"BE")),""))</f>
        <v/>
      </c>
      <c r="F21" s="25" t="str">
        <f>IF($A21="","",IF($B21=0,"—",IF(OR($C21&lt;=-'⚙️ Setelan'!$B$5,$B21&gt;'⚙️ Setelan'!$B$6,COUNTIFS('📒 Jurnal'!$B$3:$B$502,$A21,'📒 Jurnal'!$AL$3:$AL$502,"⚠️ Revenge")&gt;0),"🔴 LANGGAR","✅ Aman")))</f>
        <v/>
      </c>
      <c r="G21" s="45" t="str">
        <f>IF($A21="","",SUM($D$3:$D21))</f>
        <v/>
      </c>
      <c r="H21" s="45" t="str">
        <f>IF($A21="","",MAX($G$3:$G21))</f>
        <v/>
      </c>
      <c r="I21" s="45" t="str">
        <f t="shared" si="0"/>
        <v/>
      </c>
    </row>
    <row r="22" spans="2:9">
      <c r="B22" s="25" t="str">
        <f>IF($A22="","",(COUNTIFS('📒 Jurnal'!$B$3:$B$502,$A22,'📒 Jurnal'!$Z$3:$Z$502,"Win")+COUNTIFS('📒 Jurnal'!$B$3:$B$502,$A22,'📒 Jurnal'!$Z$3:$Z$502,"Loss")+COUNTIFS('📒 Jurnal'!$B$3:$B$502,$A22,'📒 Jurnal'!$Z$3:$Z$502,"BE")))</f>
        <v/>
      </c>
      <c r="C22" s="28" t="str">
        <f>IF($A22="","",SUMIFS('📒 Jurnal'!$X$3:$X$502,'📒 Jurnal'!$B$3:$B$502,$A22))</f>
        <v/>
      </c>
      <c r="D22" s="24" t="str">
        <f>IF($A22="","",SUMIFS('📒 Jurnal'!$Y$3:$Y$502,'📒 Jurnal'!$B$3:$B$502,$A22))</f>
        <v/>
      </c>
      <c r="E22" s="23" t="str">
        <f>IF($A22="","",IFERROR(COUNTIFS('📒 Jurnal'!$B$3:$B$502,$A22,'📒 Jurnal'!$Z$3:$Z$502,"Win")/(COUNTIFS('📒 Jurnal'!$B$3:$B$502,$A22,'📒 Jurnal'!$Z$3:$Z$502,"Win")+COUNTIFS('📒 Jurnal'!$B$3:$B$502,$A22,'📒 Jurnal'!$Z$3:$Z$502,"Loss")+COUNTIFS('📒 Jurnal'!$B$3:$B$502,$A22,'📒 Jurnal'!$Z$3:$Z$502,"BE")),""))</f>
        <v/>
      </c>
      <c r="F22" s="25" t="str">
        <f>IF($A22="","",IF($B22=0,"—",IF(OR($C22&lt;=-'⚙️ Setelan'!$B$5,$B22&gt;'⚙️ Setelan'!$B$6,COUNTIFS('📒 Jurnal'!$B$3:$B$502,$A22,'📒 Jurnal'!$AL$3:$AL$502,"⚠️ Revenge")&gt;0),"🔴 LANGGAR","✅ Aman")))</f>
        <v/>
      </c>
      <c r="G22" s="45" t="str">
        <f>IF($A22="","",SUM($D$3:$D22))</f>
        <v/>
      </c>
      <c r="H22" s="45" t="str">
        <f>IF($A22="","",MAX($G$3:$G22))</f>
        <v/>
      </c>
      <c r="I22" s="45" t="str">
        <f t="shared" si="0"/>
        <v/>
      </c>
    </row>
    <row r="23" spans="2:9">
      <c r="B23" s="25" t="str">
        <f>IF($A23="","",(COUNTIFS('📒 Jurnal'!$B$3:$B$502,$A23,'📒 Jurnal'!$Z$3:$Z$502,"Win")+COUNTIFS('📒 Jurnal'!$B$3:$B$502,$A23,'📒 Jurnal'!$Z$3:$Z$502,"Loss")+COUNTIFS('📒 Jurnal'!$B$3:$B$502,$A23,'📒 Jurnal'!$Z$3:$Z$502,"BE")))</f>
        <v/>
      </c>
      <c r="C23" s="28" t="str">
        <f>IF($A23="","",SUMIFS('📒 Jurnal'!$X$3:$X$502,'📒 Jurnal'!$B$3:$B$502,$A23))</f>
        <v/>
      </c>
      <c r="D23" s="24" t="str">
        <f>IF($A23="","",SUMIFS('📒 Jurnal'!$Y$3:$Y$502,'📒 Jurnal'!$B$3:$B$502,$A23))</f>
        <v/>
      </c>
      <c r="E23" s="23" t="str">
        <f>IF($A23="","",IFERROR(COUNTIFS('📒 Jurnal'!$B$3:$B$502,$A23,'📒 Jurnal'!$Z$3:$Z$502,"Win")/(COUNTIFS('📒 Jurnal'!$B$3:$B$502,$A23,'📒 Jurnal'!$Z$3:$Z$502,"Win")+COUNTIFS('📒 Jurnal'!$B$3:$B$502,$A23,'📒 Jurnal'!$Z$3:$Z$502,"Loss")+COUNTIFS('📒 Jurnal'!$B$3:$B$502,$A23,'📒 Jurnal'!$Z$3:$Z$502,"BE")),""))</f>
        <v/>
      </c>
      <c r="F23" s="25" t="str">
        <f>IF($A23="","",IF($B23=0,"—",IF(OR($C23&lt;=-'⚙️ Setelan'!$B$5,$B23&gt;'⚙️ Setelan'!$B$6,COUNTIFS('📒 Jurnal'!$B$3:$B$502,$A23,'📒 Jurnal'!$AL$3:$AL$502,"⚠️ Revenge")&gt;0),"🔴 LANGGAR","✅ Aman")))</f>
        <v/>
      </c>
      <c r="G23" s="45" t="str">
        <f>IF($A23="","",SUM($D$3:$D23))</f>
        <v/>
      </c>
      <c r="H23" s="45" t="str">
        <f>IF($A23="","",MAX($G$3:$G23))</f>
        <v/>
      </c>
      <c r="I23" s="45" t="str">
        <f t="shared" si="0"/>
        <v/>
      </c>
    </row>
    <row r="24" spans="2:9">
      <c r="B24" s="25" t="str">
        <f>IF($A24="","",(COUNTIFS('📒 Jurnal'!$B$3:$B$502,$A24,'📒 Jurnal'!$Z$3:$Z$502,"Win")+COUNTIFS('📒 Jurnal'!$B$3:$B$502,$A24,'📒 Jurnal'!$Z$3:$Z$502,"Loss")+COUNTIFS('📒 Jurnal'!$B$3:$B$502,$A24,'📒 Jurnal'!$Z$3:$Z$502,"BE")))</f>
        <v/>
      </c>
      <c r="C24" s="28" t="str">
        <f>IF($A24="","",SUMIFS('📒 Jurnal'!$X$3:$X$502,'📒 Jurnal'!$B$3:$B$502,$A24))</f>
        <v/>
      </c>
      <c r="D24" s="24" t="str">
        <f>IF($A24="","",SUMIFS('📒 Jurnal'!$Y$3:$Y$502,'📒 Jurnal'!$B$3:$B$502,$A24))</f>
        <v/>
      </c>
      <c r="E24" s="23" t="str">
        <f>IF($A24="","",IFERROR(COUNTIFS('📒 Jurnal'!$B$3:$B$502,$A24,'📒 Jurnal'!$Z$3:$Z$502,"Win")/(COUNTIFS('📒 Jurnal'!$B$3:$B$502,$A24,'📒 Jurnal'!$Z$3:$Z$502,"Win")+COUNTIFS('📒 Jurnal'!$B$3:$B$502,$A24,'📒 Jurnal'!$Z$3:$Z$502,"Loss")+COUNTIFS('📒 Jurnal'!$B$3:$B$502,$A24,'📒 Jurnal'!$Z$3:$Z$502,"BE")),""))</f>
        <v/>
      </c>
      <c r="F24" s="25" t="str">
        <f>IF($A24="","",IF($B24=0,"—",IF(OR($C24&lt;=-'⚙️ Setelan'!$B$5,$B24&gt;'⚙️ Setelan'!$B$6,COUNTIFS('📒 Jurnal'!$B$3:$B$502,$A24,'📒 Jurnal'!$AL$3:$AL$502,"⚠️ Revenge")&gt;0),"🔴 LANGGAR","✅ Aman")))</f>
        <v/>
      </c>
      <c r="G24" s="45" t="str">
        <f>IF($A24="","",SUM($D$3:$D24))</f>
        <v/>
      </c>
      <c r="H24" s="45" t="str">
        <f>IF($A24="","",MAX($G$3:$G24))</f>
        <v/>
      </c>
      <c r="I24" s="45" t="str">
        <f t="shared" si="0"/>
        <v/>
      </c>
    </row>
    <row r="25" spans="2:9">
      <c r="B25" s="25" t="str">
        <f>IF($A25="","",(COUNTIFS('📒 Jurnal'!$B$3:$B$502,$A25,'📒 Jurnal'!$Z$3:$Z$502,"Win")+COUNTIFS('📒 Jurnal'!$B$3:$B$502,$A25,'📒 Jurnal'!$Z$3:$Z$502,"Loss")+COUNTIFS('📒 Jurnal'!$B$3:$B$502,$A25,'📒 Jurnal'!$Z$3:$Z$502,"BE")))</f>
        <v/>
      </c>
      <c r="C25" s="28" t="str">
        <f>IF($A25="","",SUMIFS('📒 Jurnal'!$X$3:$X$502,'📒 Jurnal'!$B$3:$B$502,$A25))</f>
        <v/>
      </c>
      <c r="D25" s="24" t="str">
        <f>IF($A25="","",SUMIFS('📒 Jurnal'!$Y$3:$Y$502,'📒 Jurnal'!$B$3:$B$502,$A25))</f>
        <v/>
      </c>
      <c r="E25" s="23" t="str">
        <f>IF($A25="","",IFERROR(COUNTIFS('📒 Jurnal'!$B$3:$B$502,$A25,'📒 Jurnal'!$Z$3:$Z$502,"Win")/(COUNTIFS('📒 Jurnal'!$B$3:$B$502,$A25,'📒 Jurnal'!$Z$3:$Z$502,"Win")+COUNTIFS('📒 Jurnal'!$B$3:$B$502,$A25,'📒 Jurnal'!$Z$3:$Z$502,"Loss")+COUNTIFS('📒 Jurnal'!$B$3:$B$502,$A25,'📒 Jurnal'!$Z$3:$Z$502,"BE")),""))</f>
        <v/>
      </c>
      <c r="F25" s="25" t="str">
        <f>IF($A25="","",IF($B25=0,"—",IF(OR($C25&lt;=-'⚙️ Setelan'!$B$5,$B25&gt;'⚙️ Setelan'!$B$6,COUNTIFS('📒 Jurnal'!$B$3:$B$502,$A25,'📒 Jurnal'!$AL$3:$AL$502,"⚠️ Revenge")&gt;0),"🔴 LANGGAR","✅ Aman")))</f>
        <v/>
      </c>
      <c r="G25" s="45" t="str">
        <f>IF($A25="","",SUM($D$3:$D25))</f>
        <v/>
      </c>
      <c r="H25" s="45" t="str">
        <f>IF($A25="","",MAX($G$3:$G25))</f>
        <v/>
      </c>
      <c r="I25" s="45" t="str">
        <f t="shared" si="0"/>
        <v/>
      </c>
    </row>
    <row r="26" spans="2:9">
      <c r="B26" s="25" t="str">
        <f>IF($A26="","",(COUNTIFS('📒 Jurnal'!$B$3:$B$502,$A26,'📒 Jurnal'!$Z$3:$Z$502,"Win")+COUNTIFS('📒 Jurnal'!$B$3:$B$502,$A26,'📒 Jurnal'!$Z$3:$Z$502,"Loss")+COUNTIFS('📒 Jurnal'!$B$3:$B$502,$A26,'📒 Jurnal'!$Z$3:$Z$502,"BE")))</f>
        <v/>
      </c>
      <c r="C26" s="28" t="str">
        <f>IF($A26="","",SUMIFS('📒 Jurnal'!$X$3:$X$502,'📒 Jurnal'!$B$3:$B$502,$A26))</f>
        <v/>
      </c>
      <c r="D26" s="24" t="str">
        <f>IF($A26="","",SUMIFS('📒 Jurnal'!$Y$3:$Y$502,'📒 Jurnal'!$B$3:$B$502,$A26))</f>
        <v/>
      </c>
      <c r="E26" s="23" t="str">
        <f>IF($A26="","",IFERROR(COUNTIFS('📒 Jurnal'!$B$3:$B$502,$A26,'📒 Jurnal'!$Z$3:$Z$502,"Win")/(COUNTIFS('📒 Jurnal'!$B$3:$B$502,$A26,'📒 Jurnal'!$Z$3:$Z$502,"Win")+COUNTIFS('📒 Jurnal'!$B$3:$B$502,$A26,'📒 Jurnal'!$Z$3:$Z$502,"Loss")+COUNTIFS('📒 Jurnal'!$B$3:$B$502,$A26,'📒 Jurnal'!$Z$3:$Z$502,"BE")),""))</f>
        <v/>
      </c>
      <c r="F26" s="25" t="str">
        <f>IF($A26="","",IF($B26=0,"—",IF(OR($C26&lt;=-'⚙️ Setelan'!$B$5,$B26&gt;'⚙️ Setelan'!$B$6,COUNTIFS('📒 Jurnal'!$B$3:$B$502,$A26,'📒 Jurnal'!$AL$3:$AL$502,"⚠️ Revenge")&gt;0),"🔴 LANGGAR","✅ Aman")))</f>
        <v/>
      </c>
      <c r="G26" s="45" t="str">
        <f>IF($A26="","",SUM($D$3:$D26))</f>
        <v/>
      </c>
      <c r="H26" s="45" t="str">
        <f>IF($A26="","",MAX($G$3:$G26))</f>
        <v/>
      </c>
      <c r="I26" s="45" t="str">
        <f t="shared" si="0"/>
        <v/>
      </c>
    </row>
    <row r="27" spans="2:9">
      <c r="B27" s="25" t="str">
        <f>IF($A27="","",(COUNTIFS('📒 Jurnal'!$B$3:$B$502,$A27,'📒 Jurnal'!$Z$3:$Z$502,"Win")+COUNTIFS('📒 Jurnal'!$B$3:$B$502,$A27,'📒 Jurnal'!$Z$3:$Z$502,"Loss")+COUNTIFS('📒 Jurnal'!$B$3:$B$502,$A27,'📒 Jurnal'!$Z$3:$Z$502,"BE")))</f>
        <v/>
      </c>
      <c r="C27" s="28" t="str">
        <f>IF($A27="","",SUMIFS('📒 Jurnal'!$X$3:$X$502,'📒 Jurnal'!$B$3:$B$502,$A27))</f>
        <v/>
      </c>
      <c r="D27" s="24" t="str">
        <f>IF($A27="","",SUMIFS('📒 Jurnal'!$Y$3:$Y$502,'📒 Jurnal'!$B$3:$B$502,$A27))</f>
        <v/>
      </c>
      <c r="E27" s="23" t="str">
        <f>IF($A27="","",IFERROR(COUNTIFS('📒 Jurnal'!$B$3:$B$502,$A27,'📒 Jurnal'!$Z$3:$Z$502,"Win")/(COUNTIFS('📒 Jurnal'!$B$3:$B$502,$A27,'📒 Jurnal'!$Z$3:$Z$502,"Win")+COUNTIFS('📒 Jurnal'!$B$3:$B$502,$A27,'📒 Jurnal'!$Z$3:$Z$502,"Loss")+COUNTIFS('📒 Jurnal'!$B$3:$B$502,$A27,'📒 Jurnal'!$Z$3:$Z$502,"BE")),""))</f>
        <v/>
      </c>
      <c r="F27" s="25" t="str">
        <f>IF($A27="","",IF($B27=0,"—",IF(OR($C27&lt;=-'⚙️ Setelan'!$B$5,$B27&gt;'⚙️ Setelan'!$B$6,COUNTIFS('📒 Jurnal'!$B$3:$B$502,$A27,'📒 Jurnal'!$AL$3:$AL$502,"⚠️ Revenge")&gt;0),"🔴 LANGGAR","✅ Aman")))</f>
        <v/>
      </c>
      <c r="G27" s="45" t="str">
        <f>IF($A27="","",SUM($D$3:$D27))</f>
        <v/>
      </c>
      <c r="H27" s="45" t="str">
        <f>IF($A27="","",MAX($G$3:$G27))</f>
        <v/>
      </c>
      <c r="I27" s="45" t="str">
        <f t="shared" si="0"/>
        <v/>
      </c>
    </row>
    <row r="28" spans="2:9">
      <c r="B28" s="25" t="str">
        <f>IF($A28="","",(COUNTIFS('📒 Jurnal'!$B$3:$B$502,$A28,'📒 Jurnal'!$Z$3:$Z$502,"Win")+COUNTIFS('📒 Jurnal'!$B$3:$B$502,$A28,'📒 Jurnal'!$Z$3:$Z$502,"Loss")+COUNTIFS('📒 Jurnal'!$B$3:$B$502,$A28,'📒 Jurnal'!$Z$3:$Z$502,"BE")))</f>
        <v/>
      </c>
      <c r="C28" s="28" t="str">
        <f>IF($A28="","",SUMIFS('📒 Jurnal'!$X$3:$X$502,'📒 Jurnal'!$B$3:$B$502,$A28))</f>
        <v/>
      </c>
      <c r="D28" s="24" t="str">
        <f>IF($A28="","",SUMIFS('📒 Jurnal'!$Y$3:$Y$502,'📒 Jurnal'!$B$3:$B$502,$A28))</f>
        <v/>
      </c>
      <c r="E28" s="23" t="str">
        <f>IF($A28="","",IFERROR(COUNTIFS('📒 Jurnal'!$B$3:$B$502,$A28,'📒 Jurnal'!$Z$3:$Z$502,"Win")/(COUNTIFS('📒 Jurnal'!$B$3:$B$502,$A28,'📒 Jurnal'!$Z$3:$Z$502,"Win")+COUNTIFS('📒 Jurnal'!$B$3:$B$502,$A28,'📒 Jurnal'!$Z$3:$Z$502,"Loss")+COUNTIFS('📒 Jurnal'!$B$3:$B$502,$A28,'📒 Jurnal'!$Z$3:$Z$502,"BE")),""))</f>
        <v/>
      </c>
      <c r="F28" s="25" t="str">
        <f>IF($A28="","",IF($B28=0,"—",IF(OR($C28&lt;=-'⚙️ Setelan'!$B$5,$B28&gt;'⚙️ Setelan'!$B$6,COUNTIFS('📒 Jurnal'!$B$3:$B$502,$A28,'📒 Jurnal'!$AL$3:$AL$502,"⚠️ Revenge")&gt;0),"🔴 LANGGAR","✅ Aman")))</f>
        <v/>
      </c>
      <c r="G28" s="45" t="str">
        <f>IF($A28="","",SUM($D$3:$D28))</f>
        <v/>
      </c>
      <c r="H28" s="45" t="str">
        <f>IF($A28="","",MAX($G$3:$G28))</f>
        <v/>
      </c>
      <c r="I28" s="45" t="str">
        <f t="shared" si="0"/>
        <v/>
      </c>
    </row>
    <row r="29" spans="2:9">
      <c r="B29" s="25" t="str">
        <f>IF($A29="","",(COUNTIFS('📒 Jurnal'!$B$3:$B$502,$A29,'📒 Jurnal'!$Z$3:$Z$502,"Win")+COUNTIFS('📒 Jurnal'!$B$3:$B$502,$A29,'📒 Jurnal'!$Z$3:$Z$502,"Loss")+COUNTIFS('📒 Jurnal'!$B$3:$B$502,$A29,'📒 Jurnal'!$Z$3:$Z$502,"BE")))</f>
        <v/>
      </c>
      <c r="C29" s="28" t="str">
        <f>IF($A29="","",SUMIFS('📒 Jurnal'!$X$3:$X$502,'📒 Jurnal'!$B$3:$B$502,$A29))</f>
        <v/>
      </c>
      <c r="D29" s="24" t="str">
        <f>IF($A29="","",SUMIFS('📒 Jurnal'!$Y$3:$Y$502,'📒 Jurnal'!$B$3:$B$502,$A29))</f>
        <v/>
      </c>
      <c r="E29" s="23" t="str">
        <f>IF($A29="","",IFERROR(COUNTIFS('📒 Jurnal'!$B$3:$B$502,$A29,'📒 Jurnal'!$Z$3:$Z$502,"Win")/(COUNTIFS('📒 Jurnal'!$B$3:$B$502,$A29,'📒 Jurnal'!$Z$3:$Z$502,"Win")+COUNTIFS('📒 Jurnal'!$B$3:$B$502,$A29,'📒 Jurnal'!$Z$3:$Z$502,"Loss")+COUNTIFS('📒 Jurnal'!$B$3:$B$502,$A29,'📒 Jurnal'!$Z$3:$Z$502,"BE")),""))</f>
        <v/>
      </c>
      <c r="F29" s="25" t="str">
        <f>IF($A29="","",IF($B29=0,"—",IF(OR($C29&lt;=-'⚙️ Setelan'!$B$5,$B29&gt;'⚙️ Setelan'!$B$6,COUNTIFS('📒 Jurnal'!$B$3:$B$502,$A29,'📒 Jurnal'!$AL$3:$AL$502,"⚠️ Revenge")&gt;0),"🔴 LANGGAR","✅ Aman")))</f>
        <v/>
      </c>
      <c r="G29" s="45" t="str">
        <f>IF($A29="","",SUM($D$3:$D29))</f>
        <v/>
      </c>
      <c r="H29" s="45" t="str">
        <f>IF($A29="","",MAX($G$3:$G29))</f>
        <v/>
      </c>
      <c r="I29" s="45" t="str">
        <f t="shared" si="0"/>
        <v/>
      </c>
    </row>
    <row r="30" spans="2:9">
      <c r="B30" s="25" t="str">
        <f>IF($A30="","",(COUNTIFS('📒 Jurnal'!$B$3:$B$502,$A30,'📒 Jurnal'!$Z$3:$Z$502,"Win")+COUNTIFS('📒 Jurnal'!$B$3:$B$502,$A30,'📒 Jurnal'!$Z$3:$Z$502,"Loss")+COUNTIFS('📒 Jurnal'!$B$3:$B$502,$A30,'📒 Jurnal'!$Z$3:$Z$502,"BE")))</f>
        <v/>
      </c>
      <c r="C30" s="28" t="str">
        <f>IF($A30="","",SUMIFS('📒 Jurnal'!$X$3:$X$502,'📒 Jurnal'!$B$3:$B$502,$A30))</f>
        <v/>
      </c>
      <c r="D30" s="24" t="str">
        <f>IF($A30="","",SUMIFS('📒 Jurnal'!$Y$3:$Y$502,'📒 Jurnal'!$B$3:$B$502,$A30))</f>
        <v/>
      </c>
      <c r="E30" s="23" t="str">
        <f>IF($A30="","",IFERROR(COUNTIFS('📒 Jurnal'!$B$3:$B$502,$A30,'📒 Jurnal'!$Z$3:$Z$502,"Win")/(COUNTIFS('📒 Jurnal'!$B$3:$B$502,$A30,'📒 Jurnal'!$Z$3:$Z$502,"Win")+COUNTIFS('📒 Jurnal'!$B$3:$B$502,$A30,'📒 Jurnal'!$Z$3:$Z$502,"Loss")+COUNTIFS('📒 Jurnal'!$B$3:$B$502,$A30,'📒 Jurnal'!$Z$3:$Z$502,"BE")),""))</f>
        <v/>
      </c>
      <c r="F30" s="25" t="str">
        <f>IF($A30="","",IF($B30=0,"—",IF(OR($C30&lt;=-'⚙️ Setelan'!$B$5,$B30&gt;'⚙️ Setelan'!$B$6,COUNTIFS('📒 Jurnal'!$B$3:$B$502,$A30,'📒 Jurnal'!$AL$3:$AL$502,"⚠️ Revenge")&gt;0),"🔴 LANGGAR","✅ Aman")))</f>
        <v/>
      </c>
      <c r="G30" s="45" t="str">
        <f>IF($A30="","",SUM($D$3:$D30))</f>
        <v/>
      </c>
      <c r="H30" s="45" t="str">
        <f>IF($A30="","",MAX($G$3:$G30))</f>
        <v/>
      </c>
      <c r="I30" s="45" t="str">
        <f t="shared" si="0"/>
        <v/>
      </c>
    </row>
    <row r="31" spans="2:9">
      <c r="B31" s="25" t="str">
        <f>IF($A31="","",(COUNTIFS('📒 Jurnal'!$B$3:$B$502,$A31,'📒 Jurnal'!$Z$3:$Z$502,"Win")+COUNTIFS('📒 Jurnal'!$B$3:$B$502,$A31,'📒 Jurnal'!$Z$3:$Z$502,"Loss")+COUNTIFS('📒 Jurnal'!$B$3:$B$502,$A31,'📒 Jurnal'!$Z$3:$Z$502,"BE")))</f>
        <v/>
      </c>
      <c r="C31" s="28" t="str">
        <f>IF($A31="","",SUMIFS('📒 Jurnal'!$X$3:$X$502,'📒 Jurnal'!$B$3:$B$502,$A31))</f>
        <v/>
      </c>
      <c r="D31" s="24" t="str">
        <f>IF($A31="","",SUMIFS('📒 Jurnal'!$Y$3:$Y$502,'📒 Jurnal'!$B$3:$B$502,$A31))</f>
        <v/>
      </c>
      <c r="E31" s="23" t="str">
        <f>IF($A31="","",IFERROR(COUNTIFS('📒 Jurnal'!$B$3:$B$502,$A31,'📒 Jurnal'!$Z$3:$Z$502,"Win")/(COUNTIFS('📒 Jurnal'!$B$3:$B$502,$A31,'📒 Jurnal'!$Z$3:$Z$502,"Win")+COUNTIFS('📒 Jurnal'!$B$3:$B$502,$A31,'📒 Jurnal'!$Z$3:$Z$502,"Loss")+COUNTIFS('📒 Jurnal'!$B$3:$B$502,$A31,'📒 Jurnal'!$Z$3:$Z$502,"BE")),""))</f>
        <v/>
      </c>
      <c r="F31" s="25" t="str">
        <f>IF($A31="","",IF($B31=0,"—",IF(OR($C31&lt;=-'⚙️ Setelan'!$B$5,$B31&gt;'⚙️ Setelan'!$B$6,COUNTIFS('📒 Jurnal'!$B$3:$B$502,$A31,'📒 Jurnal'!$AL$3:$AL$502,"⚠️ Revenge")&gt;0),"🔴 LANGGAR","✅ Aman")))</f>
        <v/>
      </c>
      <c r="G31" s="45" t="str">
        <f>IF($A31="","",SUM($D$3:$D31))</f>
        <v/>
      </c>
      <c r="H31" s="45" t="str">
        <f>IF($A31="","",MAX($G$3:$G31))</f>
        <v/>
      </c>
      <c r="I31" s="45" t="str">
        <f t="shared" si="0"/>
        <v/>
      </c>
    </row>
    <row r="32" spans="2:9">
      <c r="B32" s="25" t="str">
        <f>IF($A32="","",(COUNTIFS('📒 Jurnal'!$B$3:$B$502,$A32,'📒 Jurnal'!$Z$3:$Z$502,"Win")+COUNTIFS('📒 Jurnal'!$B$3:$B$502,$A32,'📒 Jurnal'!$Z$3:$Z$502,"Loss")+COUNTIFS('📒 Jurnal'!$B$3:$B$502,$A32,'📒 Jurnal'!$Z$3:$Z$502,"BE")))</f>
        <v/>
      </c>
      <c r="C32" s="28" t="str">
        <f>IF($A32="","",SUMIFS('📒 Jurnal'!$X$3:$X$502,'📒 Jurnal'!$B$3:$B$502,$A32))</f>
        <v/>
      </c>
      <c r="D32" s="24" t="str">
        <f>IF($A32="","",SUMIFS('📒 Jurnal'!$Y$3:$Y$502,'📒 Jurnal'!$B$3:$B$502,$A32))</f>
        <v/>
      </c>
      <c r="E32" s="23" t="str">
        <f>IF($A32="","",IFERROR(COUNTIFS('📒 Jurnal'!$B$3:$B$502,$A32,'📒 Jurnal'!$Z$3:$Z$502,"Win")/(COUNTIFS('📒 Jurnal'!$B$3:$B$502,$A32,'📒 Jurnal'!$Z$3:$Z$502,"Win")+COUNTIFS('📒 Jurnal'!$B$3:$B$502,$A32,'📒 Jurnal'!$Z$3:$Z$502,"Loss")+COUNTIFS('📒 Jurnal'!$B$3:$B$502,$A32,'📒 Jurnal'!$Z$3:$Z$502,"BE")),""))</f>
        <v/>
      </c>
      <c r="F32" s="25" t="str">
        <f>IF($A32="","",IF($B32=0,"—",IF(OR($C32&lt;=-'⚙️ Setelan'!$B$5,$B32&gt;'⚙️ Setelan'!$B$6,COUNTIFS('📒 Jurnal'!$B$3:$B$502,$A32,'📒 Jurnal'!$AL$3:$AL$502,"⚠️ Revenge")&gt;0),"🔴 LANGGAR","✅ Aman")))</f>
        <v/>
      </c>
      <c r="G32" s="45" t="str">
        <f>IF($A32="","",SUM($D$3:$D32))</f>
        <v/>
      </c>
      <c r="H32" s="45" t="str">
        <f>IF($A32="","",MAX($G$3:$G32))</f>
        <v/>
      </c>
      <c r="I32" s="45" t="str">
        <f t="shared" si="0"/>
        <v/>
      </c>
    </row>
    <row r="33" spans="2:9">
      <c r="B33" s="25" t="str">
        <f>IF($A33="","",(COUNTIFS('📒 Jurnal'!$B$3:$B$502,$A33,'📒 Jurnal'!$Z$3:$Z$502,"Win")+COUNTIFS('📒 Jurnal'!$B$3:$B$502,$A33,'📒 Jurnal'!$Z$3:$Z$502,"Loss")+COUNTIFS('📒 Jurnal'!$B$3:$B$502,$A33,'📒 Jurnal'!$Z$3:$Z$502,"BE")))</f>
        <v/>
      </c>
      <c r="C33" s="28" t="str">
        <f>IF($A33="","",SUMIFS('📒 Jurnal'!$X$3:$X$502,'📒 Jurnal'!$B$3:$B$502,$A33))</f>
        <v/>
      </c>
      <c r="D33" s="24" t="str">
        <f>IF($A33="","",SUMIFS('📒 Jurnal'!$Y$3:$Y$502,'📒 Jurnal'!$B$3:$B$502,$A33))</f>
        <v/>
      </c>
      <c r="E33" s="23" t="str">
        <f>IF($A33="","",IFERROR(COUNTIFS('📒 Jurnal'!$B$3:$B$502,$A33,'📒 Jurnal'!$Z$3:$Z$502,"Win")/(COUNTIFS('📒 Jurnal'!$B$3:$B$502,$A33,'📒 Jurnal'!$Z$3:$Z$502,"Win")+COUNTIFS('📒 Jurnal'!$B$3:$B$502,$A33,'📒 Jurnal'!$Z$3:$Z$502,"Loss")+COUNTIFS('📒 Jurnal'!$B$3:$B$502,$A33,'📒 Jurnal'!$Z$3:$Z$502,"BE")),""))</f>
        <v/>
      </c>
      <c r="F33" s="25" t="str">
        <f>IF($A33="","",IF($B33=0,"—",IF(OR($C33&lt;=-'⚙️ Setelan'!$B$5,$B33&gt;'⚙️ Setelan'!$B$6,COUNTIFS('📒 Jurnal'!$B$3:$B$502,$A33,'📒 Jurnal'!$AL$3:$AL$502,"⚠️ Revenge")&gt;0),"🔴 LANGGAR","✅ Aman")))</f>
        <v/>
      </c>
      <c r="G33" s="45" t="str">
        <f>IF($A33="","",SUM($D$3:$D33))</f>
        <v/>
      </c>
      <c r="H33" s="45" t="str">
        <f>IF($A33="","",MAX($G$3:$G33))</f>
        <v/>
      </c>
      <c r="I33" s="45" t="str">
        <f t="shared" si="0"/>
        <v/>
      </c>
    </row>
    <row r="34" spans="2:9">
      <c r="B34" s="25" t="str">
        <f>IF($A34="","",(COUNTIFS('📒 Jurnal'!$B$3:$B$502,$A34,'📒 Jurnal'!$Z$3:$Z$502,"Win")+COUNTIFS('📒 Jurnal'!$B$3:$B$502,$A34,'📒 Jurnal'!$Z$3:$Z$502,"Loss")+COUNTIFS('📒 Jurnal'!$B$3:$B$502,$A34,'📒 Jurnal'!$Z$3:$Z$502,"BE")))</f>
        <v/>
      </c>
      <c r="C34" s="28" t="str">
        <f>IF($A34="","",SUMIFS('📒 Jurnal'!$X$3:$X$502,'📒 Jurnal'!$B$3:$B$502,$A34))</f>
        <v/>
      </c>
      <c r="D34" s="24" t="str">
        <f>IF($A34="","",SUMIFS('📒 Jurnal'!$Y$3:$Y$502,'📒 Jurnal'!$B$3:$B$502,$A34))</f>
        <v/>
      </c>
      <c r="E34" s="23" t="str">
        <f>IF($A34="","",IFERROR(COUNTIFS('📒 Jurnal'!$B$3:$B$502,$A34,'📒 Jurnal'!$Z$3:$Z$502,"Win")/(COUNTIFS('📒 Jurnal'!$B$3:$B$502,$A34,'📒 Jurnal'!$Z$3:$Z$502,"Win")+COUNTIFS('📒 Jurnal'!$B$3:$B$502,$A34,'📒 Jurnal'!$Z$3:$Z$502,"Loss")+COUNTIFS('📒 Jurnal'!$B$3:$B$502,$A34,'📒 Jurnal'!$Z$3:$Z$502,"BE")),""))</f>
        <v/>
      </c>
      <c r="F34" s="25" t="str">
        <f>IF($A34="","",IF($B34=0,"—",IF(OR($C34&lt;=-'⚙️ Setelan'!$B$5,$B34&gt;'⚙️ Setelan'!$B$6,COUNTIFS('📒 Jurnal'!$B$3:$B$502,$A34,'📒 Jurnal'!$AL$3:$AL$502,"⚠️ Revenge")&gt;0),"🔴 LANGGAR","✅ Aman")))</f>
        <v/>
      </c>
      <c r="G34" s="45" t="str">
        <f>IF($A34="","",SUM($D$3:$D34))</f>
        <v/>
      </c>
      <c r="H34" s="45" t="str">
        <f>IF($A34="","",MAX($G$3:$G34))</f>
        <v/>
      </c>
      <c r="I34" s="45" t="str">
        <f t="shared" si="0"/>
        <v/>
      </c>
    </row>
    <row r="35" spans="2:9">
      <c r="B35" s="25" t="str">
        <f>IF($A35="","",(COUNTIFS('📒 Jurnal'!$B$3:$B$502,$A35,'📒 Jurnal'!$Z$3:$Z$502,"Win")+COUNTIFS('📒 Jurnal'!$B$3:$B$502,$A35,'📒 Jurnal'!$Z$3:$Z$502,"Loss")+COUNTIFS('📒 Jurnal'!$B$3:$B$502,$A35,'📒 Jurnal'!$Z$3:$Z$502,"BE")))</f>
        <v/>
      </c>
      <c r="C35" s="28" t="str">
        <f>IF($A35="","",SUMIFS('📒 Jurnal'!$X$3:$X$502,'📒 Jurnal'!$B$3:$B$502,$A35))</f>
        <v/>
      </c>
      <c r="D35" s="24" t="str">
        <f>IF($A35="","",SUMIFS('📒 Jurnal'!$Y$3:$Y$502,'📒 Jurnal'!$B$3:$B$502,$A35))</f>
        <v/>
      </c>
      <c r="E35" s="23" t="str">
        <f>IF($A35="","",IFERROR(COUNTIFS('📒 Jurnal'!$B$3:$B$502,$A35,'📒 Jurnal'!$Z$3:$Z$502,"Win")/(COUNTIFS('📒 Jurnal'!$B$3:$B$502,$A35,'📒 Jurnal'!$Z$3:$Z$502,"Win")+COUNTIFS('📒 Jurnal'!$B$3:$B$502,$A35,'📒 Jurnal'!$Z$3:$Z$502,"Loss")+COUNTIFS('📒 Jurnal'!$B$3:$B$502,$A35,'📒 Jurnal'!$Z$3:$Z$502,"BE")),""))</f>
        <v/>
      </c>
      <c r="F35" s="25" t="str">
        <f>IF($A35="","",IF($B35=0,"—",IF(OR($C35&lt;=-'⚙️ Setelan'!$B$5,$B35&gt;'⚙️ Setelan'!$B$6,COUNTIFS('📒 Jurnal'!$B$3:$B$502,$A35,'📒 Jurnal'!$AL$3:$AL$502,"⚠️ Revenge")&gt;0),"🔴 LANGGAR","✅ Aman")))</f>
        <v/>
      </c>
      <c r="G35" s="45" t="str">
        <f>IF($A35="","",SUM($D$3:$D35))</f>
        <v/>
      </c>
      <c r="H35" s="45" t="str">
        <f>IF($A35="","",MAX($G$3:$G35))</f>
        <v/>
      </c>
      <c r="I35" s="45" t="str">
        <f t="shared" si="0"/>
        <v/>
      </c>
    </row>
    <row r="36" spans="2:9">
      <c r="B36" s="25" t="str">
        <f>IF($A36="","",(COUNTIFS('📒 Jurnal'!$B$3:$B$502,$A36,'📒 Jurnal'!$Z$3:$Z$502,"Win")+COUNTIFS('📒 Jurnal'!$B$3:$B$502,$A36,'📒 Jurnal'!$Z$3:$Z$502,"Loss")+COUNTIFS('📒 Jurnal'!$B$3:$B$502,$A36,'📒 Jurnal'!$Z$3:$Z$502,"BE")))</f>
        <v/>
      </c>
      <c r="C36" s="28" t="str">
        <f>IF($A36="","",SUMIFS('📒 Jurnal'!$X$3:$X$502,'📒 Jurnal'!$B$3:$B$502,$A36))</f>
        <v/>
      </c>
      <c r="D36" s="24" t="str">
        <f>IF($A36="","",SUMIFS('📒 Jurnal'!$Y$3:$Y$502,'📒 Jurnal'!$B$3:$B$502,$A36))</f>
        <v/>
      </c>
      <c r="E36" s="23" t="str">
        <f>IF($A36="","",IFERROR(COUNTIFS('📒 Jurnal'!$B$3:$B$502,$A36,'📒 Jurnal'!$Z$3:$Z$502,"Win")/(COUNTIFS('📒 Jurnal'!$B$3:$B$502,$A36,'📒 Jurnal'!$Z$3:$Z$502,"Win")+COUNTIFS('📒 Jurnal'!$B$3:$B$502,$A36,'📒 Jurnal'!$Z$3:$Z$502,"Loss")+COUNTIFS('📒 Jurnal'!$B$3:$B$502,$A36,'📒 Jurnal'!$Z$3:$Z$502,"BE")),""))</f>
        <v/>
      </c>
      <c r="F36" s="25" t="str">
        <f>IF($A36="","",IF($B36=0,"—",IF(OR($C36&lt;=-'⚙️ Setelan'!$B$5,$B36&gt;'⚙️ Setelan'!$B$6,COUNTIFS('📒 Jurnal'!$B$3:$B$502,$A36,'📒 Jurnal'!$AL$3:$AL$502,"⚠️ Revenge")&gt;0),"🔴 LANGGAR","✅ Aman")))</f>
        <v/>
      </c>
      <c r="G36" s="45" t="str">
        <f>IF($A36="","",SUM($D$3:$D36))</f>
        <v/>
      </c>
      <c r="H36" s="45" t="str">
        <f>IF($A36="","",MAX($G$3:$G36))</f>
        <v/>
      </c>
      <c r="I36" s="45" t="str">
        <f t="shared" si="0"/>
        <v/>
      </c>
    </row>
    <row r="37" spans="2:9">
      <c r="B37" s="25" t="str">
        <f>IF($A37="","",(COUNTIFS('📒 Jurnal'!$B$3:$B$502,$A37,'📒 Jurnal'!$Z$3:$Z$502,"Win")+COUNTIFS('📒 Jurnal'!$B$3:$B$502,$A37,'📒 Jurnal'!$Z$3:$Z$502,"Loss")+COUNTIFS('📒 Jurnal'!$B$3:$B$502,$A37,'📒 Jurnal'!$Z$3:$Z$502,"BE")))</f>
        <v/>
      </c>
      <c r="C37" s="28" t="str">
        <f>IF($A37="","",SUMIFS('📒 Jurnal'!$X$3:$X$502,'📒 Jurnal'!$B$3:$B$502,$A37))</f>
        <v/>
      </c>
      <c r="D37" s="24" t="str">
        <f>IF($A37="","",SUMIFS('📒 Jurnal'!$Y$3:$Y$502,'📒 Jurnal'!$B$3:$B$502,$A37))</f>
        <v/>
      </c>
      <c r="E37" s="23" t="str">
        <f>IF($A37="","",IFERROR(COUNTIFS('📒 Jurnal'!$B$3:$B$502,$A37,'📒 Jurnal'!$Z$3:$Z$502,"Win")/(COUNTIFS('📒 Jurnal'!$B$3:$B$502,$A37,'📒 Jurnal'!$Z$3:$Z$502,"Win")+COUNTIFS('📒 Jurnal'!$B$3:$B$502,$A37,'📒 Jurnal'!$Z$3:$Z$502,"Loss")+COUNTIFS('📒 Jurnal'!$B$3:$B$502,$A37,'📒 Jurnal'!$Z$3:$Z$502,"BE")),""))</f>
        <v/>
      </c>
      <c r="F37" s="25" t="str">
        <f>IF($A37="","",IF($B37=0,"—",IF(OR($C37&lt;=-'⚙️ Setelan'!$B$5,$B37&gt;'⚙️ Setelan'!$B$6,COUNTIFS('📒 Jurnal'!$B$3:$B$502,$A37,'📒 Jurnal'!$AL$3:$AL$502,"⚠️ Revenge")&gt;0),"🔴 LANGGAR","✅ Aman")))</f>
        <v/>
      </c>
      <c r="G37" s="45" t="str">
        <f>IF($A37="","",SUM($D$3:$D37))</f>
        <v/>
      </c>
      <c r="H37" s="45" t="str">
        <f>IF($A37="","",MAX($G$3:$G37))</f>
        <v/>
      </c>
      <c r="I37" s="45" t="str">
        <f t="shared" si="0"/>
        <v/>
      </c>
    </row>
    <row r="38" spans="2:9">
      <c r="B38" s="25" t="str">
        <f>IF($A38="","",(COUNTIFS('📒 Jurnal'!$B$3:$B$502,$A38,'📒 Jurnal'!$Z$3:$Z$502,"Win")+COUNTIFS('📒 Jurnal'!$B$3:$B$502,$A38,'📒 Jurnal'!$Z$3:$Z$502,"Loss")+COUNTIFS('📒 Jurnal'!$B$3:$B$502,$A38,'📒 Jurnal'!$Z$3:$Z$502,"BE")))</f>
        <v/>
      </c>
      <c r="C38" s="28" t="str">
        <f>IF($A38="","",SUMIFS('📒 Jurnal'!$X$3:$X$502,'📒 Jurnal'!$B$3:$B$502,$A38))</f>
        <v/>
      </c>
      <c r="D38" s="24" t="str">
        <f>IF($A38="","",SUMIFS('📒 Jurnal'!$Y$3:$Y$502,'📒 Jurnal'!$B$3:$B$502,$A38))</f>
        <v/>
      </c>
      <c r="E38" s="23" t="str">
        <f>IF($A38="","",IFERROR(COUNTIFS('📒 Jurnal'!$B$3:$B$502,$A38,'📒 Jurnal'!$Z$3:$Z$502,"Win")/(COUNTIFS('📒 Jurnal'!$B$3:$B$502,$A38,'📒 Jurnal'!$Z$3:$Z$502,"Win")+COUNTIFS('📒 Jurnal'!$B$3:$B$502,$A38,'📒 Jurnal'!$Z$3:$Z$502,"Loss")+COUNTIFS('📒 Jurnal'!$B$3:$B$502,$A38,'📒 Jurnal'!$Z$3:$Z$502,"BE")),""))</f>
        <v/>
      </c>
      <c r="F38" s="25" t="str">
        <f>IF($A38="","",IF($B38=0,"—",IF(OR($C38&lt;=-'⚙️ Setelan'!$B$5,$B38&gt;'⚙️ Setelan'!$B$6,COUNTIFS('📒 Jurnal'!$B$3:$B$502,$A38,'📒 Jurnal'!$AL$3:$AL$502,"⚠️ Revenge")&gt;0),"🔴 LANGGAR","✅ Aman")))</f>
        <v/>
      </c>
      <c r="G38" s="45" t="str">
        <f>IF($A38="","",SUM($D$3:$D38))</f>
        <v/>
      </c>
      <c r="H38" s="45" t="str">
        <f>IF($A38="","",MAX($G$3:$G38))</f>
        <v/>
      </c>
      <c r="I38" s="45" t="str">
        <f t="shared" si="0"/>
        <v/>
      </c>
    </row>
    <row r="39" spans="2:9">
      <c r="B39" s="25" t="str">
        <f>IF($A39="","",(COUNTIFS('📒 Jurnal'!$B$3:$B$502,$A39,'📒 Jurnal'!$Z$3:$Z$502,"Win")+COUNTIFS('📒 Jurnal'!$B$3:$B$502,$A39,'📒 Jurnal'!$Z$3:$Z$502,"Loss")+COUNTIFS('📒 Jurnal'!$B$3:$B$502,$A39,'📒 Jurnal'!$Z$3:$Z$502,"BE")))</f>
        <v/>
      </c>
      <c r="C39" s="28" t="str">
        <f>IF($A39="","",SUMIFS('📒 Jurnal'!$X$3:$X$502,'📒 Jurnal'!$B$3:$B$502,$A39))</f>
        <v/>
      </c>
      <c r="D39" s="24" t="str">
        <f>IF($A39="","",SUMIFS('📒 Jurnal'!$Y$3:$Y$502,'📒 Jurnal'!$B$3:$B$502,$A39))</f>
        <v/>
      </c>
      <c r="E39" s="23" t="str">
        <f>IF($A39="","",IFERROR(COUNTIFS('📒 Jurnal'!$B$3:$B$502,$A39,'📒 Jurnal'!$Z$3:$Z$502,"Win")/(COUNTIFS('📒 Jurnal'!$B$3:$B$502,$A39,'📒 Jurnal'!$Z$3:$Z$502,"Win")+COUNTIFS('📒 Jurnal'!$B$3:$B$502,$A39,'📒 Jurnal'!$Z$3:$Z$502,"Loss")+COUNTIFS('📒 Jurnal'!$B$3:$B$502,$A39,'📒 Jurnal'!$Z$3:$Z$502,"BE")),""))</f>
        <v/>
      </c>
      <c r="F39" s="25" t="str">
        <f>IF($A39="","",IF($B39=0,"—",IF(OR($C39&lt;=-'⚙️ Setelan'!$B$5,$B39&gt;'⚙️ Setelan'!$B$6,COUNTIFS('📒 Jurnal'!$B$3:$B$502,$A39,'📒 Jurnal'!$AL$3:$AL$502,"⚠️ Revenge")&gt;0),"🔴 LANGGAR","✅ Aman")))</f>
        <v/>
      </c>
      <c r="G39" s="45" t="str">
        <f>IF($A39="","",SUM($D$3:$D39))</f>
        <v/>
      </c>
      <c r="H39" s="45" t="str">
        <f>IF($A39="","",MAX($G$3:$G39))</f>
        <v/>
      </c>
      <c r="I39" s="45" t="str">
        <f t="shared" si="0"/>
        <v/>
      </c>
    </row>
    <row r="40" spans="2:9">
      <c r="B40" s="25" t="str">
        <f>IF($A40="","",(COUNTIFS('📒 Jurnal'!$B$3:$B$502,$A40,'📒 Jurnal'!$Z$3:$Z$502,"Win")+COUNTIFS('📒 Jurnal'!$B$3:$B$502,$A40,'📒 Jurnal'!$Z$3:$Z$502,"Loss")+COUNTIFS('📒 Jurnal'!$B$3:$B$502,$A40,'📒 Jurnal'!$Z$3:$Z$502,"BE")))</f>
        <v/>
      </c>
      <c r="C40" s="28" t="str">
        <f>IF($A40="","",SUMIFS('📒 Jurnal'!$X$3:$X$502,'📒 Jurnal'!$B$3:$B$502,$A40))</f>
        <v/>
      </c>
      <c r="D40" s="24" t="str">
        <f>IF($A40="","",SUMIFS('📒 Jurnal'!$Y$3:$Y$502,'📒 Jurnal'!$B$3:$B$502,$A40))</f>
        <v/>
      </c>
      <c r="E40" s="23" t="str">
        <f>IF($A40="","",IFERROR(COUNTIFS('📒 Jurnal'!$B$3:$B$502,$A40,'📒 Jurnal'!$Z$3:$Z$502,"Win")/(COUNTIFS('📒 Jurnal'!$B$3:$B$502,$A40,'📒 Jurnal'!$Z$3:$Z$502,"Win")+COUNTIFS('📒 Jurnal'!$B$3:$B$502,$A40,'📒 Jurnal'!$Z$3:$Z$502,"Loss")+COUNTIFS('📒 Jurnal'!$B$3:$B$502,$A40,'📒 Jurnal'!$Z$3:$Z$502,"BE")),""))</f>
        <v/>
      </c>
      <c r="F40" s="25" t="str">
        <f>IF($A40="","",IF($B40=0,"—",IF(OR($C40&lt;=-'⚙️ Setelan'!$B$5,$B40&gt;'⚙️ Setelan'!$B$6,COUNTIFS('📒 Jurnal'!$B$3:$B$502,$A40,'📒 Jurnal'!$AL$3:$AL$502,"⚠️ Revenge")&gt;0),"🔴 LANGGAR","✅ Aman")))</f>
        <v/>
      </c>
      <c r="G40" s="45" t="str">
        <f>IF($A40="","",SUM($D$3:$D40))</f>
        <v/>
      </c>
      <c r="H40" s="45" t="str">
        <f>IF($A40="","",MAX($G$3:$G40))</f>
        <v/>
      </c>
      <c r="I40" s="45" t="str">
        <f t="shared" si="0"/>
        <v/>
      </c>
    </row>
    <row r="41" spans="2:9">
      <c r="B41" s="25" t="str">
        <f>IF($A41="","",(COUNTIFS('📒 Jurnal'!$B$3:$B$502,$A41,'📒 Jurnal'!$Z$3:$Z$502,"Win")+COUNTIFS('📒 Jurnal'!$B$3:$B$502,$A41,'📒 Jurnal'!$Z$3:$Z$502,"Loss")+COUNTIFS('📒 Jurnal'!$B$3:$B$502,$A41,'📒 Jurnal'!$Z$3:$Z$502,"BE")))</f>
        <v/>
      </c>
      <c r="C41" s="28" t="str">
        <f>IF($A41="","",SUMIFS('📒 Jurnal'!$X$3:$X$502,'📒 Jurnal'!$B$3:$B$502,$A41))</f>
        <v/>
      </c>
      <c r="D41" s="24" t="str">
        <f>IF($A41="","",SUMIFS('📒 Jurnal'!$Y$3:$Y$502,'📒 Jurnal'!$B$3:$B$502,$A41))</f>
        <v/>
      </c>
      <c r="E41" s="23" t="str">
        <f>IF($A41="","",IFERROR(COUNTIFS('📒 Jurnal'!$B$3:$B$502,$A41,'📒 Jurnal'!$Z$3:$Z$502,"Win")/(COUNTIFS('📒 Jurnal'!$B$3:$B$502,$A41,'📒 Jurnal'!$Z$3:$Z$502,"Win")+COUNTIFS('📒 Jurnal'!$B$3:$B$502,$A41,'📒 Jurnal'!$Z$3:$Z$502,"Loss")+COUNTIFS('📒 Jurnal'!$B$3:$B$502,$A41,'📒 Jurnal'!$Z$3:$Z$502,"BE")),""))</f>
        <v/>
      </c>
      <c r="F41" s="25" t="str">
        <f>IF($A41="","",IF($B41=0,"—",IF(OR($C41&lt;=-'⚙️ Setelan'!$B$5,$B41&gt;'⚙️ Setelan'!$B$6,COUNTIFS('📒 Jurnal'!$B$3:$B$502,$A41,'📒 Jurnal'!$AL$3:$AL$502,"⚠️ Revenge")&gt;0),"🔴 LANGGAR","✅ Aman")))</f>
        <v/>
      </c>
      <c r="G41" s="45" t="str">
        <f>IF($A41="","",SUM($D$3:$D41))</f>
        <v/>
      </c>
      <c r="H41" s="45" t="str">
        <f>IF($A41="","",MAX($G$3:$G41))</f>
        <v/>
      </c>
      <c r="I41" s="45" t="str">
        <f t="shared" si="0"/>
        <v/>
      </c>
    </row>
    <row r="42" spans="2:9">
      <c r="B42" s="25" t="str">
        <f>IF($A42="","",(COUNTIFS('📒 Jurnal'!$B$3:$B$502,$A42,'📒 Jurnal'!$Z$3:$Z$502,"Win")+COUNTIFS('📒 Jurnal'!$B$3:$B$502,$A42,'📒 Jurnal'!$Z$3:$Z$502,"Loss")+COUNTIFS('📒 Jurnal'!$B$3:$B$502,$A42,'📒 Jurnal'!$Z$3:$Z$502,"BE")))</f>
        <v/>
      </c>
      <c r="C42" s="28" t="str">
        <f>IF($A42="","",SUMIFS('📒 Jurnal'!$X$3:$X$502,'📒 Jurnal'!$B$3:$B$502,$A42))</f>
        <v/>
      </c>
      <c r="D42" s="24" t="str">
        <f>IF($A42="","",SUMIFS('📒 Jurnal'!$Y$3:$Y$502,'📒 Jurnal'!$B$3:$B$502,$A42))</f>
        <v/>
      </c>
      <c r="E42" s="23" t="str">
        <f>IF($A42="","",IFERROR(COUNTIFS('📒 Jurnal'!$B$3:$B$502,$A42,'📒 Jurnal'!$Z$3:$Z$502,"Win")/(COUNTIFS('📒 Jurnal'!$B$3:$B$502,$A42,'📒 Jurnal'!$Z$3:$Z$502,"Win")+COUNTIFS('📒 Jurnal'!$B$3:$B$502,$A42,'📒 Jurnal'!$Z$3:$Z$502,"Loss")+COUNTIFS('📒 Jurnal'!$B$3:$B$502,$A42,'📒 Jurnal'!$Z$3:$Z$502,"BE")),""))</f>
        <v/>
      </c>
      <c r="F42" s="25" t="str">
        <f>IF($A42="","",IF($B42=0,"—",IF(OR($C42&lt;=-'⚙️ Setelan'!$B$5,$B42&gt;'⚙️ Setelan'!$B$6,COUNTIFS('📒 Jurnal'!$B$3:$B$502,$A42,'📒 Jurnal'!$AL$3:$AL$502,"⚠️ Revenge")&gt;0),"🔴 LANGGAR","✅ Aman")))</f>
        <v/>
      </c>
      <c r="G42" s="45" t="str">
        <f>IF($A42="","",SUM($D$3:$D42))</f>
        <v/>
      </c>
      <c r="H42" s="45" t="str">
        <f>IF($A42="","",MAX($G$3:$G42))</f>
        <v/>
      </c>
      <c r="I42" s="45" t="str">
        <f t="shared" si="0"/>
        <v/>
      </c>
    </row>
    <row r="43" spans="2:9">
      <c r="B43" s="25" t="str">
        <f>IF($A43="","",(COUNTIFS('📒 Jurnal'!$B$3:$B$502,$A43,'📒 Jurnal'!$Z$3:$Z$502,"Win")+COUNTIFS('📒 Jurnal'!$B$3:$B$502,$A43,'📒 Jurnal'!$Z$3:$Z$502,"Loss")+COUNTIFS('📒 Jurnal'!$B$3:$B$502,$A43,'📒 Jurnal'!$Z$3:$Z$502,"BE")))</f>
        <v/>
      </c>
      <c r="C43" s="28" t="str">
        <f>IF($A43="","",SUMIFS('📒 Jurnal'!$X$3:$X$502,'📒 Jurnal'!$B$3:$B$502,$A43))</f>
        <v/>
      </c>
      <c r="D43" s="24" t="str">
        <f>IF($A43="","",SUMIFS('📒 Jurnal'!$Y$3:$Y$502,'📒 Jurnal'!$B$3:$B$502,$A43))</f>
        <v/>
      </c>
      <c r="E43" s="23" t="str">
        <f>IF($A43="","",IFERROR(COUNTIFS('📒 Jurnal'!$B$3:$B$502,$A43,'📒 Jurnal'!$Z$3:$Z$502,"Win")/(COUNTIFS('📒 Jurnal'!$B$3:$B$502,$A43,'📒 Jurnal'!$Z$3:$Z$502,"Win")+COUNTIFS('📒 Jurnal'!$B$3:$B$502,$A43,'📒 Jurnal'!$Z$3:$Z$502,"Loss")+COUNTIFS('📒 Jurnal'!$B$3:$B$502,$A43,'📒 Jurnal'!$Z$3:$Z$502,"BE")),""))</f>
        <v/>
      </c>
      <c r="F43" s="25" t="str">
        <f>IF($A43="","",IF($B43=0,"—",IF(OR($C43&lt;=-'⚙️ Setelan'!$B$5,$B43&gt;'⚙️ Setelan'!$B$6,COUNTIFS('📒 Jurnal'!$B$3:$B$502,$A43,'📒 Jurnal'!$AL$3:$AL$502,"⚠️ Revenge")&gt;0),"🔴 LANGGAR","✅ Aman")))</f>
        <v/>
      </c>
      <c r="G43" s="45" t="str">
        <f>IF($A43="","",SUM($D$3:$D43))</f>
        <v/>
      </c>
      <c r="H43" s="45" t="str">
        <f>IF($A43="","",MAX($G$3:$G43))</f>
        <v/>
      </c>
      <c r="I43" s="45" t="str">
        <f t="shared" si="0"/>
        <v/>
      </c>
    </row>
    <row r="44" spans="2:9">
      <c r="B44" s="25" t="str">
        <f>IF($A44="","",(COUNTIFS('📒 Jurnal'!$B$3:$B$502,$A44,'📒 Jurnal'!$Z$3:$Z$502,"Win")+COUNTIFS('📒 Jurnal'!$B$3:$B$502,$A44,'📒 Jurnal'!$Z$3:$Z$502,"Loss")+COUNTIFS('📒 Jurnal'!$B$3:$B$502,$A44,'📒 Jurnal'!$Z$3:$Z$502,"BE")))</f>
        <v/>
      </c>
      <c r="C44" s="28" t="str">
        <f>IF($A44="","",SUMIFS('📒 Jurnal'!$X$3:$X$502,'📒 Jurnal'!$B$3:$B$502,$A44))</f>
        <v/>
      </c>
      <c r="D44" s="24" t="str">
        <f>IF($A44="","",SUMIFS('📒 Jurnal'!$Y$3:$Y$502,'📒 Jurnal'!$B$3:$B$502,$A44))</f>
        <v/>
      </c>
      <c r="E44" s="23" t="str">
        <f>IF($A44="","",IFERROR(COUNTIFS('📒 Jurnal'!$B$3:$B$502,$A44,'📒 Jurnal'!$Z$3:$Z$502,"Win")/(COUNTIFS('📒 Jurnal'!$B$3:$B$502,$A44,'📒 Jurnal'!$Z$3:$Z$502,"Win")+COUNTIFS('📒 Jurnal'!$B$3:$B$502,$A44,'📒 Jurnal'!$Z$3:$Z$502,"Loss")+COUNTIFS('📒 Jurnal'!$B$3:$B$502,$A44,'📒 Jurnal'!$Z$3:$Z$502,"BE")),""))</f>
        <v/>
      </c>
      <c r="F44" s="25" t="str">
        <f>IF($A44="","",IF($B44=0,"—",IF(OR($C44&lt;=-'⚙️ Setelan'!$B$5,$B44&gt;'⚙️ Setelan'!$B$6,COUNTIFS('📒 Jurnal'!$B$3:$B$502,$A44,'📒 Jurnal'!$AL$3:$AL$502,"⚠️ Revenge")&gt;0),"🔴 LANGGAR","✅ Aman")))</f>
        <v/>
      </c>
      <c r="G44" s="45" t="str">
        <f>IF($A44="","",SUM($D$3:$D44))</f>
        <v/>
      </c>
      <c r="H44" s="45" t="str">
        <f>IF($A44="","",MAX($G$3:$G44))</f>
        <v/>
      </c>
      <c r="I44" s="45" t="str">
        <f t="shared" si="0"/>
        <v/>
      </c>
    </row>
    <row r="45" spans="2:9">
      <c r="B45" s="25" t="str">
        <f>IF($A45="","",(COUNTIFS('📒 Jurnal'!$B$3:$B$502,$A45,'📒 Jurnal'!$Z$3:$Z$502,"Win")+COUNTIFS('📒 Jurnal'!$B$3:$B$502,$A45,'📒 Jurnal'!$Z$3:$Z$502,"Loss")+COUNTIFS('📒 Jurnal'!$B$3:$B$502,$A45,'📒 Jurnal'!$Z$3:$Z$502,"BE")))</f>
        <v/>
      </c>
      <c r="C45" s="28" t="str">
        <f>IF($A45="","",SUMIFS('📒 Jurnal'!$X$3:$X$502,'📒 Jurnal'!$B$3:$B$502,$A45))</f>
        <v/>
      </c>
      <c r="D45" s="24" t="str">
        <f>IF($A45="","",SUMIFS('📒 Jurnal'!$Y$3:$Y$502,'📒 Jurnal'!$B$3:$B$502,$A45))</f>
        <v/>
      </c>
      <c r="E45" s="23" t="str">
        <f>IF($A45="","",IFERROR(COUNTIFS('📒 Jurnal'!$B$3:$B$502,$A45,'📒 Jurnal'!$Z$3:$Z$502,"Win")/(COUNTIFS('📒 Jurnal'!$B$3:$B$502,$A45,'📒 Jurnal'!$Z$3:$Z$502,"Win")+COUNTIFS('📒 Jurnal'!$B$3:$B$502,$A45,'📒 Jurnal'!$Z$3:$Z$502,"Loss")+COUNTIFS('📒 Jurnal'!$B$3:$B$502,$A45,'📒 Jurnal'!$Z$3:$Z$502,"BE")),""))</f>
        <v/>
      </c>
      <c r="F45" s="25" t="str">
        <f>IF($A45="","",IF($B45=0,"—",IF(OR($C45&lt;=-'⚙️ Setelan'!$B$5,$B45&gt;'⚙️ Setelan'!$B$6,COUNTIFS('📒 Jurnal'!$B$3:$B$502,$A45,'📒 Jurnal'!$AL$3:$AL$502,"⚠️ Revenge")&gt;0),"🔴 LANGGAR","✅ Aman")))</f>
        <v/>
      </c>
      <c r="G45" s="45" t="str">
        <f>IF($A45="","",SUM($D$3:$D45))</f>
        <v/>
      </c>
      <c r="H45" s="45" t="str">
        <f>IF($A45="","",MAX($G$3:$G45))</f>
        <v/>
      </c>
      <c r="I45" s="45" t="str">
        <f t="shared" si="0"/>
        <v/>
      </c>
    </row>
    <row r="46" spans="2:9">
      <c r="B46" s="25" t="str">
        <f>IF($A46="","",(COUNTIFS('📒 Jurnal'!$B$3:$B$502,$A46,'📒 Jurnal'!$Z$3:$Z$502,"Win")+COUNTIFS('📒 Jurnal'!$B$3:$B$502,$A46,'📒 Jurnal'!$Z$3:$Z$502,"Loss")+COUNTIFS('📒 Jurnal'!$B$3:$B$502,$A46,'📒 Jurnal'!$Z$3:$Z$502,"BE")))</f>
        <v/>
      </c>
      <c r="C46" s="28" t="str">
        <f>IF($A46="","",SUMIFS('📒 Jurnal'!$X$3:$X$502,'📒 Jurnal'!$B$3:$B$502,$A46))</f>
        <v/>
      </c>
      <c r="D46" s="24" t="str">
        <f>IF($A46="","",SUMIFS('📒 Jurnal'!$Y$3:$Y$502,'📒 Jurnal'!$B$3:$B$502,$A46))</f>
        <v/>
      </c>
      <c r="E46" s="23" t="str">
        <f>IF($A46="","",IFERROR(COUNTIFS('📒 Jurnal'!$B$3:$B$502,$A46,'📒 Jurnal'!$Z$3:$Z$502,"Win")/(COUNTIFS('📒 Jurnal'!$B$3:$B$502,$A46,'📒 Jurnal'!$Z$3:$Z$502,"Win")+COUNTIFS('📒 Jurnal'!$B$3:$B$502,$A46,'📒 Jurnal'!$Z$3:$Z$502,"Loss")+COUNTIFS('📒 Jurnal'!$B$3:$B$502,$A46,'📒 Jurnal'!$Z$3:$Z$502,"BE")),""))</f>
        <v/>
      </c>
      <c r="F46" s="25" t="str">
        <f>IF($A46="","",IF($B46=0,"—",IF(OR($C46&lt;=-'⚙️ Setelan'!$B$5,$B46&gt;'⚙️ Setelan'!$B$6,COUNTIFS('📒 Jurnal'!$B$3:$B$502,$A46,'📒 Jurnal'!$AL$3:$AL$502,"⚠️ Revenge")&gt;0),"🔴 LANGGAR","✅ Aman")))</f>
        <v/>
      </c>
      <c r="G46" s="45" t="str">
        <f>IF($A46="","",SUM($D$3:$D46))</f>
        <v/>
      </c>
      <c r="H46" s="45" t="str">
        <f>IF($A46="","",MAX($G$3:$G46))</f>
        <v/>
      </c>
      <c r="I46" s="45" t="str">
        <f t="shared" si="0"/>
        <v/>
      </c>
    </row>
    <row r="47" spans="2:9">
      <c r="B47" s="25" t="str">
        <f>IF($A47="","",(COUNTIFS('📒 Jurnal'!$B$3:$B$502,$A47,'📒 Jurnal'!$Z$3:$Z$502,"Win")+COUNTIFS('📒 Jurnal'!$B$3:$B$502,$A47,'📒 Jurnal'!$Z$3:$Z$502,"Loss")+COUNTIFS('📒 Jurnal'!$B$3:$B$502,$A47,'📒 Jurnal'!$Z$3:$Z$502,"BE")))</f>
        <v/>
      </c>
      <c r="C47" s="28" t="str">
        <f>IF($A47="","",SUMIFS('📒 Jurnal'!$X$3:$X$502,'📒 Jurnal'!$B$3:$B$502,$A47))</f>
        <v/>
      </c>
      <c r="D47" s="24" t="str">
        <f>IF($A47="","",SUMIFS('📒 Jurnal'!$Y$3:$Y$502,'📒 Jurnal'!$B$3:$B$502,$A47))</f>
        <v/>
      </c>
      <c r="E47" s="23" t="str">
        <f>IF($A47="","",IFERROR(COUNTIFS('📒 Jurnal'!$B$3:$B$502,$A47,'📒 Jurnal'!$Z$3:$Z$502,"Win")/(COUNTIFS('📒 Jurnal'!$B$3:$B$502,$A47,'📒 Jurnal'!$Z$3:$Z$502,"Win")+COUNTIFS('📒 Jurnal'!$B$3:$B$502,$A47,'📒 Jurnal'!$Z$3:$Z$502,"Loss")+COUNTIFS('📒 Jurnal'!$B$3:$B$502,$A47,'📒 Jurnal'!$Z$3:$Z$502,"BE")),""))</f>
        <v/>
      </c>
      <c r="F47" s="25" t="str">
        <f>IF($A47="","",IF($B47=0,"—",IF(OR($C47&lt;=-'⚙️ Setelan'!$B$5,$B47&gt;'⚙️ Setelan'!$B$6,COUNTIFS('📒 Jurnal'!$B$3:$B$502,$A47,'📒 Jurnal'!$AL$3:$AL$502,"⚠️ Revenge")&gt;0),"🔴 LANGGAR","✅ Aman")))</f>
        <v/>
      </c>
      <c r="G47" s="45" t="str">
        <f>IF($A47="","",SUM($D$3:$D47))</f>
        <v/>
      </c>
      <c r="H47" s="45" t="str">
        <f>IF($A47="","",MAX($G$3:$G47))</f>
        <v/>
      </c>
      <c r="I47" s="45" t="str">
        <f t="shared" si="0"/>
        <v/>
      </c>
    </row>
    <row r="48" spans="2:9">
      <c r="B48" s="25" t="str">
        <f>IF($A48="","",(COUNTIFS('📒 Jurnal'!$B$3:$B$502,$A48,'📒 Jurnal'!$Z$3:$Z$502,"Win")+COUNTIFS('📒 Jurnal'!$B$3:$B$502,$A48,'📒 Jurnal'!$Z$3:$Z$502,"Loss")+COUNTIFS('📒 Jurnal'!$B$3:$B$502,$A48,'📒 Jurnal'!$Z$3:$Z$502,"BE")))</f>
        <v/>
      </c>
      <c r="C48" s="28" t="str">
        <f>IF($A48="","",SUMIFS('📒 Jurnal'!$X$3:$X$502,'📒 Jurnal'!$B$3:$B$502,$A48))</f>
        <v/>
      </c>
      <c r="D48" s="24" t="str">
        <f>IF($A48="","",SUMIFS('📒 Jurnal'!$Y$3:$Y$502,'📒 Jurnal'!$B$3:$B$502,$A48))</f>
        <v/>
      </c>
      <c r="E48" s="23" t="str">
        <f>IF($A48="","",IFERROR(COUNTIFS('📒 Jurnal'!$B$3:$B$502,$A48,'📒 Jurnal'!$Z$3:$Z$502,"Win")/(COUNTIFS('📒 Jurnal'!$B$3:$B$502,$A48,'📒 Jurnal'!$Z$3:$Z$502,"Win")+COUNTIFS('📒 Jurnal'!$B$3:$B$502,$A48,'📒 Jurnal'!$Z$3:$Z$502,"Loss")+COUNTIFS('📒 Jurnal'!$B$3:$B$502,$A48,'📒 Jurnal'!$Z$3:$Z$502,"BE")),""))</f>
        <v/>
      </c>
      <c r="F48" s="25" t="str">
        <f>IF($A48="","",IF($B48=0,"—",IF(OR($C48&lt;=-'⚙️ Setelan'!$B$5,$B48&gt;'⚙️ Setelan'!$B$6,COUNTIFS('📒 Jurnal'!$B$3:$B$502,$A48,'📒 Jurnal'!$AL$3:$AL$502,"⚠️ Revenge")&gt;0),"🔴 LANGGAR","✅ Aman")))</f>
        <v/>
      </c>
      <c r="G48" s="45" t="str">
        <f>IF($A48="","",SUM($D$3:$D48))</f>
        <v/>
      </c>
      <c r="H48" s="45" t="str">
        <f>IF($A48="","",MAX($G$3:$G48))</f>
        <v/>
      </c>
      <c r="I48" s="45" t="str">
        <f t="shared" si="0"/>
        <v/>
      </c>
    </row>
    <row r="49" spans="2:9">
      <c r="B49" s="25" t="str">
        <f>IF($A49="","",(COUNTIFS('📒 Jurnal'!$B$3:$B$502,$A49,'📒 Jurnal'!$Z$3:$Z$502,"Win")+COUNTIFS('📒 Jurnal'!$B$3:$B$502,$A49,'📒 Jurnal'!$Z$3:$Z$502,"Loss")+COUNTIFS('📒 Jurnal'!$B$3:$B$502,$A49,'📒 Jurnal'!$Z$3:$Z$502,"BE")))</f>
        <v/>
      </c>
      <c r="C49" s="28" t="str">
        <f>IF($A49="","",SUMIFS('📒 Jurnal'!$X$3:$X$502,'📒 Jurnal'!$B$3:$B$502,$A49))</f>
        <v/>
      </c>
      <c r="D49" s="24" t="str">
        <f>IF($A49="","",SUMIFS('📒 Jurnal'!$Y$3:$Y$502,'📒 Jurnal'!$B$3:$B$502,$A49))</f>
        <v/>
      </c>
      <c r="E49" s="23" t="str">
        <f>IF($A49="","",IFERROR(COUNTIFS('📒 Jurnal'!$B$3:$B$502,$A49,'📒 Jurnal'!$Z$3:$Z$502,"Win")/(COUNTIFS('📒 Jurnal'!$B$3:$B$502,$A49,'📒 Jurnal'!$Z$3:$Z$502,"Win")+COUNTIFS('📒 Jurnal'!$B$3:$B$502,$A49,'📒 Jurnal'!$Z$3:$Z$502,"Loss")+COUNTIFS('📒 Jurnal'!$B$3:$B$502,$A49,'📒 Jurnal'!$Z$3:$Z$502,"BE")),""))</f>
        <v/>
      </c>
      <c r="F49" s="25" t="str">
        <f>IF($A49="","",IF($B49=0,"—",IF(OR($C49&lt;=-'⚙️ Setelan'!$B$5,$B49&gt;'⚙️ Setelan'!$B$6,COUNTIFS('📒 Jurnal'!$B$3:$B$502,$A49,'📒 Jurnal'!$AL$3:$AL$502,"⚠️ Revenge")&gt;0),"🔴 LANGGAR","✅ Aman")))</f>
        <v/>
      </c>
      <c r="G49" s="45" t="str">
        <f>IF($A49="","",SUM($D$3:$D49))</f>
        <v/>
      </c>
      <c r="H49" s="45" t="str">
        <f>IF($A49="","",MAX($G$3:$G49))</f>
        <v/>
      </c>
      <c r="I49" s="45" t="str">
        <f t="shared" si="0"/>
        <v/>
      </c>
    </row>
    <row r="50" spans="2:9">
      <c r="B50" s="25" t="str">
        <f>IF($A50="","",(COUNTIFS('📒 Jurnal'!$B$3:$B$502,$A50,'📒 Jurnal'!$Z$3:$Z$502,"Win")+COUNTIFS('📒 Jurnal'!$B$3:$B$502,$A50,'📒 Jurnal'!$Z$3:$Z$502,"Loss")+COUNTIFS('📒 Jurnal'!$B$3:$B$502,$A50,'📒 Jurnal'!$Z$3:$Z$502,"BE")))</f>
        <v/>
      </c>
      <c r="C50" s="28" t="str">
        <f>IF($A50="","",SUMIFS('📒 Jurnal'!$X$3:$X$502,'📒 Jurnal'!$B$3:$B$502,$A50))</f>
        <v/>
      </c>
      <c r="D50" s="24" t="str">
        <f>IF($A50="","",SUMIFS('📒 Jurnal'!$Y$3:$Y$502,'📒 Jurnal'!$B$3:$B$502,$A50))</f>
        <v/>
      </c>
      <c r="E50" s="23" t="str">
        <f>IF($A50="","",IFERROR(COUNTIFS('📒 Jurnal'!$B$3:$B$502,$A50,'📒 Jurnal'!$Z$3:$Z$502,"Win")/(COUNTIFS('📒 Jurnal'!$B$3:$B$502,$A50,'📒 Jurnal'!$Z$3:$Z$502,"Win")+COUNTIFS('📒 Jurnal'!$B$3:$B$502,$A50,'📒 Jurnal'!$Z$3:$Z$502,"Loss")+COUNTIFS('📒 Jurnal'!$B$3:$B$502,$A50,'📒 Jurnal'!$Z$3:$Z$502,"BE")),""))</f>
        <v/>
      </c>
      <c r="F50" s="25" t="str">
        <f>IF($A50="","",IF($B50=0,"—",IF(OR($C50&lt;=-'⚙️ Setelan'!$B$5,$B50&gt;'⚙️ Setelan'!$B$6,COUNTIFS('📒 Jurnal'!$B$3:$B$502,$A50,'📒 Jurnal'!$AL$3:$AL$502,"⚠️ Revenge")&gt;0),"🔴 LANGGAR","✅ Aman")))</f>
        <v/>
      </c>
      <c r="G50" s="45" t="str">
        <f>IF($A50="","",SUM($D$3:$D50))</f>
        <v/>
      </c>
      <c r="H50" s="45" t="str">
        <f>IF($A50="","",MAX($G$3:$G50))</f>
        <v/>
      </c>
      <c r="I50" s="45" t="str">
        <f t="shared" si="0"/>
        <v/>
      </c>
    </row>
    <row r="51" spans="2:9">
      <c r="B51" s="25" t="str">
        <f>IF($A51="","",(COUNTIFS('📒 Jurnal'!$B$3:$B$502,$A51,'📒 Jurnal'!$Z$3:$Z$502,"Win")+COUNTIFS('📒 Jurnal'!$B$3:$B$502,$A51,'📒 Jurnal'!$Z$3:$Z$502,"Loss")+COUNTIFS('📒 Jurnal'!$B$3:$B$502,$A51,'📒 Jurnal'!$Z$3:$Z$502,"BE")))</f>
        <v/>
      </c>
      <c r="C51" s="28" t="str">
        <f>IF($A51="","",SUMIFS('📒 Jurnal'!$X$3:$X$502,'📒 Jurnal'!$B$3:$B$502,$A51))</f>
        <v/>
      </c>
      <c r="D51" s="24" t="str">
        <f>IF($A51="","",SUMIFS('📒 Jurnal'!$Y$3:$Y$502,'📒 Jurnal'!$B$3:$B$502,$A51))</f>
        <v/>
      </c>
      <c r="E51" s="23" t="str">
        <f>IF($A51="","",IFERROR(COUNTIFS('📒 Jurnal'!$B$3:$B$502,$A51,'📒 Jurnal'!$Z$3:$Z$502,"Win")/(COUNTIFS('📒 Jurnal'!$B$3:$B$502,$A51,'📒 Jurnal'!$Z$3:$Z$502,"Win")+COUNTIFS('📒 Jurnal'!$B$3:$B$502,$A51,'📒 Jurnal'!$Z$3:$Z$502,"Loss")+COUNTIFS('📒 Jurnal'!$B$3:$B$502,$A51,'📒 Jurnal'!$Z$3:$Z$502,"BE")),""))</f>
        <v/>
      </c>
      <c r="F51" s="25" t="str">
        <f>IF($A51="","",IF($B51=0,"—",IF(OR($C51&lt;=-'⚙️ Setelan'!$B$5,$B51&gt;'⚙️ Setelan'!$B$6,COUNTIFS('📒 Jurnal'!$B$3:$B$502,$A51,'📒 Jurnal'!$AL$3:$AL$502,"⚠️ Revenge")&gt;0),"🔴 LANGGAR","✅ Aman")))</f>
        <v/>
      </c>
      <c r="G51" s="45" t="str">
        <f>IF($A51="","",SUM($D$3:$D51))</f>
        <v/>
      </c>
      <c r="H51" s="45" t="str">
        <f>IF($A51="","",MAX($G$3:$G51))</f>
        <v/>
      </c>
      <c r="I51" s="45" t="str">
        <f t="shared" si="0"/>
        <v/>
      </c>
    </row>
    <row r="52" spans="2:9">
      <c r="B52" s="25" t="str">
        <f>IF($A52="","",(COUNTIFS('📒 Jurnal'!$B$3:$B$502,$A52,'📒 Jurnal'!$Z$3:$Z$502,"Win")+COUNTIFS('📒 Jurnal'!$B$3:$B$502,$A52,'📒 Jurnal'!$Z$3:$Z$502,"Loss")+COUNTIFS('📒 Jurnal'!$B$3:$B$502,$A52,'📒 Jurnal'!$Z$3:$Z$502,"BE")))</f>
        <v/>
      </c>
      <c r="C52" s="28" t="str">
        <f>IF($A52="","",SUMIFS('📒 Jurnal'!$X$3:$X$502,'📒 Jurnal'!$B$3:$B$502,$A52))</f>
        <v/>
      </c>
      <c r="D52" s="24" t="str">
        <f>IF($A52="","",SUMIFS('📒 Jurnal'!$Y$3:$Y$502,'📒 Jurnal'!$B$3:$B$502,$A52))</f>
        <v/>
      </c>
      <c r="E52" s="23" t="str">
        <f>IF($A52="","",IFERROR(COUNTIFS('📒 Jurnal'!$B$3:$B$502,$A52,'📒 Jurnal'!$Z$3:$Z$502,"Win")/(COUNTIFS('📒 Jurnal'!$B$3:$B$502,$A52,'📒 Jurnal'!$Z$3:$Z$502,"Win")+COUNTIFS('📒 Jurnal'!$B$3:$B$502,$A52,'📒 Jurnal'!$Z$3:$Z$502,"Loss")+COUNTIFS('📒 Jurnal'!$B$3:$B$502,$A52,'📒 Jurnal'!$Z$3:$Z$502,"BE")),""))</f>
        <v/>
      </c>
      <c r="F52" s="25" t="str">
        <f>IF($A52="","",IF($B52=0,"—",IF(OR($C52&lt;=-'⚙️ Setelan'!$B$5,$B52&gt;'⚙️ Setelan'!$B$6,COUNTIFS('📒 Jurnal'!$B$3:$B$502,$A52,'📒 Jurnal'!$AL$3:$AL$502,"⚠️ Revenge")&gt;0),"🔴 LANGGAR","✅ Aman")))</f>
        <v/>
      </c>
      <c r="G52" s="45" t="str">
        <f>IF($A52="","",SUM($D$3:$D52))</f>
        <v/>
      </c>
      <c r="H52" s="45" t="str">
        <f>IF($A52="","",MAX($G$3:$G52))</f>
        <v/>
      </c>
      <c r="I52" s="45" t="str">
        <f t="shared" si="0"/>
        <v/>
      </c>
    </row>
    <row r="53" spans="2:9">
      <c r="B53" s="25" t="str">
        <f>IF($A53="","",(COUNTIFS('📒 Jurnal'!$B$3:$B$502,$A53,'📒 Jurnal'!$Z$3:$Z$502,"Win")+COUNTIFS('📒 Jurnal'!$B$3:$B$502,$A53,'📒 Jurnal'!$Z$3:$Z$502,"Loss")+COUNTIFS('📒 Jurnal'!$B$3:$B$502,$A53,'📒 Jurnal'!$Z$3:$Z$502,"BE")))</f>
        <v/>
      </c>
      <c r="C53" s="28" t="str">
        <f>IF($A53="","",SUMIFS('📒 Jurnal'!$X$3:$X$502,'📒 Jurnal'!$B$3:$B$502,$A53))</f>
        <v/>
      </c>
      <c r="D53" s="24" t="str">
        <f>IF($A53="","",SUMIFS('📒 Jurnal'!$Y$3:$Y$502,'📒 Jurnal'!$B$3:$B$502,$A53))</f>
        <v/>
      </c>
      <c r="E53" s="23" t="str">
        <f>IF($A53="","",IFERROR(COUNTIFS('📒 Jurnal'!$B$3:$B$502,$A53,'📒 Jurnal'!$Z$3:$Z$502,"Win")/(COUNTIFS('📒 Jurnal'!$B$3:$B$502,$A53,'📒 Jurnal'!$Z$3:$Z$502,"Win")+COUNTIFS('📒 Jurnal'!$B$3:$B$502,$A53,'📒 Jurnal'!$Z$3:$Z$502,"Loss")+COUNTIFS('📒 Jurnal'!$B$3:$B$502,$A53,'📒 Jurnal'!$Z$3:$Z$502,"BE")),""))</f>
        <v/>
      </c>
      <c r="F53" s="25" t="str">
        <f>IF($A53="","",IF($B53=0,"—",IF(OR($C53&lt;=-'⚙️ Setelan'!$B$5,$B53&gt;'⚙️ Setelan'!$B$6,COUNTIFS('📒 Jurnal'!$B$3:$B$502,$A53,'📒 Jurnal'!$AL$3:$AL$502,"⚠️ Revenge")&gt;0),"🔴 LANGGAR","✅ Aman")))</f>
        <v/>
      </c>
      <c r="G53" s="45" t="str">
        <f>IF($A53="","",SUM($D$3:$D53))</f>
        <v/>
      </c>
      <c r="H53" s="45" t="str">
        <f>IF($A53="","",MAX($G$3:$G53))</f>
        <v/>
      </c>
      <c r="I53" s="45" t="str">
        <f t="shared" si="0"/>
        <v/>
      </c>
    </row>
    <row r="54" spans="2:9">
      <c r="B54" s="25" t="str">
        <f>IF($A54="","",(COUNTIFS('📒 Jurnal'!$B$3:$B$502,$A54,'📒 Jurnal'!$Z$3:$Z$502,"Win")+COUNTIFS('📒 Jurnal'!$B$3:$B$502,$A54,'📒 Jurnal'!$Z$3:$Z$502,"Loss")+COUNTIFS('📒 Jurnal'!$B$3:$B$502,$A54,'📒 Jurnal'!$Z$3:$Z$502,"BE")))</f>
        <v/>
      </c>
      <c r="C54" s="28" t="str">
        <f>IF($A54="","",SUMIFS('📒 Jurnal'!$X$3:$X$502,'📒 Jurnal'!$B$3:$B$502,$A54))</f>
        <v/>
      </c>
      <c r="D54" s="24" t="str">
        <f>IF($A54="","",SUMIFS('📒 Jurnal'!$Y$3:$Y$502,'📒 Jurnal'!$B$3:$B$502,$A54))</f>
        <v/>
      </c>
      <c r="E54" s="23" t="str">
        <f>IF($A54="","",IFERROR(COUNTIFS('📒 Jurnal'!$B$3:$B$502,$A54,'📒 Jurnal'!$Z$3:$Z$502,"Win")/(COUNTIFS('📒 Jurnal'!$B$3:$B$502,$A54,'📒 Jurnal'!$Z$3:$Z$502,"Win")+COUNTIFS('📒 Jurnal'!$B$3:$B$502,$A54,'📒 Jurnal'!$Z$3:$Z$502,"Loss")+COUNTIFS('📒 Jurnal'!$B$3:$B$502,$A54,'📒 Jurnal'!$Z$3:$Z$502,"BE")),""))</f>
        <v/>
      </c>
      <c r="F54" s="25" t="str">
        <f>IF($A54="","",IF($B54=0,"—",IF(OR($C54&lt;=-'⚙️ Setelan'!$B$5,$B54&gt;'⚙️ Setelan'!$B$6,COUNTIFS('📒 Jurnal'!$B$3:$B$502,$A54,'📒 Jurnal'!$AL$3:$AL$502,"⚠️ Revenge")&gt;0),"🔴 LANGGAR","✅ Aman")))</f>
        <v/>
      </c>
      <c r="G54" s="45" t="str">
        <f>IF($A54="","",SUM($D$3:$D54))</f>
        <v/>
      </c>
      <c r="H54" s="45" t="str">
        <f>IF($A54="","",MAX($G$3:$G54))</f>
        <v/>
      </c>
      <c r="I54" s="45" t="str">
        <f t="shared" si="0"/>
        <v/>
      </c>
    </row>
    <row r="55" spans="2:9">
      <c r="B55" s="25" t="str">
        <f>IF($A55="","",(COUNTIFS('📒 Jurnal'!$B$3:$B$502,$A55,'📒 Jurnal'!$Z$3:$Z$502,"Win")+COUNTIFS('📒 Jurnal'!$B$3:$B$502,$A55,'📒 Jurnal'!$Z$3:$Z$502,"Loss")+COUNTIFS('📒 Jurnal'!$B$3:$B$502,$A55,'📒 Jurnal'!$Z$3:$Z$502,"BE")))</f>
        <v/>
      </c>
      <c r="C55" s="28" t="str">
        <f>IF($A55="","",SUMIFS('📒 Jurnal'!$X$3:$X$502,'📒 Jurnal'!$B$3:$B$502,$A55))</f>
        <v/>
      </c>
      <c r="D55" s="24" t="str">
        <f>IF($A55="","",SUMIFS('📒 Jurnal'!$Y$3:$Y$502,'📒 Jurnal'!$B$3:$B$502,$A55))</f>
        <v/>
      </c>
      <c r="E55" s="23" t="str">
        <f>IF($A55="","",IFERROR(COUNTIFS('📒 Jurnal'!$B$3:$B$502,$A55,'📒 Jurnal'!$Z$3:$Z$502,"Win")/(COUNTIFS('📒 Jurnal'!$B$3:$B$502,$A55,'📒 Jurnal'!$Z$3:$Z$502,"Win")+COUNTIFS('📒 Jurnal'!$B$3:$B$502,$A55,'📒 Jurnal'!$Z$3:$Z$502,"Loss")+COUNTIFS('📒 Jurnal'!$B$3:$B$502,$A55,'📒 Jurnal'!$Z$3:$Z$502,"BE")),""))</f>
        <v/>
      </c>
      <c r="F55" s="25" t="str">
        <f>IF($A55="","",IF($B55=0,"—",IF(OR($C55&lt;=-'⚙️ Setelan'!$B$5,$B55&gt;'⚙️ Setelan'!$B$6,COUNTIFS('📒 Jurnal'!$B$3:$B$502,$A55,'📒 Jurnal'!$AL$3:$AL$502,"⚠️ Revenge")&gt;0),"🔴 LANGGAR","✅ Aman")))</f>
        <v/>
      </c>
      <c r="G55" s="45" t="str">
        <f>IF($A55="","",SUM($D$3:$D55))</f>
        <v/>
      </c>
      <c r="H55" s="45" t="str">
        <f>IF($A55="","",MAX($G$3:$G55))</f>
        <v/>
      </c>
      <c r="I55" s="45" t="str">
        <f t="shared" si="0"/>
        <v/>
      </c>
    </row>
    <row r="56" spans="2:9">
      <c r="B56" s="25" t="str">
        <f>IF($A56="","",(COUNTIFS('📒 Jurnal'!$B$3:$B$502,$A56,'📒 Jurnal'!$Z$3:$Z$502,"Win")+COUNTIFS('📒 Jurnal'!$B$3:$B$502,$A56,'📒 Jurnal'!$Z$3:$Z$502,"Loss")+COUNTIFS('📒 Jurnal'!$B$3:$B$502,$A56,'📒 Jurnal'!$Z$3:$Z$502,"BE")))</f>
        <v/>
      </c>
      <c r="C56" s="28" t="str">
        <f>IF($A56="","",SUMIFS('📒 Jurnal'!$X$3:$X$502,'📒 Jurnal'!$B$3:$B$502,$A56))</f>
        <v/>
      </c>
      <c r="D56" s="24" t="str">
        <f>IF($A56="","",SUMIFS('📒 Jurnal'!$Y$3:$Y$502,'📒 Jurnal'!$B$3:$B$502,$A56))</f>
        <v/>
      </c>
      <c r="E56" s="23" t="str">
        <f>IF($A56="","",IFERROR(COUNTIFS('📒 Jurnal'!$B$3:$B$502,$A56,'📒 Jurnal'!$Z$3:$Z$502,"Win")/(COUNTIFS('📒 Jurnal'!$B$3:$B$502,$A56,'📒 Jurnal'!$Z$3:$Z$502,"Win")+COUNTIFS('📒 Jurnal'!$B$3:$B$502,$A56,'📒 Jurnal'!$Z$3:$Z$502,"Loss")+COUNTIFS('📒 Jurnal'!$B$3:$B$502,$A56,'📒 Jurnal'!$Z$3:$Z$502,"BE")),""))</f>
        <v/>
      </c>
      <c r="F56" s="25" t="str">
        <f>IF($A56="","",IF($B56=0,"—",IF(OR($C56&lt;=-'⚙️ Setelan'!$B$5,$B56&gt;'⚙️ Setelan'!$B$6,COUNTIFS('📒 Jurnal'!$B$3:$B$502,$A56,'📒 Jurnal'!$AL$3:$AL$502,"⚠️ Revenge")&gt;0),"🔴 LANGGAR","✅ Aman")))</f>
        <v/>
      </c>
      <c r="G56" s="45" t="str">
        <f>IF($A56="","",SUM($D$3:$D56))</f>
        <v/>
      </c>
      <c r="H56" s="45" t="str">
        <f>IF($A56="","",MAX($G$3:$G56))</f>
        <v/>
      </c>
      <c r="I56" s="45" t="str">
        <f t="shared" si="0"/>
        <v/>
      </c>
    </row>
    <row r="57" spans="2:9">
      <c r="B57" s="25" t="str">
        <f>IF($A57="","",(COUNTIFS('📒 Jurnal'!$B$3:$B$502,$A57,'📒 Jurnal'!$Z$3:$Z$502,"Win")+COUNTIFS('📒 Jurnal'!$B$3:$B$502,$A57,'📒 Jurnal'!$Z$3:$Z$502,"Loss")+COUNTIFS('📒 Jurnal'!$B$3:$B$502,$A57,'📒 Jurnal'!$Z$3:$Z$502,"BE")))</f>
        <v/>
      </c>
      <c r="C57" s="28" t="str">
        <f>IF($A57="","",SUMIFS('📒 Jurnal'!$X$3:$X$502,'📒 Jurnal'!$B$3:$B$502,$A57))</f>
        <v/>
      </c>
      <c r="D57" s="24" t="str">
        <f>IF($A57="","",SUMIFS('📒 Jurnal'!$Y$3:$Y$502,'📒 Jurnal'!$B$3:$B$502,$A57))</f>
        <v/>
      </c>
      <c r="E57" s="23" t="str">
        <f>IF($A57="","",IFERROR(COUNTIFS('📒 Jurnal'!$B$3:$B$502,$A57,'📒 Jurnal'!$Z$3:$Z$502,"Win")/(COUNTIFS('📒 Jurnal'!$B$3:$B$502,$A57,'📒 Jurnal'!$Z$3:$Z$502,"Win")+COUNTIFS('📒 Jurnal'!$B$3:$B$502,$A57,'📒 Jurnal'!$Z$3:$Z$502,"Loss")+COUNTIFS('📒 Jurnal'!$B$3:$B$502,$A57,'📒 Jurnal'!$Z$3:$Z$502,"BE")),""))</f>
        <v/>
      </c>
      <c r="F57" s="25" t="str">
        <f>IF($A57="","",IF($B57=0,"—",IF(OR($C57&lt;=-'⚙️ Setelan'!$B$5,$B57&gt;'⚙️ Setelan'!$B$6,COUNTIFS('📒 Jurnal'!$B$3:$B$502,$A57,'📒 Jurnal'!$AL$3:$AL$502,"⚠️ Revenge")&gt;0),"🔴 LANGGAR","✅ Aman")))</f>
        <v/>
      </c>
      <c r="G57" s="45" t="str">
        <f>IF($A57="","",SUM($D$3:$D57))</f>
        <v/>
      </c>
      <c r="H57" s="45" t="str">
        <f>IF($A57="","",MAX($G$3:$G57))</f>
        <v/>
      </c>
      <c r="I57" s="45" t="str">
        <f t="shared" si="0"/>
        <v/>
      </c>
    </row>
    <row r="58" spans="2:9">
      <c r="B58" s="25" t="str">
        <f>IF($A58="","",(COUNTIFS('📒 Jurnal'!$B$3:$B$502,$A58,'📒 Jurnal'!$Z$3:$Z$502,"Win")+COUNTIFS('📒 Jurnal'!$B$3:$B$502,$A58,'📒 Jurnal'!$Z$3:$Z$502,"Loss")+COUNTIFS('📒 Jurnal'!$B$3:$B$502,$A58,'📒 Jurnal'!$Z$3:$Z$502,"BE")))</f>
        <v/>
      </c>
      <c r="C58" s="28" t="str">
        <f>IF($A58="","",SUMIFS('📒 Jurnal'!$X$3:$X$502,'📒 Jurnal'!$B$3:$B$502,$A58))</f>
        <v/>
      </c>
      <c r="D58" s="24" t="str">
        <f>IF($A58="","",SUMIFS('📒 Jurnal'!$Y$3:$Y$502,'📒 Jurnal'!$B$3:$B$502,$A58))</f>
        <v/>
      </c>
      <c r="E58" s="23" t="str">
        <f>IF($A58="","",IFERROR(COUNTIFS('📒 Jurnal'!$B$3:$B$502,$A58,'📒 Jurnal'!$Z$3:$Z$502,"Win")/(COUNTIFS('📒 Jurnal'!$B$3:$B$502,$A58,'📒 Jurnal'!$Z$3:$Z$502,"Win")+COUNTIFS('📒 Jurnal'!$B$3:$B$502,$A58,'📒 Jurnal'!$Z$3:$Z$502,"Loss")+COUNTIFS('📒 Jurnal'!$B$3:$B$502,$A58,'📒 Jurnal'!$Z$3:$Z$502,"BE")),""))</f>
        <v/>
      </c>
      <c r="F58" s="25" t="str">
        <f>IF($A58="","",IF($B58=0,"—",IF(OR($C58&lt;=-'⚙️ Setelan'!$B$5,$B58&gt;'⚙️ Setelan'!$B$6,COUNTIFS('📒 Jurnal'!$B$3:$B$502,$A58,'📒 Jurnal'!$AL$3:$AL$502,"⚠️ Revenge")&gt;0),"🔴 LANGGAR","✅ Aman")))</f>
        <v/>
      </c>
      <c r="G58" s="45" t="str">
        <f>IF($A58="","",SUM($D$3:$D58))</f>
        <v/>
      </c>
      <c r="H58" s="45" t="str">
        <f>IF($A58="","",MAX($G$3:$G58))</f>
        <v/>
      </c>
      <c r="I58" s="45" t="str">
        <f t="shared" si="0"/>
        <v/>
      </c>
    </row>
    <row r="59" spans="2:9">
      <c r="B59" s="25" t="str">
        <f>IF($A59="","",(COUNTIFS('📒 Jurnal'!$B$3:$B$502,$A59,'📒 Jurnal'!$Z$3:$Z$502,"Win")+COUNTIFS('📒 Jurnal'!$B$3:$B$502,$A59,'📒 Jurnal'!$Z$3:$Z$502,"Loss")+COUNTIFS('📒 Jurnal'!$B$3:$B$502,$A59,'📒 Jurnal'!$Z$3:$Z$502,"BE")))</f>
        <v/>
      </c>
      <c r="C59" s="28" t="str">
        <f>IF($A59="","",SUMIFS('📒 Jurnal'!$X$3:$X$502,'📒 Jurnal'!$B$3:$B$502,$A59))</f>
        <v/>
      </c>
      <c r="D59" s="24" t="str">
        <f>IF($A59="","",SUMIFS('📒 Jurnal'!$Y$3:$Y$502,'📒 Jurnal'!$B$3:$B$502,$A59))</f>
        <v/>
      </c>
      <c r="E59" s="23" t="str">
        <f>IF($A59="","",IFERROR(COUNTIFS('📒 Jurnal'!$B$3:$B$502,$A59,'📒 Jurnal'!$Z$3:$Z$502,"Win")/(COUNTIFS('📒 Jurnal'!$B$3:$B$502,$A59,'📒 Jurnal'!$Z$3:$Z$502,"Win")+COUNTIFS('📒 Jurnal'!$B$3:$B$502,$A59,'📒 Jurnal'!$Z$3:$Z$502,"Loss")+COUNTIFS('📒 Jurnal'!$B$3:$B$502,$A59,'📒 Jurnal'!$Z$3:$Z$502,"BE")),""))</f>
        <v/>
      </c>
      <c r="F59" s="25" t="str">
        <f>IF($A59="","",IF($B59=0,"—",IF(OR($C59&lt;=-'⚙️ Setelan'!$B$5,$B59&gt;'⚙️ Setelan'!$B$6,COUNTIFS('📒 Jurnal'!$B$3:$B$502,$A59,'📒 Jurnal'!$AL$3:$AL$502,"⚠️ Revenge")&gt;0),"🔴 LANGGAR","✅ Aman")))</f>
        <v/>
      </c>
      <c r="G59" s="45" t="str">
        <f>IF($A59="","",SUM($D$3:$D59))</f>
        <v/>
      </c>
      <c r="H59" s="45" t="str">
        <f>IF($A59="","",MAX($G$3:$G59))</f>
        <v/>
      </c>
      <c r="I59" s="45" t="str">
        <f t="shared" si="0"/>
        <v/>
      </c>
    </row>
    <row r="60" spans="2:9">
      <c r="B60" s="25" t="str">
        <f>IF($A60="","",(COUNTIFS('📒 Jurnal'!$B$3:$B$502,$A60,'📒 Jurnal'!$Z$3:$Z$502,"Win")+COUNTIFS('📒 Jurnal'!$B$3:$B$502,$A60,'📒 Jurnal'!$Z$3:$Z$502,"Loss")+COUNTIFS('📒 Jurnal'!$B$3:$B$502,$A60,'📒 Jurnal'!$Z$3:$Z$502,"BE")))</f>
        <v/>
      </c>
      <c r="C60" s="28" t="str">
        <f>IF($A60="","",SUMIFS('📒 Jurnal'!$X$3:$X$502,'📒 Jurnal'!$B$3:$B$502,$A60))</f>
        <v/>
      </c>
      <c r="D60" s="24" t="str">
        <f>IF($A60="","",SUMIFS('📒 Jurnal'!$Y$3:$Y$502,'📒 Jurnal'!$B$3:$B$502,$A60))</f>
        <v/>
      </c>
      <c r="E60" s="23" t="str">
        <f>IF($A60="","",IFERROR(COUNTIFS('📒 Jurnal'!$B$3:$B$502,$A60,'📒 Jurnal'!$Z$3:$Z$502,"Win")/(COUNTIFS('📒 Jurnal'!$B$3:$B$502,$A60,'📒 Jurnal'!$Z$3:$Z$502,"Win")+COUNTIFS('📒 Jurnal'!$B$3:$B$502,$A60,'📒 Jurnal'!$Z$3:$Z$502,"Loss")+COUNTIFS('📒 Jurnal'!$B$3:$B$502,$A60,'📒 Jurnal'!$Z$3:$Z$502,"BE")),""))</f>
        <v/>
      </c>
      <c r="F60" s="25" t="str">
        <f>IF($A60="","",IF($B60=0,"—",IF(OR($C60&lt;=-'⚙️ Setelan'!$B$5,$B60&gt;'⚙️ Setelan'!$B$6,COUNTIFS('📒 Jurnal'!$B$3:$B$502,$A60,'📒 Jurnal'!$AL$3:$AL$502,"⚠️ Revenge")&gt;0),"🔴 LANGGAR","✅ Aman")))</f>
        <v/>
      </c>
      <c r="G60" s="45" t="str">
        <f>IF($A60="","",SUM($D$3:$D60))</f>
        <v/>
      </c>
      <c r="H60" s="45" t="str">
        <f>IF($A60="","",MAX($G$3:$G60))</f>
        <v/>
      </c>
      <c r="I60" s="45" t="str">
        <f t="shared" si="0"/>
        <v/>
      </c>
    </row>
    <row r="61" spans="2:9">
      <c r="B61" s="25" t="str">
        <f>IF($A61="","",(COUNTIFS('📒 Jurnal'!$B$3:$B$502,$A61,'📒 Jurnal'!$Z$3:$Z$502,"Win")+COUNTIFS('📒 Jurnal'!$B$3:$B$502,$A61,'📒 Jurnal'!$Z$3:$Z$502,"Loss")+COUNTIFS('📒 Jurnal'!$B$3:$B$502,$A61,'📒 Jurnal'!$Z$3:$Z$502,"BE")))</f>
        <v/>
      </c>
      <c r="C61" s="28" t="str">
        <f>IF($A61="","",SUMIFS('📒 Jurnal'!$X$3:$X$502,'📒 Jurnal'!$B$3:$B$502,$A61))</f>
        <v/>
      </c>
      <c r="D61" s="24" t="str">
        <f>IF($A61="","",SUMIFS('📒 Jurnal'!$Y$3:$Y$502,'📒 Jurnal'!$B$3:$B$502,$A61))</f>
        <v/>
      </c>
      <c r="E61" s="23" t="str">
        <f>IF($A61="","",IFERROR(COUNTIFS('📒 Jurnal'!$B$3:$B$502,$A61,'📒 Jurnal'!$Z$3:$Z$502,"Win")/(COUNTIFS('📒 Jurnal'!$B$3:$B$502,$A61,'📒 Jurnal'!$Z$3:$Z$502,"Win")+COUNTIFS('📒 Jurnal'!$B$3:$B$502,$A61,'📒 Jurnal'!$Z$3:$Z$502,"Loss")+COUNTIFS('📒 Jurnal'!$B$3:$B$502,$A61,'📒 Jurnal'!$Z$3:$Z$502,"BE")),""))</f>
        <v/>
      </c>
      <c r="F61" s="25" t="str">
        <f>IF($A61="","",IF($B61=0,"—",IF(OR($C61&lt;=-'⚙️ Setelan'!$B$5,$B61&gt;'⚙️ Setelan'!$B$6,COUNTIFS('📒 Jurnal'!$B$3:$B$502,$A61,'📒 Jurnal'!$AL$3:$AL$502,"⚠️ Revenge")&gt;0),"🔴 LANGGAR","✅ Aman")))</f>
        <v/>
      </c>
      <c r="G61" s="45" t="str">
        <f>IF($A61="","",SUM($D$3:$D61))</f>
        <v/>
      </c>
      <c r="H61" s="45" t="str">
        <f>IF($A61="","",MAX($G$3:$G61))</f>
        <v/>
      </c>
      <c r="I61" s="45" t="str">
        <f t="shared" si="0"/>
        <v/>
      </c>
    </row>
    <row r="62" spans="2:9">
      <c r="B62" s="25" t="str">
        <f>IF($A62="","",(COUNTIFS('📒 Jurnal'!$B$3:$B$502,$A62,'📒 Jurnal'!$Z$3:$Z$502,"Win")+COUNTIFS('📒 Jurnal'!$B$3:$B$502,$A62,'📒 Jurnal'!$Z$3:$Z$502,"Loss")+COUNTIFS('📒 Jurnal'!$B$3:$B$502,$A62,'📒 Jurnal'!$Z$3:$Z$502,"BE")))</f>
        <v/>
      </c>
      <c r="C62" s="28" t="str">
        <f>IF($A62="","",SUMIFS('📒 Jurnal'!$X$3:$X$502,'📒 Jurnal'!$B$3:$B$502,$A62))</f>
        <v/>
      </c>
      <c r="D62" s="24" t="str">
        <f>IF($A62="","",SUMIFS('📒 Jurnal'!$Y$3:$Y$502,'📒 Jurnal'!$B$3:$B$502,$A62))</f>
        <v/>
      </c>
      <c r="E62" s="23" t="str">
        <f>IF($A62="","",IFERROR(COUNTIFS('📒 Jurnal'!$B$3:$B$502,$A62,'📒 Jurnal'!$Z$3:$Z$502,"Win")/(COUNTIFS('📒 Jurnal'!$B$3:$B$502,$A62,'📒 Jurnal'!$Z$3:$Z$502,"Win")+COUNTIFS('📒 Jurnal'!$B$3:$B$502,$A62,'📒 Jurnal'!$Z$3:$Z$502,"Loss")+COUNTIFS('📒 Jurnal'!$B$3:$B$502,$A62,'📒 Jurnal'!$Z$3:$Z$502,"BE")),""))</f>
        <v/>
      </c>
      <c r="F62" s="25" t="str">
        <f>IF($A62="","",IF($B62=0,"—",IF(OR($C62&lt;=-'⚙️ Setelan'!$B$5,$B62&gt;'⚙️ Setelan'!$B$6,COUNTIFS('📒 Jurnal'!$B$3:$B$502,$A62,'📒 Jurnal'!$AL$3:$AL$502,"⚠️ Revenge")&gt;0),"🔴 LANGGAR","✅ Aman")))</f>
        <v/>
      </c>
      <c r="G62" s="45" t="str">
        <f>IF($A62="","",SUM($D$3:$D62))</f>
        <v/>
      </c>
      <c r="H62" s="45" t="str">
        <f>IF($A62="","",MAX($G$3:$G62))</f>
        <v/>
      </c>
      <c r="I62" s="45" t="str">
        <f t="shared" si="0"/>
        <v/>
      </c>
    </row>
    <row r="63" spans="2:9">
      <c r="B63" s="25" t="str">
        <f>IF($A63="","",(COUNTIFS('📒 Jurnal'!$B$3:$B$502,$A63,'📒 Jurnal'!$Z$3:$Z$502,"Win")+COUNTIFS('📒 Jurnal'!$B$3:$B$502,$A63,'📒 Jurnal'!$Z$3:$Z$502,"Loss")+COUNTIFS('📒 Jurnal'!$B$3:$B$502,$A63,'📒 Jurnal'!$Z$3:$Z$502,"BE")))</f>
        <v/>
      </c>
      <c r="C63" s="28" t="str">
        <f>IF($A63="","",SUMIFS('📒 Jurnal'!$X$3:$X$502,'📒 Jurnal'!$B$3:$B$502,$A63))</f>
        <v/>
      </c>
      <c r="D63" s="24" t="str">
        <f>IF($A63="","",SUMIFS('📒 Jurnal'!$Y$3:$Y$502,'📒 Jurnal'!$B$3:$B$502,$A63))</f>
        <v/>
      </c>
      <c r="E63" s="23" t="str">
        <f>IF($A63="","",IFERROR(COUNTIFS('📒 Jurnal'!$B$3:$B$502,$A63,'📒 Jurnal'!$Z$3:$Z$502,"Win")/(COUNTIFS('📒 Jurnal'!$B$3:$B$502,$A63,'📒 Jurnal'!$Z$3:$Z$502,"Win")+COUNTIFS('📒 Jurnal'!$B$3:$B$502,$A63,'📒 Jurnal'!$Z$3:$Z$502,"Loss")+COUNTIFS('📒 Jurnal'!$B$3:$B$502,$A63,'📒 Jurnal'!$Z$3:$Z$502,"BE")),""))</f>
        <v/>
      </c>
      <c r="F63" s="25" t="str">
        <f>IF($A63="","",IF($B63=0,"—",IF(OR($C63&lt;=-'⚙️ Setelan'!$B$5,$B63&gt;'⚙️ Setelan'!$B$6,COUNTIFS('📒 Jurnal'!$B$3:$B$502,$A63,'📒 Jurnal'!$AL$3:$AL$502,"⚠️ Revenge")&gt;0),"🔴 LANGGAR","✅ Aman")))</f>
        <v/>
      </c>
      <c r="G63" s="45" t="str">
        <f>IF($A63="","",SUM($D$3:$D63))</f>
        <v/>
      </c>
      <c r="H63" s="45" t="str">
        <f>IF($A63="","",MAX($G$3:$G63))</f>
        <v/>
      </c>
      <c r="I63" s="45" t="str">
        <f t="shared" si="0"/>
        <v/>
      </c>
    </row>
    <row r="64" spans="2:9">
      <c r="B64" s="25" t="str">
        <f>IF($A64="","",(COUNTIFS('📒 Jurnal'!$B$3:$B$502,$A64,'📒 Jurnal'!$Z$3:$Z$502,"Win")+COUNTIFS('📒 Jurnal'!$B$3:$B$502,$A64,'📒 Jurnal'!$Z$3:$Z$502,"Loss")+COUNTIFS('📒 Jurnal'!$B$3:$B$502,$A64,'📒 Jurnal'!$Z$3:$Z$502,"BE")))</f>
        <v/>
      </c>
      <c r="C64" s="28" t="str">
        <f>IF($A64="","",SUMIFS('📒 Jurnal'!$X$3:$X$502,'📒 Jurnal'!$B$3:$B$502,$A64))</f>
        <v/>
      </c>
      <c r="D64" s="24" t="str">
        <f>IF($A64="","",SUMIFS('📒 Jurnal'!$Y$3:$Y$502,'📒 Jurnal'!$B$3:$B$502,$A64))</f>
        <v/>
      </c>
      <c r="E64" s="23" t="str">
        <f>IF($A64="","",IFERROR(COUNTIFS('📒 Jurnal'!$B$3:$B$502,$A64,'📒 Jurnal'!$Z$3:$Z$502,"Win")/(COUNTIFS('📒 Jurnal'!$B$3:$B$502,$A64,'📒 Jurnal'!$Z$3:$Z$502,"Win")+COUNTIFS('📒 Jurnal'!$B$3:$B$502,$A64,'📒 Jurnal'!$Z$3:$Z$502,"Loss")+COUNTIFS('📒 Jurnal'!$B$3:$B$502,$A64,'📒 Jurnal'!$Z$3:$Z$502,"BE")),""))</f>
        <v/>
      </c>
      <c r="F64" s="25" t="str">
        <f>IF($A64="","",IF($B64=0,"—",IF(OR($C64&lt;=-'⚙️ Setelan'!$B$5,$B64&gt;'⚙️ Setelan'!$B$6,COUNTIFS('📒 Jurnal'!$B$3:$B$502,$A64,'📒 Jurnal'!$AL$3:$AL$502,"⚠️ Revenge")&gt;0),"🔴 LANGGAR","✅ Aman")))</f>
        <v/>
      </c>
      <c r="G64" s="45" t="str">
        <f>IF($A64="","",SUM($D$3:$D64))</f>
        <v/>
      </c>
      <c r="H64" s="45" t="str">
        <f>IF($A64="","",MAX($G$3:$G64))</f>
        <v/>
      </c>
      <c r="I64" s="45" t="str">
        <f t="shared" si="0"/>
        <v/>
      </c>
    </row>
    <row r="65" spans="2:9">
      <c r="B65" s="25" t="str">
        <f>IF($A65="","",(COUNTIFS('📒 Jurnal'!$B$3:$B$502,$A65,'📒 Jurnal'!$Z$3:$Z$502,"Win")+COUNTIFS('📒 Jurnal'!$B$3:$B$502,$A65,'📒 Jurnal'!$Z$3:$Z$502,"Loss")+COUNTIFS('📒 Jurnal'!$B$3:$B$502,$A65,'📒 Jurnal'!$Z$3:$Z$502,"BE")))</f>
        <v/>
      </c>
      <c r="C65" s="28" t="str">
        <f>IF($A65="","",SUMIFS('📒 Jurnal'!$X$3:$X$502,'📒 Jurnal'!$B$3:$B$502,$A65))</f>
        <v/>
      </c>
      <c r="D65" s="24" t="str">
        <f>IF($A65="","",SUMIFS('📒 Jurnal'!$Y$3:$Y$502,'📒 Jurnal'!$B$3:$B$502,$A65))</f>
        <v/>
      </c>
      <c r="E65" s="23" t="str">
        <f>IF($A65="","",IFERROR(COUNTIFS('📒 Jurnal'!$B$3:$B$502,$A65,'📒 Jurnal'!$Z$3:$Z$502,"Win")/(COUNTIFS('📒 Jurnal'!$B$3:$B$502,$A65,'📒 Jurnal'!$Z$3:$Z$502,"Win")+COUNTIFS('📒 Jurnal'!$B$3:$B$502,$A65,'📒 Jurnal'!$Z$3:$Z$502,"Loss")+COUNTIFS('📒 Jurnal'!$B$3:$B$502,$A65,'📒 Jurnal'!$Z$3:$Z$502,"BE")),""))</f>
        <v/>
      </c>
      <c r="F65" s="25" t="str">
        <f>IF($A65="","",IF($B65=0,"—",IF(OR($C65&lt;=-'⚙️ Setelan'!$B$5,$B65&gt;'⚙️ Setelan'!$B$6,COUNTIFS('📒 Jurnal'!$B$3:$B$502,$A65,'📒 Jurnal'!$AL$3:$AL$502,"⚠️ Revenge")&gt;0),"🔴 LANGGAR","✅ Aman")))</f>
        <v/>
      </c>
      <c r="G65" s="45" t="str">
        <f>IF($A65="","",SUM($D$3:$D65))</f>
        <v/>
      </c>
      <c r="H65" s="45" t="str">
        <f>IF($A65="","",MAX($G$3:$G65))</f>
        <v/>
      </c>
      <c r="I65" s="45" t="str">
        <f t="shared" si="0"/>
        <v/>
      </c>
    </row>
    <row r="66" spans="2:9">
      <c r="B66" s="25" t="str">
        <f>IF($A66="","",(COUNTIFS('📒 Jurnal'!$B$3:$B$502,$A66,'📒 Jurnal'!$Z$3:$Z$502,"Win")+COUNTIFS('📒 Jurnal'!$B$3:$B$502,$A66,'📒 Jurnal'!$Z$3:$Z$502,"Loss")+COUNTIFS('📒 Jurnal'!$B$3:$B$502,$A66,'📒 Jurnal'!$Z$3:$Z$502,"BE")))</f>
        <v/>
      </c>
      <c r="C66" s="28" t="str">
        <f>IF($A66="","",SUMIFS('📒 Jurnal'!$X$3:$X$502,'📒 Jurnal'!$B$3:$B$502,$A66))</f>
        <v/>
      </c>
      <c r="D66" s="24" t="str">
        <f>IF($A66="","",SUMIFS('📒 Jurnal'!$Y$3:$Y$502,'📒 Jurnal'!$B$3:$B$502,$A66))</f>
        <v/>
      </c>
      <c r="E66" s="23" t="str">
        <f>IF($A66="","",IFERROR(COUNTIFS('📒 Jurnal'!$B$3:$B$502,$A66,'📒 Jurnal'!$Z$3:$Z$502,"Win")/(COUNTIFS('📒 Jurnal'!$B$3:$B$502,$A66,'📒 Jurnal'!$Z$3:$Z$502,"Win")+COUNTIFS('📒 Jurnal'!$B$3:$B$502,$A66,'📒 Jurnal'!$Z$3:$Z$502,"Loss")+COUNTIFS('📒 Jurnal'!$B$3:$B$502,$A66,'📒 Jurnal'!$Z$3:$Z$502,"BE")),""))</f>
        <v/>
      </c>
      <c r="F66" s="25" t="str">
        <f>IF($A66="","",IF($B66=0,"—",IF(OR($C66&lt;=-'⚙️ Setelan'!$B$5,$B66&gt;'⚙️ Setelan'!$B$6,COUNTIFS('📒 Jurnal'!$B$3:$B$502,$A66,'📒 Jurnal'!$AL$3:$AL$502,"⚠️ Revenge")&gt;0),"🔴 LANGGAR","✅ Aman")))</f>
        <v/>
      </c>
      <c r="G66" s="45" t="str">
        <f>IF($A66="","",SUM($D$3:$D66))</f>
        <v/>
      </c>
      <c r="H66" s="45" t="str">
        <f>IF($A66="","",MAX($G$3:$G66))</f>
        <v/>
      </c>
      <c r="I66" s="45" t="str">
        <f t="shared" si="0"/>
        <v/>
      </c>
    </row>
    <row r="67" spans="2:9">
      <c r="B67" s="25" t="str">
        <f>IF($A67="","",(COUNTIFS('📒 Jurnal'!$B$3:$B$502,$A67,'📒 Jurnal'!$Z$3:$Z$502,"Win")+COUNTIFS('📒 Jurnal'!$B$3:$B$502,$A67,'📒 Jurnal'!$Z$3:$Z$502,"Loss")+COUNTIFS('📒 Jurnal'!$B$3:$B$502,$A67,'📒 Jurnal'!$Z$3:$Z$502,"BE")))</f>
        <v/>
      </c>
      <c r="C67" s="28" t="str">
        <f>IF($A67="","",SUMIFS('📒 Jurnal'!$X$3:$X$502,'📒 Jurnal'!$B$3:$B$502,$A67))</f>
        <v/>
      </c>
      <c r="D67" s="24" t="str">
        <f>IF($A67="","",SUMIFS('📒 Jurnal'!$Y$3:$Y$502,'📒 Jurnal'!$B$3:$B$502,$A67))</f>
        <v/>
      </c>
      <c r="E67" s="23" t="str">
        <f>IF($A67="","",IFERROR(COUNTIFS('📒 Jurnal'!$B$3:$B$502,$A67,'📒 Jurnal'!$Z$3:$Z$502,"Win")/(COUNTIFS('📒 Jurnal'!$B$3:$B$502,$A67,'📒 Jurnal'!$Z$3:$Z$502,"Win")+COUNTIFS('📒 Jurnal'!$B$3:$B$502,$A67,'📒 Jurnal'!$Z$3:$Z$502,"Loss")+COUNTIFS('📒 Jurnal'!$B$3:$B$502,$A67,'📒 Jurnal'!$Z$3:$Z$502,"BE")),""))</f>
        <v/>
      </c>
      <c r="F67" s="25" t="str">
        <f>IF($A67="","",IF($B67=0,"—",IF(OR($C67&lt;=-'⚙️ Setelan'!$B$5,$B67&gt;'⚙️ Setelan'!$B$6,COUNTIFS('📒 Jurnal'!$B$3:$B$502,$A67,'📒 Jurnal'!$AL$3:$AL$502,"⚠️ Revenge")&gt;0),"🔴 LANGGAR","✅ Aman")))</f>
        <v/>
      </c>
      <c r="G67" s="45" t="str">
        <f>IF($A67="","",SUM($D$3:$D67))</f>
        <v/>
      </c>
      <c r="H67" s="45" t="str">
        <f>IF($A67="","",MAX($G$3:$G67))</f>
        <v/>
      </c>
      <c r="I67" s="45" t="str">
        <f t="shared" ref="I67:I130" si="1">IF($A67="","",$H67-$G67)</f>
        <v/>
      </c>
    </row>
    <row r="68" spans="2:9">
      <c r="B68" s="25" t="str">
        <f>IF($A68="","",(COUNTIFS('📒 Jurnal'!$B$3:$B$502,$A68,'📒 Jurnal'!$Z$3:$Z$502,"Win")+COUNTIFS('📒 Jurnal'!$B$3:$B$502,$A68,'📒 Jurnal'!$Z$3:$Z$502,"Loss")+COUNTIFS('📒 Jurnal'!$B$3:$B$502,$A68,'📒 Jurnal'!$Z$3:$Z$502,"BE")))</f>
        <v/>
      </c>
      <c r="C68" s="28" t="str">
        <f>IF($A68="","",SUMIFS('📒 Jurnal'!$X$3:$X$502,'📒 Jurnal'!$B$3:$B$502,$A68))</f>
        <v/>
      </c>
      <c r="D68" s="24" t="str">
        <f>IF($A68="","",SUMIFS('📒 Jurnal'!$Y$3:$Y$502,'📒 Jurnal'!$B$3:$B$502,$A68))</f>
        <v/>
      </c>
      <c r="E68" s="23" t="str">
        <f>IF($A68="","",IFERROR(COUNTIFS('📒 Jurnal'!$B$3:$B$502,$A68,'📒 Jurnal'!$Z$3:$Z$502,"Win")/(COUNTIFS('📒 Jurnal'!$B$3:$B$502,$A68,'📒 Jurnal'!$Z$3:$Z$502,"Win")+COUNTIFS('📒 Jurnal'!$B$3:$B$502,$A68,'📒 Jurnal'!$Z$3:$Z$502,"Loss")+COUNTIFS('📒 Jurnal'!$B$3:$B$502,$A68,'📒 Jurnal'!$Z$3:$Z$502,"BE")),""))</f>
        <v/>
      </c>
      <c r="F68" s="25" t="str">
        <f>IF($A68="","",IF($B68=0,"—",IF(OR($C68&lt;=-'⚙️ Setelan'!$B$5,$B68&gt;'⚙️ Setelan'!$B$6,COUNTIFS('📒 Jurnal'!$B$3:$B$502,$A68,'📒 Jurnal'!$AL$3:$AL$502,"⚠️ Revenge")&gt;0),"🔴 LANGGAR","✅ Aman")))</f>
        <v/>
      </c>
      <c r="G68" s="45" t="str">
        <f>IF($A68="","",SUM($D$3:$D68))</f>
        <v/>
      </c>
      <c r="H68" s="45" t="str">
        <f>IF($A68="","",MAX($G$3:$G68))</f>
        <v/>
      </c>
      <c r="I68" s="45" t="str">
        <f t="shared" si="1"/>
        <v/>
      </c>
    </row>
    <row r="69" spans="2:9">
      <c r="B69" s="25" t="str">
        <f>IF($A69="","",(COUNTIFS('📒 Jurnal'!$B$3:$B$502,$A69,'📒 Jurnal'!$Z$3:$Z$502,"Win")+COUNTIFS('📒 Jurnal'!$B$3:$B$502,$A69,'📒 Jurnal'!$Z$3:$Z$502,"Loss")+COUNTIFS('📒 Jurnal'!$B$3:$B$502,$A69,'📒 Jurnal'!$Z$3:$Z$502,"BE")))</f>
        <v/>
      </c>
      <c r="C69" s="28" t="str">
        <f>IF($A69="","",SUMIFS('📒 Jurnal'!$X$3:$X$502,'📒 Jurnal'!$B$3:$B$502,$A69))</f>
        <v/>
      </c>
      <c r="D69" s="24" t="str">
        <f>IF($A69="","",SUMIFS('📒 Jurnal'!$Y$3:$Y$502,'📒 Jurnal'!$B$3:$B$502,$A69))</f>
        <v/>
      </c>
      <c r="E69" s="23" t="str">
        <f>IF($A69="","",IFERROR(COUNTIFS('📒 Jurnal'!$B$3:$B$502,$A69,'📒 Jurnal'!$Z$3:$Z$502,"Win")/(COUNTIFS('📒 Jurnal'!$B$3:$B$502,$A69,'📒 Jurnal'!$Z$3:$Z$502,"Win")+COUNTIFS('📒 Jurnal'!$B$3:$B$502,$A69,'📒 Jurnal'!$Z$3:$Z$502,"Loss")+COUNTIFS('📒 Jurnal'!$B$3:$B$502,$A69,'📒 Jurnal'!$Z$3:$Z$502,"BE")),""))</f>
        <v/>
      </c>
      <c r="F69" s="25" t="str">
        <f>IF($A69="","",IF($B69=0,"—",IF(OR($C69&lt;=-'⚙️ Setelan'!$B$5,$B69&gt;'⚙️ Setelan'!$B$6,COUNTIFS('📒 Jurnal'!$B$3:$B$502,$A69,'📒 Jurnal'!$AL$3:$AL$502,"⚠️ Revenge")&gt;0),"🔴 LANGGAR","✅ Aman")))</f>
        <v/>
      </c>
      <c r="G69" s="45" t="str">
        <f>IF($A69="","",SUM($D$3:$D69))</f>
        <v/>
      </c>
      <c r="H69" s="45" t="str">
        <f>IF($A69="","",MAX($G$3:$G69))</f>
        <v/>
      </c>
      <c r="I69" s="45" t="str">
        <f t="shared" si="1"/>
        <v/>
      </c>
    </row>
    <row r="70" spans="2:9">
      <c r="B70" s="25" t="str">
        <f>IF($A70="","",(COUNTIFS('📒 Jurnal'!$B$3:$B$502,$A70,'📒 Jurnal'!$Z$3:$Z$502,"Win")+COUNTIFS('📒 Jurnal'!$B$3:$B$502,$A70,'📒 Jurnal'!$Z$3:$Z$502,"Loss")+COUNTIFS('📒 Jurnal'!$B$3:$B$502,$A70,'📒 Jurnal'!$Z$3:$Z$502,"BE")))</f>
        <v/>
      </c>
      <c r="C70" s="28" t="str">
        <f>IF($A70="","",SUMIFS('📒 Jurnal'!$X$3:$X$502,'📒 Jurnal'!$B$3:$B$502,$A70))</f>
        <v/>
      </c>
      <c r="D70" s="24" t="str">
        <f>IF($A70="","",SUMIFS('📒 Jurnal'!$Y$3:$Y$502,'📒 Jurnal'!$B$3:$B$502,$A70))</f>
        <v/>
      </c>
      <c r="E70" s="23" t="str">
        <f>IF($A70="","",IFERROR(COUNTIFS('📒 Jurnal'!$B$3:$B$502,$A70,'📒 Jurnal'!$Z$3:$Z$502,"Win")/(COUNTIFS('📒 Jurnal'!$B$3:$B$502,$A70,'📒 Jurnal'!$Z$3:$Z$502,"Win")+COUNTIFS('📒 Jurnal'!$B$3:$B$502,$A70,'📒 Jurnal'!$Z$3:$Z$502,"Loss")+COUNTIFS('📒 Jurnal'!$B$3:$B$502,$A70,'📒 Jurnal'!$Z$3:$Z$502,"BE")),""))</f>
        <v/>
      </c>
      <c r="F70" s="25" t="str">
        <f>IF($A70="","",IF($B70=0,"—",IF(OR($C70&lt;=-'⚙️ Setelan'!$B$5,$B70&gt;'⚙️ Setelan'!$B$6,COUNTIFS('📒 Jurnal'!$B$3:$B$502,$A70,'📒 Jurnal'!$AL$3:$AL$502,"⚠️ Revenge")&gt;0),"🔴 LANGGAR","✅ Aman")))</f>
        <v/>
      </c>
      <c r="G70" s="45" t="str">
        <f>IF($A70="","",SUM($D$3:$D70))</f>
        <v/>
      </c>
      <c r="H70" s="45" t="str">
        <f>IF($A70="","",MAX($G$3:$G70))</f>
        <v/>
      </c>
      <c r="I70" s="45" t="str">
        <f t="shared" si="1"/>
        <v/>
      </c>
    </row>
    <row r="71" spans="2:9">
      <c r="B71" s="25" t="str">
        <f>IF($A71="","",(COUNTIFS('📒 Jurnal'!$B$3:$B$502,$A71,'📒 Jurnal'!$Z$3:$Z$502,"Win")+COUNTIFS('📒 Jurnal'!$B$3:$B$502,$A71,'📒 Jurnal'!$Z$3:$Z$502,"Loss")+COUNTIFS('📒 Jurnal'!$B$3:$B$502,$A71,'📒 Jurnal'!$Z$3:$Z$502,"BE")))</f>
        <v/>
      </c>
      <c r="C71" s="28" t="str">
        <f>IF($A71="","",SUMIFS('📒 Jurnal'!$X$3:$X$502,'📒 Jurnal'!$B$3:$B$502,$A71))</f>
        <v/>
      </c>
      <c r="D71" s="24" t="str">
        <f>IF($A71="","",SUMIFS('📒 Jurnal'!$Y$3:$Y$502,'📒 Jurnal'!$B$3:$B$502,$A71))</f>
        <v/>
      </c>
      <c r="E71" s="23" t="str">
        <f>IF($A71="","",IFERROR(COUNTIFS('📒 Jurnal'!$B$3:$B$502,$A71,'📒 Jurnal'!$Z$3:$Z$502,"Win")/(COUNTIFS('📒 Jurnal'!$B$3:$B$502,$A71,'📒 Jurnal'!$Z$3:$Z$502,"Win")+COUNTIFS('📒 Jurnal'!$B$3:$B$502,$A71,'📒 Jurnal'!$Z$3:$Z$502,"Loss")+COUNTIFS('📒 Jurnal'!$B$3:$B$502,$A71,'📒 Jurnal'!$Z$3:$Z$502,"BE")),""))</f>
        <v/>
      </c>
      <c r="F71" s="25" t="str">
        <f>IF($A71="","",IF($B71=0,"—",IF(OR($C71&lt;=-'⚙️ Setelan'!$B$5,$B71&gt;'⚙️ Setelan'!$B$6,COUNTIFS('📒 Jurnal'!$B$3:$B$502,$A71,'📒 Jurnal'!$AL$3:$AL$502,"⚠️ Revenge")&gt;0),"🔴 LANGGAR","✅ Aman")))</f>
        <v/>
      </c>
      <c r="G71" s="45" t="str">
        <f>IF($A71="","",SUM($D$3:$D71))</f>
        <v/>
      </c>
      <c r="H71" s="45" t="str">
        <f>IF($A71="","",MAX($G$3:$G71))</f>
        <v/>
      </c>
      <c r="I71" s="45" t="str">
        <f t="shared" si="1"/>
        <v/>
      </c>
    </row>
    <row r="72" spans="2:9">
      <c r="B72" s="25" t="str">
        <f>IF($A72="","",(COUNTIFS('📒 Jurnal'!$B$3:$B$502,$A72,'📒 Jurnal'!$Z$3:$Z$502,"Win")+COUNTIFS('📒 Jurnal'!$B$3:$B$502,$A72,'📒 Jurnal'!$Z$3:$Z$502,"Loss")+COUNTIFS('📒 Jurnal'!$B$3:$B$502,$A72,'📒 Jurnal'!$Z$3:$Z$502,"BE")))</f>
        <v/>
      </c>
      <c r="C72" s="28" t="str">
        <f>IF($A72="","",SUMIFS('📒 Jurnal'!$X$3:$X$502,'📒 Jurnal'!$B$3:$B$502,$A72))</f>
        <v/>
      </c>
      <c r="D72" s="24" t="str">
        <f>IF($A72="","",SUMIFS('📒 Jurnal'!$Y$3:$Y$502,'📒 Jurnal'!$B$3:$B$502,$A72))</f>
        <v/>
      </c>
      <c r="E72" s="23" t="str">
        <f>IF($A72="","",IFERROR(COUNTIFS('📒 Jurnal'!$B$3:$B$502,$A72,'📒 Jurnal'!$Z$3:$Z$502,"Win")/(COUNTIFS('📒 Jurnal'!$B$3:$B$502,$A72,'📒 Jurnal'!$Z$3:$Z$502,"Win")+COUNTIFS('📒 Jurnal'!$B$3:$B$502,$A72,'📒 Jurnal'!$Z$3:$Z$502,"Loss")+COUNTIFS('📒 Jurnal'!$B$3:$B$502,$A72,'📒 Jurnal'!$Z$3:$Z$502,"BE")),""))</f>
        <v/>
      </c>
      <c r="F72" s="25" t="str">
        <f>IF($A72="","",IF($B72=0,"—",IF(OR($C72&lt;=-'⚙️ Setelan'!$B$5,$B72&gt;'⚙️ Setelan'!$B$6,COUNTIFS('📒 Jurnal'!$B$3:$B$502,$A72,'📒 Jurnal'!$AL$3:$AL$502,"⚠️ Revenge")&gt;0),"🔴 LANGGAR","✅ Aman")))</f>
        <v/>
      </c>
      <c r="G72" s="45" t="str">
        <f>IF($A72="","",SUM($D$3:$D72))</f>
        <v/>
      </c>
      <c r="H72" s="45" t="str">
        <f>IF($A72="","",MAX($G$3:$G72))</f>
        <v/>
      </c>
      <c r="I72" s="45" t="str">
        <f t="shared" si="1"/>
        <v/>
      </c>
    </row>
    <row r="73" spans="2:9">
      <c r="B73" s="25" t="str">
        <f>IF($A73="","",(COUNTIFS('📒 Jurnal'!$B$3:$B$502,$A73,'📒 Jurnal'!$Z$3:$Z$502,"Win")+COUNTIFS('📒 Jurnal'!$B$3:$B$502,$A73,'📒 Jurnal'!$Z$3:$Z$502,"Loss")+COUNTIFS('📒 Jurnal'!$B$3:$B$502,$A73,'📒 Jurnal'!$Z$3:$Z$502,"BE")))</f>
        <v/>
      </c>
      <c r="C73" s="28" t="str">
        <f>IF($A73="","",SUMIFS('📒 Jurnal'!$X$3:$X$502,'📒 Jurnal'!$B$3:$B$502,$A73))</f>
        <v/>
      </c>
      <c r="D73" s="24" t="str">
        <f>IF($A73="","",SUMIFS('📒 Jurnal'!$Y$3:$Y$502,'📒 Jurnal'!$B$3:$B$502,$A73))</f>
        <v/>
      </c>
      <c r="E73" s="23" t="str">
        <f>IF($A73="","",IFERROR(COUNTIFS('📒 Jurnal'!$B$3:$B$502,$A73,'📒 Jurnal'!$Z$3:$Z$502,"Win")/(COUNTIFS('📒 Jurnal'!$B$3:$B$502,$A73,'📒 Jurnal'!$Z$3:$Z$502,"Win")+COUNTIFS('📒 Jurnal'!$B$3:$B$502,$A73,'📒 Jurnal'!$Z$3:$Z$502,"Loss")+COUNTIFS('📒 Jurnal'!$B$3:$B$502,$A73,'📒 Jurnal'!$Z$3:$Z$502,"BE")),""))</f>
        <v/>
      </c>
      <c r="F73" s="25" t="str">
        <f>IF($A73="","",IF($B73=0,"—",IF(OR($C73&lt;=-'⚙️ Setelan'!$B$5,$B73&gt;'⚙️ Setelan'!$B$6,COUNTIFS('📒 Jurnal'!$B$3:$B$502,$A73,'📒 Jurnal'!$AL$3:$AL$502,"⚠️ Revenge")&gt;0),"🔴 LANGGAR","✅ Aman")))</f>
        <v/>
      </c>
      <c r="G73" s="45" t="str">
        <f>IF($A73="","",SUM($D$3:$D73))</f>
        <v/>
      </c>
      <c r="H73" s="45" t="str">
        <f>IF($A73="","",MAX($G$3:$G73))</f>
        <v/>
      </c>
      <c r="I73" s="45" t="str">
        <f t="shared" si="1"/>
        <v/>
      </c>
    </row>
    <row r="74" spans="2:9">
      <c r="B74" s="25" t="str">
        <f>IF($A74="","",(COUNTIFS('📒 Jurnal'!$B$3:$B$502,$A74,'📒 Jurnal'!$Z$3:$Z$502,"Win")+COUNTIFS('📒 Jurnal'!$B$3:$B$502,$A74,'📒 Jurnal'!$Z$3:$Z$502,"Loss")+COUNTIFS('📒 Jurnal'!$B$3:$B$502,$A74,'📒 Jurnal'!$Z$3:$Z$502,"BE")))</f>
        <v/>
      </c>
      <c r="C74" s="28" t="str">
        <f>IF($A74="","",SUMIFS('📒 Jurnal'!$X$3:$X$502,'📒 Jurnal'!$B$3:$B$502,$A74))</f>
        <v/>
      </c>
      <c r="D74" s="24" t="str">
        <f>IF($A74="","",SUMIFS('📒 Jurnal'!$Y$3:$Y$502,'📒 Jurnal'!$B$3:$B$502,$A74))</f>
        <v/>
      </c>
      <c r="E74" s="23" t="str">
        <f>IF($A74="","",IFERROR(COUNTIFS('📒 Jurnal'!$B$3:$B$502,$A74,'📒 Jurnal'!$Z$3:$Z$502,"Win")/(COUNTIFS('📒 Jurnal'!$B$3:$B$502,$A74,'📒 Jurnal'!$Z$3:$Z$502,"Win")+COUNTIFS('📒 Jurnal'!$B$3:$B$502,$A74,'📒 Jurnal'!$Z$3:$Z$502,"Loss")+COUNTIFS('📒 Jurnal'!$B$3:$B$502,$A74,'📒 Jurnal'!$Z$3:$Z$502,"BE")),""))</f>
        <v/>
      </c>
      <c r="F74" s="25" t="str">
        <f>IF($A74="","",IF($B74=0,"—",IF(OR($C74&lt;=-'⚙️ Setelan'!$B$5,$B74&gt;'⚙️ Setelan'!$B$6,COUNTIFS('📒 Jurnal'!$B$3:$B$502,$A74,'📒 Jurnal'!$AL$3:$AL$502,"⚠️ Revenge")&gt;0),"🔴 LANGGAR","✅ Aman")))</f>
        <v/>
      </c>
      <c r="G74" s="45" t="str">
        <f>IF($A74="","",SUM($D$3:$D74))</f>
        <v/>
      </c>
      <c r="H74" s="45" t="str">
        <f>IF($A74="","",MAX($G$3:$G74))</f>
        <v/>
      </c>
      <c r="I74" s="45" t="str">
        <f t="shared" si="1"/>
        <v/>
      </c>
    </row>
    <row r="75" spans="2:9">
      <c r="B75" s="25" t="str">
        <f>IF($A75="","",(COUNTIFS('📒 Jurnal'!$B$3:$B$502,$A75,'📒 Jurnal'!$Z$3:$Z$502,"Win")+COUNTIFS('📒 Jurnal'!$B$3:$B$502,$A75,'📒 Jurnal'!$Z$3:$Z$502,"Loss")+COUNTIFS('📒 Jurnal'!$B$3:$B$502,$A75,'📒 Jurnal'!$Z$3:$Z$502,"BE")))</f>
        <v/>
      </c>
      <c r="C75" s="28" t="str">
        <f>IF($A75="","",SUMIFS('📒 Jurnal'!$X$3:$X$502,'📒 Jurnal'!$B$3:$B$502,$A75))</f>
        <v/>
      </c>
      <c r="D75" s="24" t="str">
        <f>IF($A75="","",SUMIFS('📒 Jurnal'!$Y$3:$Y$502,'📒 Jurnal'!$B$3:$B$502,$A75))</f>
        <v/>
      </c>
      <c r="E75" s="23" t="str">
        <f>IF($A75="","",IFERROR(COUNTIFS('📒 Jurnal'!$B$3:$B$502,$A75,'📒 Jurnal'!$Z$3:$Z$502,"Win")/(COUNTIFS('📒 Jurnal'!$B$3:$B$502,$A75,'📒 Jurnal'!$Z$3:$Z$502,"Win")+COUNTIFS('📒 Jurnal'!$B$3:$B$502,$A75,'📒 Jurnal'!$Z$3:$Z$502,"Loss")+COUNTIFS('📒 Jurnal'!$B$3:$B$502,$A75,'📒 Jurnal'!$Z$3:$Z$502,"BE")),""))</f>
        <v/>
      </c>
      <c r="F75" s="25" t="str">
        <f>IF($A75="","",IF($B75=0,"—",IF(OR($C75&lt;=-'⚙️ Setelan'!$B$5,$B75&gt;'⚙️ Setelan'!$B$6,COUNTIFS('📒 Jurnal'!$B$3:$B$502,$A75,'📒 Jurnal'!$AL$3:$AL$502,"⚠️ Revenge")&gt;0),"🔴 LANGGAR","✅ Aman")))</f>
        <v/>
      </c>
      <c r="G75" s="45" t="str">
        <f>IF($A75="","",SUM($D$3:$D75))</f>
        <v/>
      </c>
      <c r="H75" s="45" t="str">
        <f>IF($A75="","",MAX($G$3:$G75))</f>
        <v/>
      </c>
      <c r="I75" s="45" t="str">
        <f t="shared" si="1"/>
        <v/>
      </c>
    </row>
    <row r="76" spans="2:9">
      <c r="B76" s="25" t="str">
        <f>IF($A76="","",(COUNTIFS('📒 Jurnal'!$B$3:$B$502,$A76,'📒 Jurnal'!$Z$3:$Z$502,"Win")+COUNTIFS('📒 Jurnal'!$B$3:$B$502,$A76,'📒 Jurnal'!$Z$3:$Z$502,"Loss")+COUNTIFS('📒 Jurnal'!$B$3:$B$502,$A76,'📒 Jurnal'!$Z$3:$Z$502,"BE")))</f>
        <v/>
      </c>
      <c r="C76" s="28" t="str">
        <f>IF($A76="","",SUMIFS('📒 Jurnal'!$X$3:$X$502,'📒 Jurnal'!$B$3:$B$502,$A76))</f>
        <v/>
      </c>
      <c r="D76" s="24" t="str">
        <f>IF($A76="","",SUMIFS('📒 Jurnal'!$Y$3:$Y$502,'📒 Jurnal'!$B$3:$B$502,$A76))</f>
        <v/>
      </c>
      <c r="E76" s="23" t="str">
        <f>IF($A76="","",IFERROR(COUNTIFS('📒 Jurnal'!$B$3:$B$502,$A76,'📒 Jurnal'!$Z$3:$Z$502,"Win")/(COUNTIFS('📒 Jurnal'!$B$3:$B$502,$A76,'📒 Jurnal'!$Z$3:$Z$502,"Win")+COUNTIFS('📒 Jurnal'!$B$3:$B$502,$A76,'📒 Jurnal'!$Z$3:$Z$502,"Loss")+COUNTIFS('📒 Jurnal'!$B$3:$B$502,$A76,'📒 Jurnal'!$Z$3:$Z$502,"BE")),""))</f>
        <v/>
      </c>
      <c r="F76" s="25" t="str">
        <f>IF($A76="","",IF($B76=0,"—",IF(OR($C76&lt;=-'⚙️ Setelan'!$B$5,$B76&gt;'⚙️ Setelan'!$B$6,COUNTIFS('📒 Jurnal'!$B$3:$B$502,$A76,'📒 Jurnal'!$AL$3:$AL$502,"⚠️ Revenge")&gt;0),"🔴 LANGGAR","✅ Aman")))</f>
        <v/>
      </c>
      <c r="G76" s="45" t="str">
        <f>IF($A76="","",SUM($D$3:$D76))</f>
        <v/>
      </c>
      <c r="H76" s="45" t="str">
        <f>IF($A76="","",MAX($G$3:$G76))</f>
        <v/>
      </c>
      <c r="I76" s="45" t="str">
        <f t="shared" si="1"/>
        <v/>
      </c>
    </row>
    <row r="77" spans="2:9">
      <c r="B77" s="25" t="str">
        <f>IF($A77="","",(COUNTIFS('📒 Jurnal'!$B$3:$B$502,$A77,'📒 Jurnal'!$Z$3:$Z$502,"Win")+COUNTIFS('📒 Jurnal'!$B$3:$B$502,$A77,'📒 Jurnal'!$Z$3:$Z$502,"Loss")+COUNTIFS('📒 Jurnal'!$B$3:$B$502,$A77,'📒 Jurnal'!$Z$3:$Z$502,"BE")))</f>
        <v/>
      </c>
      <c r="C77" s="28" t="str">
        <f>IF($A77="","",SUMIFS('📒 Jurnal'!$X$3:$X$502,'📒 Jurnal'!$B$3:$B$502,$A77))</f>
        <v/>
      </c>
      <c r="D77" s="24" t="str">
        <f>IF($A77="","",SUMIFS('📒 Jurnal'!$Y$3:$Y$502,'📒 Jurnal'!$B$3:$B$502,$A77))</f>
        <v/>
      </c>
      <c r="E77" s="23" t="str">
        <f>IF($A77="","",IFERROR(COUNTIFS('📒 Jurnal'!$B$3:$B$502,$A77,'📒 Jurnal'!$Z$3:$Z$502,"Win")/(COUNTIFS('📒 Jurnal'!$B$3:$B$502,$A77,'📒 Jurnal'!$Z$3:$Z$502,"Win")+COUNTIFS('📒 Jurnal'!$B$3:$B$502,$A77,'📒 Jurnal'!$Z$3:$Z$502,"Loss")+COUNTIFS('📒 Jurnal'!$B$3:$B$502,$A77,'📒 Jurnal'!$Z$3:$Z$502,"BE")),""))</f>
        <v/>
      </c>
      <c r="F77" s="25" t="str">
        <f>IF($A77="","",IF($B77=0,"—",IF(OR($C77&lt;=-'⚙️ Setelan'!$B$5,$B77&gt;'⚙️ Setelan'!$B$6,COUNTIFS('📒 Jurnal'!$B$3:$B$502,$A77,'📒 Jurnal'!$AL$3:$AL$502,"⚠️ Revenge")&gt;0),"🔴 LANGGAR","✅ Aman")))</f>
        <v/>
      </c>
      <c r="G77" s="45" t="str">
        <f>IF($A77="","",SUM($D$3:$D77))</f>
        <v/>
      </c>
      <c r="H77" s="45" t="str">
        <f>IF($A77="","",MAX($G$3:$G77))</f>
        <v/>
      </c>
      <c r="I77" s="45" t="str">
        <f t="shared" si="1"/>
        <v/>
      </c>
    </row>
    <row r="78" spans="2:9">
      <c r="B78" s="25" t="str">
        <f>IF($A78="","",(COUNTIFS('📒 Jurnal'!$B$3:$B$502,$A78,'📒 Jurnal'!$Z$3:$Z$502,"Win")+COUNTIFS('📒 Jurnal'!$B$3:$B$502,$A78,'📒 Jurnal'!$Z$3:$Z$502,"Loss")+COUNTIFS('📒 Jurnal'!$B$3:$B$502,$A78,'📒 Jurnal'!$Z$3:$Z$502,"BE")))</f>
        <v/>
      </c>
      <c r="C78" s="28" t="str">
        <f>IF($A78="","",SUMIFS('📒 Jurnal'!$X$3:$X$502,'📒 Jurnal'!$B$3:$B$502,$A78))</f>
        <v/>
      </c>
      <c r="D78" s="24" t="str">
        <f>IF($A78="","",SUMIFS('📒 Jurnal'!$Y$3:$Y$502,'📒 Jurnal'!$B$3:$B$502,$A78))</f>
        <v/>
      </c>
      <c r="E78" s="23" t="str">
        <f>IF($A78="","",IFERROR(COUNTIFS('📒 Jurnal'!$B$3:$B$502,$A78,'📒 Jurnal'!$Z$3:$Z$502,"Win")/(COUNTIFS('📒 Jurnal'!$B$3:$B$502,$A78,'📒 Jurnal'!$Z$3:$Z$502,"Win")+COUNTIFS('📒 Jurnal'!$B$3:$B$502,$A78,'📒 Jurnal'!$Z$3:$Z$502,"Loss")+COUNTIFS('📒 Jurnal'!$B$3:$B$502,$A78,'📒 Jurnal'!$Z$3:$Z$502,"BE")),""))</f>
        <v/>
      </c>
      <c r="F78" s="25" t="str">
        <f>IF($A78="","",IF($B78=0,"—",IF(OR($C78&lt;=-'⚙️ Setelan'!$B$5,$B78&gt;'⚙️ Setelan'!$B$6,COUNTIFS('📒 Jurnal'!$B$3:$B$502,$A78,'📒 Jurnal'!$AL$3:$AL$502,"⚠️ Revenge")&gt;0),"🔴 LANGGAR","✅ Aman")))</f>
        <v/>
      </c>
      <c r="G78" s="45" t="str">
        <f>IF($A78="","",SUM($D$3:$D78))</f>
        <v/>
      </c>
      <c r="H78" s="45" t="str">
        <f>IF($A78="","",MAX($G$3:$G78))</f>
        <v/>
      </c>
      <c r="I78" s="45" t="str">
        <f t="shared" si="1"/>
        <v/>
      </c>
    </row>
    <row r="79" spans="2:9">
      <c r="B79" s="25" t="str">
        <f>IF($A79="","",(COUNTIFS('📒 Jurnal'!$B$3:$B$502,$A79,'📒 Jurnal'!$Z$3:$Z$502,"Win")+COUNTIFS('📒 Jurnal'!$B$3:$B$502,$A79,'📒 Jurnal'!$Z$3:$Z$502,"Loss")+COUNTIFS('📒 Jurnal'!$B$3:$B$502,$A79,'📒 Jurnal'!$Z$3:$Z$502,"BE")))</f>
        <v/>
      </c>
      <c r="C79" s="28" t="str">
        <f>IF($A79="","",SUMIFS('📒 Jurnal'!$X$3:$X$502,'📒 Jurnal'!$B$3:$B$502,$A79))</f>
        <v/>
      </c>
      <c r="D79" s="24" t="str">
        <f>IF($A79="","",SUMIFS('📒 Jurnal'!$Y$3:$Y$502,'📒 Jurnal'!$B$3:$B$502,$A79))</f>
        <v/>
      </c>
      <c r="E79" s="23" t="str">
        <f>IF($A79="","",IFERROR(COUNTIFS('📒 Jurnal'!$B$3:$B$502,$A79,'📒 Jurnal'!$Z$3:$Z$502,"Win")/(COUNTIFS('📒 Jurnal'!$B$3:$B$502,$A79,'📒 Jurnal'!$Z$3:$Z$502,"Win")+COUNTIFS('📒 Jurnal'!$B$3:$B$502,$A79,'📒 Jurnal'!$Z$3:$Z$502,"Loss")+COUNTIFS('📒 Jurnal'!$B$3:$B$502,$A79,'📒 Jurnal'!$Z$3:$Z$502,"BE")),""))</f>
        <v/>
      </c>
      <c r="F79" s="25" t="str">
        <f>IF($A79="","",IF($B79=0,"—",IF(OR($C79&lt;=-'⚙️ Setelan'!$B$5,$B79&gt;'⚙️ Setelan'!$B$6,COUNTIFS('📒 Jurnal'!$B$3:$B$502,$A79,'📒 Jurnal'!$AL$3:$AL$502,"⚠️ Revenge")&gt;0),"🔴 LANGGAR","✅ Aman")))</f>
        <v/>
      </c>
      <c r="G79" s="45" t="str">
        <f>IF($A79="","",SUM($D$3:$D79))</f>
        <v/>
      </c>
      <c r="H79" s="45" t="str">
        <f>IF($A79="","",MAX($G$3:$G79))</f>
        <v/>
      </c>
      <c r="I79" s="45" t="str">
        <f t="shared" si="1"/>
        <v/>
      </c>
    </row>
    <row r="80" spans="2:9">
      <c r="B80" s="25" t="str">
        <f>IF($A80="","",(COUNTIFS('📒 Jurnal'!$B$3:$B$502,$A80,'📒 Jurnal'!$Z$3:$Z$502,"Win")+COUNTIFS('📒 Jurnal'!$B$3:$B$502,$A80,'📒 Jurnal'!$Z$3:$Z$502,"Loss")+COUNTIFS('📒 Jurnal'!$B$3:$B$502,$A80,'📒 Jurnal'!$Z$3:$Z$502,"BE")))</f>
        <v/>
      </c>
      <c r="C80" s="28" t="str">
        <f>IF($A80="","",SUMIFS('📒 Jurnal'!$X$3:$X$502,'📒 Jurnal'!$B$3:$B$502,$A80))</f>
        <v/>
      </c>
      <c r="D80" s="24" t="str">
        <f>IF($A80="","",SUMIFS('📒 Jurnal'!$Y$3:$Y$502,'📒 Jurnal'!$B$3:$B$502,$A80))</f>
        <v/>
      </c>
      <c r="E80" s="23" t="str">
        <f>IF($A80="","",IFERROR(COUNTIFS('📒 Jurnal'!$B$3:$B$502,$A80,'📒 Jurnal'!$Z$3:$Z$502,"Win")/(COUNTIFS('📒 Jurnal'!$B$3:$B$502,$A80,'📒 Jurnal'!$Z$3:$Z$502,"Win")+COUNTIFS('📒 Jurnal'!$B$3:$B$502,$A80,'📒 Jurnal'!$Z$3:$Z$502,"Loss")+COUNTIFS('📒 Jurnal'!$B$3:$B$502,$A80,'📒 Jurnal'!$Z$3:$Z$502,"BE")),""))</f>
        <v/>
      </c>
      <c r="F80" s="25" t="str">
        <f>IF($A80="","",IF($B80=0,"—",IF(OR($C80&lt;=-'⚙️ Setelan'!$B$5,$B80&gt;'⚙️ Setelan'!$B$6,COUNTIFS('📒 Jurnal'!$B$3:$B$502,$A80,'📒 Jurnal'!$AL$3:$AL$502,"⚠️ Revenge")&gt;0),"🔴 LANGGAR","✅ Aman")))</f>
        <v/>
      </c>
      <c r="G80" s="45" t="str">
        <f>IF($A80="","",SUM($D$3:$D80))</f>
        <v/>
      </c>
      <c r="H80" s="45" t="str">
        <f>IF($A80="","",MAX($G$3:$G80))</f>
        <v/>
      </c>
      <c r="I80" s="45" t="str">
        <f t="shared" si="1"/>
        <v/>
      </c>
    </row>
    <row r="81" spans="2:9">
      <c r="B81" s="25" t="str">
        <f>IF($A81="","",(COUNTIFS('📒 Jurnal'!$B$3:$B$502,$A81,'📒 Jurnal'!$Z$3:$Z$502,"Win")+COUNTIFS('📒 Jurnal'!$B$3:$B$502,$A81,'📒 Jurnal'!$Z$3:$Z$502,"Loss")+COUNTIFS('📒 Jurnal'!$B$3:$B$502,$A81,'📒 Jurnal'!$Z$3:$Z$502,"BE")))</f>
        <v/>
      </c>
      <c r="C81" s="28" t="str">
        <f>IF($A81="","",SUMIFS('📒 Jurnal'!$X$3:$X$502,'📒 Jurnal'!$B$3:$B$502,$A81))</f>
        <v/>
      </c>
      <c r="D81" s="24" t="str">
        <f>IF($A81="","",SUMIFS('📒 Jurnal'!$Y$3:$Y$502,'📒 Jurnal'!$B$3:$B$502,$A81))</f>
        <v/>
      </c>
      <c r="E81" s="23" t="str">
        <f>IF($A81="","",IFERROR(COUNTIFS('📒 Jurnal'!$B$3:$B$502,$A81,'📒 Jurnal'!$Z$3:$Z$502,"Win")/(COUNTIFS('📒 Jurnal'!$B$3:$B$502,$A81,'📒 Jurnal'!$Z$3:$Z$502,"Win")+COUNTIFS('📒 Jurnal'!$B$3:$B$502,$A81,'📒 Jurnal'!$Z$3:$Z$502,"Loss")+COUNTIFS('📒 Jurnal'!$B$3:$B$502,$A81,'📒 Jurnal'!$Z$3:$Z$502,"BE")),""))</f>
        <v/>
      </c>
      <c r="F81" s="25" t="str">
        <f>IF($A81="","",IF($B81=0,"—",IF(OR($C81&lt;=-'⚙️ Setelan'!$B$5,$B81&gt;'⚙️ Setelan'!$B$6,COUNTIFS('📒 Jurnal'!$B$3:$B$502,$A81,'📒 Jurnal'!$AL$3:$AL$502,"⚠️ Revenge")&gt;0),"🔴 LANGGAR","✅ Aman")))</f>
        <v/>
      </c>
      <c r="G81" s="45" t="str">
        <f>IF($A81="","",SUM($D$3:$D81))</f>
        <v/>
      </c>
      <c r="H81" s="45" t="str">
        <f>IF($A81="","",MAX($G$3:$G81))</f>
        <v/>
      </c>
      <c r="I81" s="45" t="str">
        <f t="shared" si="1"/>
        <v/>
      </c>
    </row>
    <row r="82" spans="2:9">
      <c r="B82" s="25" t="str">
        <f>IF($A82="","",(COUNTIFS('📒 Jurnal'!$B$3:$B$502,$A82,'📒 Jurnal'!$Z$3:$Z$502,"Win")+COUNTIFS('📒 Jurnal'!$B$3:$B$502,$A82,'📒 Jurnal'!$Z$3:$Z$502,"Loss")+COUNTIFS('📒 Jurnal'!$B$3:$B$502,$A82,'📒 Jurnal'!$Z$3:$Z$502,"BE")))</f>
        <v/>
      </c>
      <c r="C82" s="28" t="str">
        <f>IF($A82="","",SUMIFS('📒 Jurnal'!$X$3:$X$502,'📒 Jurnal'!$B$3:$B$502,$A82))</f>
        <v/>
      </c>
      <c r="D82" s="24" t="str">
        <f>IF($A82="","",SUMIFS('📒 Jurnal'!$Y$3:$Y$502,'📒 Jurnal'!$B$3:$B$502,$A82))</f>
        <v/>
      </c>
      <c r="E82" s="23" t="str">
        <f>IF($A82="","",IFERROR(COUNTIFS('📒 Jurnal'!$B$3:$B$502,$A82,'📒 Jurnal'!$Z$3:$Z$502,"Win")/(COUNTIFS('📒 Jurnal'!$B$3:$B$502,$A82,'📒 Jurnal'!$Z$3:$Z$502,"Win")+COUNTIFS('📒 Jurnal'!$B$3:$B$502,$A82,'📒 Jurnal'!$Z$3:$Z$502,"Loss")+COUNTIFS('📒 Jurnal'!$B$3:$B$502,$A82,'📒 Jurnal'!$Z$3:$Z$502,"BE")),""))</f>
        <v/>
      </c>
      <c r="F82" s="25" t="str">
        <f>IF($A82="","",IF($B82=0,"—",IF(OR($C82&lt;=-'⚙️ Setelan'!$B$5,$B82&gt;'⚙️ Setelan'!$B$6,COUNTIFS('📒 Jurnal'!$B$3:$B$502,$A82,'📒 Jurnal'!$AL$3:$AL$502,"⚠️ Revenge")&gt;0),"🔴 LANGGAR","✅ Aman")))</f>
        <v/>
      </c>
      <c r="G82" s="45" t="str">
        <f>IF($A82="","",SUM($D$3:$D82))</f>
        <v/>
      </c>
      <c r="H82" s="45" t="str">
        <f>IF($A82="","",MAX($G$3:$G82))</f>
        <v/>
      </c>
      <c r="I82" s="45" t="str">
        <f t="shared" si="1"/>
        <v/>
      </c>
    </row>
    <row r="83" spans="2:9">
      <c r="B83" s="25" t="str">
        <f>IF($A83="","",(COUNTIFS('📒 Jurnal'!$B$3:$B$502,$A83,'📒 Jurnal'!$Z$3:$Z$502,"Win")+COUNTIFS('📒 Jurnal'!$B$3:$B$502,$A83,'📒 Jurnal'!$Z$3:$Z$502,"Loss")+COUNTIFS('📒 Jurnal'!$B$3:$B$502,$A83,'📒 Jurnal'!$Z$3:$Z$502,"BE")))</f>
        <v/>
      </c>
      <c r="C83" s="28" t="str">
        <f>IF($A83="","",SUMIFS('📒 Jurnal'!$X$3:$X$502,'📒 Jurnal'!$B$3:$B$502,$A83))</f>
        <v/>
      </c>
      <c r="D83" s="24" t="str">
        <f>IF($A83="","",SUMIFS('📒 Jurnal'!$Y$3:$Y$502,'📒 Jurnal'!$B$3:$B$502,$A83))</f>
        <v/>
      </c>
      <c r="E83" s="23" t="str">
        <f>IF($A83="","",IFERROR(COUNTIFS('📒 Jurnal'!$B$3:$B$502,$A83,'📒 Jurnal'!$Z$3:$Z$502,"Win")/(COUNTIFS('📒 Jurnal'!$B$3:$B$502,$A83,'📒 Jurnal'!$Z$3:$Z$502,"Win")+COUNTIFS('📒 Jurnal'!$B$3:$B$502,$A83,'📒 Jurnal'!$Z$3:$Z$502,"Loss")+COUNTIFS('📒 Jurnal'!$B$3:$B$502,$A83,'📒 Jurnal'!$Z$3:$Z$502,"BE")),""))</f>
        <v/>
      </c>
      <c r="F83" s="25" t="str">
        <f>IF($A83="","",IF($B83=0,"—",IF(OR($C83&lt;=-'⚙️ Setelan'!$B$5,$B83&gt;'⚙️ Setelan'!$B$6,COUNTIFS('📒 Jurnal'!$B$3:$B$502,$A83,'📒 Jurnal'!$AL$3:$AL$502,"⚠️ Revenge")&gt;0),"🔴 LANGGAR","✅ Aman")))</f>
        <v/>
      </c>
      <c r="G83" s="45" t="str">
        <f>IF($A83="","",SUM($D$3:$D83))</f>
        <v/>
      </c>
      <c r="H83" s="45" t="str">
        <f>IF($A83="","",MAX($G$3:$G83))</f>
        <v/>
      </c>
      <c r="I83" s="45" t="str">
        <f t="shared" si="1"/>
        <v/>
      </c>
    </row>
    <row r="84" spans="2:9">
      <c r="B84" s="25" t="str">
        <f>IF($A84="","",(COUNTIFS('📒 Jurnal'!$B$3:$B$502,$A84,'📒 Jurnal'!$Z$3:$Z$502,"Win")+COUNTIFS('📒 Jurnal'!$B$3:$B$502,$A84,'📒 Jurnal'!$Z$3:$Z$502,"Loss")+COUNTIFS('📒 Jurnal'!$B$3:$B$502,$A84,'📒 Jurnal'!$Z$3:$Z$502,"BE")))</f>
        <v/>
      </c>
      <c r="C84" s="28" t="str">
        <f>IF($A84="","",SUMIFS('📒 Jurnal'!$X$3:$X$502,'📒 Jurnal'!$B$3:$B$502,$A84))</f>
        <v/>
      </c>
      <c r="D84" s="24" t="str">
        <f>IF($A84="","",SUMIFS('📒 Jurnal'!$Y$3:$Y$502,'📒 Jurnal'!$B$3:$B$502,$A84))</f>
        <v/>
      </c>
      <c r="E84" s="23" t="str">
        <f>IF($A84="","",IFERROR(COUNTIFS('📒 Jurnal'!$B$3:$B$502,$A84,'📒 Jurnal'!$Z$3:$Z$502,"Win")/(COUNTIFS('📒 Jurnal'!$B$3:$B$502,$A84,'📒 Jurnal'!$Z$3:$Z$502,"Win")+COUNTIFS('📒 Jurnal'!$B$3:$B$502,$A84,'📒 Jurnal'!$Z$3:$Z$502,"Loss")+COUNTIFS('📒 Jurnal'!$B$3:$B$502,$A84,'📒 Jurnal'!$Z$3:$Z$502,"BE")),""))</f>
        <v/>
      </c>
      <c r="F84" s="25" t="str">
        <f>IF($A84="","",IF($B84=0,"—",IF(OR($C84&lt;=-'⚙️ Setelan'!$B$5,$B84&gt;'⚙️ Setelan'!$B$6,COUNTIFS('📒 Jurnal'!$B$3:$B$502,$A84,'📒 Jurnal'!$AL$3:$AL$502,"⚠️ Revenge")&gt;0),"🔴 LANGGAR","✅ Aman")))</f>
        <v/>
      </c>
      <c r="G84" s="45" t="str">
        <f>IF($A84="","",SUM($D$3:$D84))</f>
        <v/>
      </c>
      <c r="H84" s="45" t="str">
        <f>IF($A84="","",MAX($G$3:$G84))</f>
        <v/>
      </c>
      <c r="I84" s="45" t="str">
        <f t="shared" si="1"/>
        <v/>
      </c>
    </row>
    <row r="85" spans="2:9">
      <c r="B85" s="25" t="str">
        <f>IF($A85="","",(COUNTIFS('📒 Jurnal'!$B$3:$B$502,$A85,'📒 Jurnal'!$Z$3:$Z$502,"Win")+COUNTIFS('📒 Jurnal'!$B$3:$B$502,$A85,'📒 Jurnal'!$Z$3:$Z$502,"Loss")+COUNTIFS('📒 Jurnal'!$B$3:$B$502,$A85,'📒 Jurnal'!$Z$3:$Z$502,"BE")))</f>
        <v/>
      </c>
      <c r="C85" s="28" t="str">
        <f>IF($A85="","",SUMIFS('📒 Jurnal'!$X$3:$X$502,'📒 Jurnal'!$B$3:$B$502,$A85))</f>
        <v/>
      </c>
      <c r="D85" s="24" t="str">
        <f>IF($A85="","",SUMIFS('📒 Jurnal'!$Y$3:$Y$502,'📒 Jurnal'!$B$3:$B$502,$A85))</f>
        <v/>
      </c>
      <c r="E85" s="23" t="str">
        <f>IF($A85="","",IFERROR(COUNTIFS('📒 Jurnal'!$B$3:$B$502,$A85,'📒 Jurnal'!$Z$3:$Z$502,"Win")/(COUNTIFS('📒 Jurnal'!$B$3:$B$502,$A85,'📒 Jurnal'!$Z$3:$Z$502,"Win")+COUNTIFS('📒 Jurnal'!$B$3:$B$502,$A85,'📒 Jurnal'!$Z$3:$Z$502,"Loss")+COUNTIFS('📒 Jurnal'!$B$3:$B$502,$A85,'📒 Jurnal'!$Z$3:$Z$502,"BE")),""))</f>
        <v/>
      </c>
      <c r="F85" s="25" t="str">
        <f>IF($A85="","",IF($B85=0,"—",IF(OR($C85&lt;=-'⚙️ Setelan'!$B$5,$B85&gt;'⚙️ Setelan'!$B$6,COUNTIFS('📒 Jurnal'!$B$3:$B$502,$A85,'📒 Jurnal'!$AL$3:$AL$502,"⚠️ Revenge")&gt;0),"🔴 LANGGAR","✅ Aman")))</f>
        <v/>
      </c>
      <c r="G85" s="45" t="str">
        <f>IF($A85="","",SUM($D$3:$D85))</f>
        <v/>
      </c>
      <c r="H85" s="45" t="str">
        <f>IF($A85="","",MAX($G$3:$G85))</f>
        <v/>
      </c>
      <c r="I85" s="45" t="str">
        <f t="shared" si="1"/>
        <v/>
      </c>
    </row>
    <row r="86" spans="2:9">
      <c r="B86" s="25" t="str">
        <f>IF($A86="","",(COUNTIFS('📒 Jurnal'!$B$3:$B$502,$A86,'📒 Jurnal'!$Z$3:$Z$502,"Win")+COUNTIFS('📒 Jurnal'!$B$3:$B$502,$A86,'📒 Jurnal'!$Z$3:$Z$502,"Loss")+COUNTIFS('📒 Jurnal'!$B$3:$B$502,$A86,'📒 Jurnal'!$Z$3:$Z$502,"BE")))</f>
        <v/>
      </c>
      <c r="C86" s="28" t="str">
        <f>IF($A86="","",SUMIFS('📒 Jurnal'!$X$3:$X$502,'📒 Jurnal'!$B$3:$B$502,$A86))</f>
        <v/>
      </c>
      <c r="D86" s="24" t="str">
        <f>IF($A86="","",SUMIFS('📒 Jurnal'!$Y$3:$Y$502,'📒 Jurnal'!$B$3:$B$502,$A86))</f>
        <v/>
      </c>
      <c r="E86" s="23" t="str">
        <f>IF($A86="","",IFERROR(COUNTIFS('📒 Jurnal'!$B$3:$B$502,$A86,'📒 Jurnal'!$Z$3:$Z$502,"Win")/(COUNTIFS('📒 Jurnal'!$B$3:$B$502,$A86,'📒 Jurnal'!$Z$3:$Z$502,"Win")+COUNTIFS('📒 Jurnal'!$B$3:$B$502,$A86,'📒 Jurnal'!$Z$3:$Z$502,"Loss")+COUNTIFS('📒 Jurnal'!$B$3:$B$502,$A86,'📒 Jurnal'!$Z$3:$Z$502,"BE")),""))</f>
        <v/>
      </c>
      <c r="F86" s="25" t="str">
        <f>IF($A86="","",IF($B86=0,"—",IF(OR($C86&lt;=-'⚙️ Setelan'!$B$5,$B86&gt;'⚙️ Setelan'!$B$6,COUNTIFS('📒 Jurnal'!$B$3:$B$502,$A86,'📒 Jurnal'!$AL$3:$AL$502,"⚠️ Revenge")&gt;0),"🔴 LANGGAR","✅ Aman")))</f>
        <v/>
      </c>
      <c r="G86" s="45" t="str">
        <f>IF($A86="","",SUM($D$3:$D86))</f>
        <v/>
      </c>
      <c r="H86" s="45" t="str">
        <f>IF($A86="","",MAX($G$3:$G86))</f>
        <v/>
      </c>
      <c r="I86" s="45" t="str">
        <f t="shared" si="1"/>
        <v/>
      </c>
    </row>
    <row r="87" spans="2:9">
      <c r="B87" s="25" t="str">
        <f>IF($A87="","",(COUNTIFS('📒 Jurnal'!$B$3:$B$502,$A87,'📒 Jurnal'!$Z$3:$Z$502,"Win")+COUNTIFS('📒 Jurnal'!$B$3:$B$502,$A87,'📒 Jurnal'!$Z$3:$Z$502,"Loss")+COUNTIFS('📒 Jurnal'!$B$3:$B$502,$A87,'📒 Jurnal'!$Z$3:$Z$502,"BE")))</f>
        <v/>
      </c>
      <c r="C87" s="28" t="str">
        <f>IF($A87="","",SUMIFS('📒 Jurnal'!$X$3:$X$502,'📒 Jurnal'!$B$3:$B$502,$A87))</f>
        <v/>
      </c>
      <c r="D87" s="24" t="str">
        <f>IF($A87="","",SUMIFS('📒 Jurnal'!$Y$3:$Y$502,'📒 Jurnal'!$B$3:$B$502,$A87))</f>
        <v/>
      </c>
      <c r="E87" s="23" t="str">
        <f>IF($A87="","",IFERROR(COUNTIFS('📒 Jurnal'!$B$3:$B$502,$A87,'📒 Jurnal'!$Z$3:$Z$502,"Win")/(COUNTIFS('📒 Jurnal'!$B$3:$B$502,$A87,'📒 Jurnal'!$Z$3:$Z$502,"Win")+COUNTIFS('📒 Jurnal'!$B$3:$B$502,$A87,'📒 Jurnal'!$Z$3:$Z$502,"Loss")+COUNTIFS('📒 Jurnal'!$B$3:$B$502,$A87,'📒 Jurnal'!$Z$3:$Z$502,"BE")),""))</f>
        <v/>
      </c>
      <c r="F87" s="25" t="str">
        <f>IF($A87="","",IF($B87=0,"—",IF(OR($C87&lt;=-'⚙️ Setelan'!$B$5,$B87&gt;'⚙️ Setelan'!$B$6,COUNTIFS('📒 Jurnal'!$B$3:$B$502,$A87,'📒 Jurnal'!$AL$3:$AL$502,"⚠️ Revenge")&gt;0),"🔴 LANGGAR","✅ Aman")))</f>
        <v/>
      </c>
      <c r="G87" s="45" t="str">
        <f>IF($A87="","",SUM($D$3:$D87))</f>
        <v/>
      </c>
      <c r="H87" s="45" t="str">
        <f>IF($A87="","",MAX($G$3:$G87))</f>
        <v/>
      </c>
      <c r="I87" s="45" t="str">
        <f t="shared" si="1"/>
        <v/>
      </c>
    </row>
    <row r="88" spans="2:9">
      <c r="B88" s="25" t="str">
        <f>IF($A88="","",(COUNTIFS('📒 Jurnal'!$B$3:$B$502,$A88,'📒 Jurnal'!$Z$3:$Z$502,"Win")+COUNTIFS('📒 Jurnal'!$B$3:$B$502,$A88,'📒 Jurnal'!$Z$3:$Z$502,"Loss")+COUNTIFS('📒 Jurnal'!$B$3:$B$502,$A88,'📒 Jurnal'!$Z$3:$Z$502,"BE")))</f>
        <v/>
      </c>
      <c r="C88" s="28" t="str">
        <f>IF($A88="","",SUMIFS('📒 Jurnal'!$X$3:$X$502,'📒 Jurnal'!$B$3:$B$502,$A88))</f>
        <v/>
      </c>
      <c r="D88" s="24" t="str">
        <f>IF($A88="","",SUMIFS('📒 Jurnal'!$Y$3:$Y$502,'📒 Jurnal'!$B$3:$B$502,$A88))</f>
        <v/>
      </c>
      <c r="E88" s="23" t="str">
        <f>IF($A88="","",IFERROR(COUNTIFS('📒 Jurnal'!$B$3:$B$502,$A88,'📒 Jurnal'!$Z$3:$Z$502,"Win")/(COUNTIFS('📒 Jurnal'!$B$3:$B$502,$A88,'📒 Jurnal'!$Z$3:$Z$502,"Win")+COUNTIFS('📒 Jurnal'!$B$3:$B$502,$A88,'📒 Jurnal'!$Z$3:$Z$502,"Loss")+COUNTIFS('📒 Jurnal'!$B$3:$B$502,$A88,'📒 Jurnal'!$Z$3:$Z$502,"BE")),""))</f>
        <v/>
      </c>
      <c r="F88" s="25" t="str">
        <f>IF($A88="","",IF($B88=0,"—",IF(OR($C88&lt;=-'⚙️ Setelan'!$B$5,$B88&gt;'⚙️ Setelan'!$B$6,COUNTIFS('📒 Jurnal'!$B$3:$B$502,$A88,'📒 Jurnal'!$AL$3:$AL$502,"⚠️ Revenge")&gt;0),"🔴 LANGGAR","✅ Aman")))</f>
        <v/>
      </c>
      <c r="G88" s="45" t="str">
        <f>IF($A88="","",SUM($D$3:$D88))</f>
        <v/>
      </c>
      <c r="H88" s="45" t="str">
        <f>IF($A88="","",MAX($G$3:$G88))</f>
        <v/>
      </c>
      <c r="I88" s="45" t="str">
        <f t="shared" si="1"/>
        <v/>
      </c>
    </row>
    <row r="89" spans="2:9">
      <c r="B89" s="25" t="str">
        <f>IF($A89="","",(COUNTIFS('📒 Jurnal'!$B$3:$B$502,$A89,'📒 Jurnal'!$Z$3:$Z$502,"Win")+COUNTIFS('📒 Jurnal'!$B$3:$B$502,$A89,'📒 Jurnal'!$Z$3:$Z$502,"Loss")+COUNTIFS('📒 Jurnal'!$B$3:$B$502,$A89,'📒 Jurnal'!$Z$3:$Z$502,"BE")))</f>
        <v/>
      </c>
      <c r="C89" s="28" t="str">
        <f>IF($A89="","",SUMIFS('📒 Jurnal'!$X$3:$X$502,'📒 Jurnal'!$B$3:$B$502,$A89))</f>
        <v/>
      </c>
      <c r="D89" s="24" t="str">
        <f>IF($A89="","",SUMIFS('📒 Jurnal'!$Y$3:$Y$502,'📒 Jurnal'!$B$3:$B$502,$A89))</f>
        <v/>
      </c>
      <c r="E89" s="23" t="str">
        <f>IF($A89="","",IFERROR(COUNTIFS('📒 Jurnal'!$B$3:$B$502,$A89,'📒 Jurnal'!$Z$3:$Z$502,"Win")/(COUNTIFS('📒 Jurnal'!$B$3:$B$502,$A89,'📒 Jurnal'!$Z$3:$Z$502,"Win")+COUNTIFS('📒 Jurnal'!$B$3:$B$502,$A89,'📒 Jurnal'!$Z$3:$Z$502,"Loss")+COUNTIFS('📒 Jurnal'!$B$3:$B$502,$A89,'📒 Jurnal'!$Z$3:$Z$502,"BE")),""))</f>
        <v/>
      </c>
      <c r="F89" s="25" t="str">
        <f>IF($A89="","",IF($B89=0,"—",IF(OR($C89&lt;=-'⚙️ Setelan'!$B$5,$B89&gt;'⚙️ Setelan'!$B$6,COUNTIFS('📒 Jurnal'!$B$3:$B$502,$A89,'📒 Jurnal'!$AL$3:$AL$502,"⚠️ Revenge")&gt;0),"🔴 LANGGAR","✅ Aman")))</f>
        <v/>
      </c>
      <c r="G89" s="45" t="str">
        <f>IF($A89="","",SUM($D$3:$D89))</f>
        <v/>
      </c>
      <c r="H89" s="45" t="str">
        <f>IF($A89="","",MAX($G$3:$G89))</f>
        <v/>
      </c>
      <c r="I89" s="45" t="str">
        <f t="shared" si="1"/>
        <v/>
      </c>
    </row>
    <row r="90" spans="2:9">
      <c r="B90" s="25" t="str">
        <f>IF($A90="","",(COUNTIFS('📒 Jurnal'!$B$3:$B$502,$A90,'📒 Jurnal'!$Z$3:$Z$502,"Win")+COUNTIFS('📒 Jurnal'!$B$3:$B$502,$A90,'📒 Jurnal'!$Z$3:$Z$502,"Loss")+COUNTIFS('📒 Jurnal'!$B$3:$B$502,$A90,'📒 Jurnal'!$Z$3:$Z$502,"BE")))</f>
        <v/>
      </c>
      <c r="C90" s="28" t="str">
        <f>IF($A90="","",SUMIFS('📒 Jurnal'!$X$3:$X$502,'📒 Jurnal'!$B$3:$B$502,$A90))</f>
        <v/>
      </c>
      <c r="D90" s="24" t="str">
        <f>IF($A90="","",SUMIFS('📒 Jurnal'!$Y$3:$Y$502,'📒 Jurnal'!$B$3:$B$502,$A90))</f>
        <v/>
      </c>
      <c r="E90" s="23" t="str">
        <f>IF($A90="","",IFERROR(COUNTIFS('📒 Jurnal'!$B$3:$B$502,$A90,'📒 Jurnal'!$Z$3:$Z$502,"Win")/(COUNTIFS('📒 Jurnal'!$B$3:$B$502,$A90,'📒 Jurnal'!$Z$3:$Z$502,"Win")+COUNTIFS('📒 Jurnal'!$B$3:$B$502,$A90,'📒 Jurnal'!$Z$3:$Z$502,"Loss")+COUNTIFS('📒 Jurnal'!$B$3:$B$502,$A90,'📒 Jurnal'!$Z$3:$Z$502,"BE")),""))</f>
        <v/>
      </c>
      <c r="F90" s="25" t="str">
        <f>IF($A90="","",IF($B90=0,"—",IF(OR($C90&lt;=-'⚙️ Setelan'!$B$5,$B90&gt;'⚙️ Setelan'!$B$6,COUNTIFS('📒 Jurnal'!$B$3:$B$502,$A90,'📒 Jurnal'!$AL$3:$AL$502,"⚠️ Revenge")&gt;0),"🔴 LANGGAR","✅ Aman")))</f>
        <v/>
      </c>
      <c r="G90" s="45" t="str">
        <f>IF($A90="","",SUM($D$3:$D90))</f>
        <v/>
      </c>
      <c r="H90" s="45" t="str">
        <f>IF($A90="","",MAX($G$3:$G90))</f>
        <v/>
      </c>
      <c r="I90" s="45" t="str">
        <f t="shared" si="1"/>
        <v/>
      </c>
    </row>
    <row r="91" spans="2:9">
      <c r="B91" s="25" t="str">
        <f>IF($A91="","",(COUNTIFS('📒 Jurnal'!$B$3:$B$502,$A91,'📒 Jurnal'!$Z$3:$Z$502,"Win")+COUNTIFS('📒 Jurnal'!$B$3:$B$502,$A91,'📒 Jurnal'!$Z$3:$Z$502,"Loss")+COUNTIFS('📒 Jurnal'!$B$3:$B$502,$A91,'📒 Jurnal'!$Z$3:$Z$502,"BE")))</f>
        <v/>
      </c>
      <c r="C91" s="28" t="str">
        <f>IF($A91="","",SUMIFS('📒 Jurnal'!$X$3:$X$502,'📒 Jurnal'!$B$3:$B$502,$A91))</f>
        <v/>
      </c>
      <c r="D91" s="24" t="str">
        <f>IF($A91="","",SUMIFS('📒 Jurnal'!$Y$3:$Y$502,'📒 Jurnal'!$B$3:$B$502,$A91))</f>
        <v/>
      </c>
      <c r="E91" s="23" t="str">
        <f>IF($A91="","",IFERROR(COUNTIFS('📒 Jurnal'!$B$3:$B$502,$A91,'📒 Jurnal'!$Z$3:$Z$502,"Win")/(COUNTIFS('📒 Jurnal'!$B$3:$B$502,$A91,'📒 Jurnal'!$Z$3:$Z$502,"Win")+COUNTIFS('📒 Jurnal'!$B$3:$B$502,$A91,'📒 Jurnal'!$Z$3:$Z$502,"Loss")+COUNTIFS('📒 Jurnal'!$B$3:$B$502,$A91,'📒 Jurnal'!$Z$3:$Z$502,"BE")),""))</f>
        <v/>
      </c>
      <c r="F91" s="25" t="str">
        <f>IF($A91="","",IF($B91=0,"—",IF(OR($C91&lt;=-'⚙️ Setelan'!$B$5,$B91&gt;'⚙️ Setelan'!$B$6,COUNTIFS('📒 Jurnal'!$B$3:$B$502,$A91,'📒 Jurnal'!$AL$3:$AL$502,"⚠️ Revenge")&gt;0),"🔴 LANGGAR","✅ Aman")))</f>
        <v/>
      </c>
      <c r="G91" s="45" t="str">
        <f>IF($A91="","",SUM($D$3:$D91))</f>
        <v/>
      </c>
      <c r="H91" s="45" t="str">
        <f>IF($A91="","",MAX($G$3:$G91))</f>
        <v/>
      </c>
      <c r="I91" s="45" t="str">
        <f t="shared" si="1"/>
        <v/>
      </c>
    </row>
    <row r="92" spans="2:9">
      <c r="B92" s="25" t="str">
        <f>IF($A92="","",(COUNTIFS('📒 Jurnal'!$B$3:$B$502,$A92,'📒 Jurnal'!$Z$3:$Z$502,"Win")+COUNTIFS('📒 Jurnal'!$B$3:$B$502,$A92,'📒 Jurnal'!$Z$3:$Z$502,"Loss")+COUNTIFS('📒 Jurnal'!$B$3:$B$502,$A92,'📒 Jurnal'!$Z$3:$Z$502,"BE")))</f>
        <v/>
      </c>
      <c r="C92" s="28" t="str">
        <f>IF($A92="","",SUMIFS('📒 Jurnal'!$X$3:$X$502,'📒 Jurnal'!$B$3:$B$502,$A92))</f>
        <v/>
      </c>
      <c r="D92" s="24" t="str">
        <f>IF($A92="","",SUMIFS('📒 Jurnal'!$Y$3:$Y$502,'📒 Jurnal'!$B$3:$B$502,$A92))</f>
        <v/>
      </c>
      <c r="E92" s="23" t="str">
        <f>IF($A92="","",IFERROR(COUNTIFS('📒 Jurnal'!$B$3:$B$502,$A92,'📒 Jurnal'!$Z$3:$Z$502,"Win")/(COUNTIFS('📒 Jurnal'!$B$3:$B$502,$A92,'📒 Jurnal'!$Z$3:$Z$502,"Win")+COUNTIFS('📒 Jurnal'!$B$3:$B$502,$A92,'📒 Jurnal'!$Z$3:$Z$502,"Loss")+COUNTIFS('📒 Jurnal'!$B$3:$B$502,$A92,'📒 Jurnal'!$Z$3:$Z$502,"BE")),""))</f>
        <v/>
      </c>
      <c r="F92" s="25" t="str">
        <f>IF($A92="","",IF($B92=0,"—",IF(OR($C92&lt;=-'⚙️ Setelan'!$B$5,$B92&gt;'⚙️ Setelan'!$B$6,COUNTIFS('📒 Jurnal'!$B$3:$B$502,$A92,'📒 Jurnal'!$AL$3:$AL$502,"⚠️ Revenge")&gt;0),"🔴 LANGGAR","✅ Aman")))</f>
        <v/>
      </c>
      <c r="G92" s="45" t="str">
        <f>IF($A92="","",SUM($D$3:$D92))</f>
        <v/>
      </c>
      <c r="H92" s="45" t="str">
        <f>IF($A92="","",MAX($G$3:$G92))</f>
        <v/>
      </c>
      <c r="I92" s="45" t="str">
        <f t="shared" si="1"/>
        <v/>
      </c>
    </row>
    <row r="93" spans="2:9">
      <c r="B93" s="25" t="str">
        <f>IF($A93="","",(COUNTIFS('📒 Jurnal'!$B$3:$B$502,$A93,'📒 Jurnal'!$Z$3:$Z$502,"Win")+COUNTIFS('📒 Jurnal'!$B$3:$B$502,$A93,'📒 Jurnal'!$Z$3:$Z$502,"Loss")+COUNTIFS('📒 Jurnal'!$B$3:$B$502,$A93,'📒 Jurnal'!$Z$3:$Z$502,"BE")))</f>
        <v/>
      </c>
      <c r="C93" s="28" t="str">
        <f>IF($A93="","",SUMIFS('📒 Jurnal'!$X$3:$X$502,'📒 Jurnal'!$B$3:$B$502,$A93))</f>
        <v/>
      </c>
      <c r="D93" s="24" t="str">
        <f>IF($A93="","",SUMIFS('📒 Jurnal'!$Y$3:$Y$502,'📒 Jurnal'!$B$3:$B$502,$A93))</f>
        <v/>
      </c>
      <c r="E93" s="23" t="str">
        <f>IF($A93="","",IFERROR(COUNTIFS('📒 Jurnal'!$B$3:$B$502,$A93,'📒 Jurnal'!$Z$3:$Z$502,"Win")/(COUNTIFS('📒 Jurnal'!$B$3:$B$502,$A93,'📒 Jurnal'!$Z$3:$Z$502,"Win")+COUNTIFS('📒 Jurnal'!$B$3:$B$502,$A93,'📒 Jurnal'!$Z$3:$Z$502,"Loss")+COUNTIFS('📒 Jurnal'!$B$3:$B$502,$A93,'📒 Jurnal'!$Z$3:$Z$502,"BE")),""))</f>
        <v/>
      </c>
      <c r="F93" s="25" t="str">
        <f>IF($A93="","",IF($B93=0,"—",IF(OR($C93&lt;=-'⚙️ Setelan'!$B$5,$B93&gt;'⚙️ Setelan'!$B$6,COUNTIFS('📒 Jurnal'!$B$3:$B$502,$A93,'📒 Jurnal'!$AL$3:$AL$502,"⚠️ Revenge")&gt;0),"🔴 LANGGAR","✅ Aman")))</f>
        <v/>
      </c>
      <c r="G93" s="45" t="str">
        <f>IF($A93="","",SUM($D$3:$D93))</f>
        <v/>
      </c>
      <c r="H93" s="45" t="str">
        <f>IF($A93="","",MAX($G$3:$G93))</f>
        <v/>
      </c>
      <c r="I93" s="45" t="str">
        <f t="shared" si="1"/>
        <v/>
      </c>
    </row>
    <row r="94" spans="2:9">
      <c r="B94" s="25" t="str">
        <f>IF($A94="","",(COUNTIFS('📒 Jurnal'!$B$3:$B$502,$A94,'📒 Jurnal'!$Z$3:$Z$502,"Win")+COUNTIFS('📒 Jurnal'!$B$3:$B$502,$A94,'📒 Jurnal'!$Z$3:$Z$502,"Loss")+COUNTIFS('📒 Jurnal'!$B$3:$B$502,$A94,'📒 Jurnal'!$Z$3:$Z$502,"BE")))</f>
        <v/>
      </c>
      <c r="C94" s="28" t="str">
        <f>IF($A94="","",SUMIFS('📒 Jurnal'!$X$3:$X$502,'📒 Jurnal'!$B$3:$B$502,$A94))</f>
        <v/>
      </c>
      <c r="D94" s="24" t="str">
        <f>IF($A94="","",SUMIFS('📒 Jurnal'!$Y$3:$Y$502,'📒 Jurnal'!$B$3:$B$502,$A94))</f>
        <v/>
      </c>
      <c r="E94" s="23" t="str">
        <f>IF($A94="","",IFERROR(COUNTIFS('📒 Jurnal'!$B$3:$B$502,$A94,'📒 Jurnal'!$Z$3:$Z$502,"Win")/(COUNTIFS('📒 Jurnal'!$B$3:$B$502,$A94,'📒 Jurnal'!$Z$3:$Z$502,"Win")+COUNTIFS('📒 Jurnal'!$B$3:$B$502,$A94,'📒 Jurnal'!$Z$3:$Z$502,"Loss")+COUNTIFS('📒 Jurnal'!$B$3:$B$502,$A94,'📒 Jurnal'!$Z$3:$Z$502,"BE")),""))</f>
        <v/>
      </c>
      <c r="F94" s="25" t="str">
        <f>IF($A94="","",IF($B94=0,"—",IF(OR($C94&lt;=-'⚙️ Setelan'!$B$5,$B94&gt;'⚙️ Setelan'!$B$6,COUNTIFS('📒 Jurnal'!$B$3:$B$502,$A94,'📒 Jurnal'!$AL$3:$AL$502,"⚠️ Revenge")&gt;0),"🔴 LANGGAR","✅ Aman")))</f>
        <v/>
      </c>
      <c r="G94" s="45" t="str">
        <f>IF($A94="","",SUM($D$3:$D94))</f>
        <v/>
      </c>
      <c r="H94" s="45" t="str">
        <f>IF($A94="","",MAX($G$3:$G94))</f>
        <v/>
      </c>
      <c r="I94" s="45" t="str">
        <f t="shared" si="1"/>
        <v/>
      </c>
    </row>
    <row r="95" spans="2:9">
      <c r="B95" s="25" t="str">
        <f>IF($A95="","",(COUNTIFS('📒 Jurnal'!$B$3:$B$502,$A95,'📒 Jurnal'!$Z$3:$Z$502,"Win")+COUNTIFS('📒 Jurnal'!$B$3:$B$502,$A95,'📒 Jurnal'!$Z$3:$Z$502,"Loss")+COUNTIFS('📒 Jurnal'!$B$3:$B$502,$A95,'📒 Jurnal'!$Z$3:$Z$502,"BE")))</f>
        <v/>
      </c>
      <c r="C95" s="28" t="str">
        <f>IF($A95="","",SUMIFS('📒 Jurnal'!$X$3:$X$502,'📒 Jurnal'!$B$3:$B$502,$A95))</f>
        <v/>
      </c>
      <c r="D95" s="24" t="str">
        <f>IF($A95="","",SUMIFS('📒 Jurnal'!$Y$3:$Y$502,'📒 Jurnal'!$B$3:$B$502,$A95))</f>
        <v/>
      </c>
      <c r="E95" s="23" t="str">
        <f>IF($A95="","",IFERROR(COUNTIFS('📒 Jurnal'!$B$3:$B$502,$A95,'📒 Jurnal'!$Z$3:$Z$502,"Win")/(COUNTIFS('📒 Jurnal'!$B$3:$B$502,$A95,'📒 Jurnal'!$Z$3:$Z$502,"Win")+COUNTIFS('📒 Jurnal'!$B$3:$B$502,$A95,'📒 Jurnal'!$Z$3:$Z$502,"Loss")+COUNTIFS('📒 Jurnal'!$B$3:$B$502,$A95,'📒 Jurnal'!$Z$3:$Z$502,"BE")),""))</f>
        <v/>
      </c>
      <c r="F95" s="25" t="str">
        <f>IF($A95="","",IF($B95=0,"—",IF(OR($C95&lt;=-'⚙️ Setelan'!$B$5,$B95&gt;'⚙️ Setelan'!$B$6,COUNTIFS('📒 Jurnal'!$B$3:$B$502,$A95,'📒 Jurnal'!$AL$3:$AL$502,"⚠️ Revenge")&gt;0),"🔴 LANGGAR","✅ Aman")))</f>
        <v/>
      </c>
      <c r="G95" s="45" t="str">
        <f>IF($A95="","",SUM($D$3:$D95))</f>
        <v/>
      </c>
      <c r="H95" s="45" t="str">
        <f>IF($A95="","",MAX($G$3:$G95))</f>
        <v/>
      </c>
      <c r="I95" s="45" t="str">
        <f t="shared" si="1"/>
        <v/>
      </c>
    </row>
    <row r="96" spans="2:9">
      <c r="B96" s="25" t="str">
        <f>IF($A96="","",(COUNTIFS('📒 Jurnal'!$B$3:$B$502,$A96,'📒 Jurnal'!$Z$3:$Z$502,"Win")+COUNTIFS('📒 Jurnal'!$B$3:$B$502,$A96,'📒 Jurnal'!$Z$3:$Z$502,"Loss")+COUNTIFS('📒 Jurnal'!$B$3:$B$502,$A96,'📒 Jurnal'!$Z$3:$Z$502,"BE")))</f>
        <v/>
      </c>
      <c r="C96" s="28" t="str">
        <f>IF($A96="","",SUMIFS('📒 Jurnal'!$X$3:$X$502,'📒 Jurnal'!$B$3:$B$502,$A96))</f>
        <v/>
      </c>
      <c r="D96" s="24" t="str">
        <f>IF($A96="","",SUMIFS('📒 Jurnal'!$Y$3:$Y$502,'📒 Jurnal'!$B$3:$B$502,$A96))</f>
        <v/>
      </c>
      <c r="E96" s="23" t="str">
        <f>IF($A96="","",IFERROR(COUNTIFS('📒 Jurnal'!$B$3:$B$502,$A96,'📒 Jurnal'!$Z$3:$Z$502,"Win")/(COUNTIFS('📒 Jurnal'!$B$3:$B$502,$A96,'📒 Jurnal'!$Z$3:$Z$502,"Win")+COUNTIFS('📒 Jurnal'!$B$3:$B$502,$A96,'📒 Jurnal'!$Z$3:$Z$502,"Loss")+COUNTIFS('📒 Jurnal'!$B$3:$B$502,$A96,'📒 Jurnal'!$Z$3:$Z$502,"BE")),""))</f>
        <v/>
      </c>
      <c r="F96" s="25" t="str">
        <f>IF($A96="","",IF($B96=0,"—",IF(OR($C96&lt;=-'⚙️ Setelan'!$B$5,$B96&gt;'⚙️ Setelan'!$B$6,COUNTIFS('📒 Jurnal'!$B$3:$B$502,$A96,'📒 Jurnal'!$AL$3:$AL$502,"⚠️ Revenge")&gt;0),"🔴 LANGGAR","✅ Aman")))</f>
        <v/>
      </c>
      <c r="G96" s="45" t="str">
        <f>IF($A96="","",SUM($D$3:$D96))</f>
        <v/>
      </c>
      <c r="H96" s="45" t="str">
        <f>IF($A96="","",MAX($G$3:$G96))</f>
        <v/>
      </c>
      <c r="I96" s="45" t="str">
        <f t="shared" si="1"/>
        <v/>
      </c>
    </row>
    <row r="97" spans="2:9">
      <c r="B97" s="25" t="str">
        <f>IF($A97="","",(COUNTIFS('📒 Jurnal'!$B$3:$B$502,$A97,'📒 Jurnal'!$Z$3:$Z$502,"Win")+COUNTIFS('📒 Jurnal'!$B$3:$B$502,$A97,'📒 Jurnal'!$Z$3:$Z$502,"Loss")+COUNTIFS('📒 Jurnal'!$B$3:$B$502,$A97,'📒 Jurnal'!$Z$3:$Z$502,"BE")))</f>
        <v/>
      </c>
      <c r="C97" s="28" t="str">
        <f>IF($A97="","",SUMIFS('📒 Jurnal'!$X$3:$X$502,'📒 Jurnal'!$B$3:$B$502,$A97))</f>
        <v/>
      </c>
      <c r="D97" s="24" t="str">
        <f>IF($A97="","",SUMIFS('📒 Jurnal'!$Y$3:$Y$502,'📒 Jurnal'!$B$3:$B$502,$A97))</f>
        <v/>
      </c>
      <c r="E97" s="23" t="str">
        <f>IF($A97="","",IFERROR(COUNTIFS('📒 Jurnal'!$B$3:$B$502,$A97,'📒 Jurnal'!$Z$3:$Z$502,"Win")/(COUNTIFS('📒 Jurnal'!$B$3:$B$502,$A97,'📒 Jurnal'!$Z$3:$Z$502,"Win")+COUNTIFS('📒 Jurnal'!$B$3:$B$502,$A97,'📒 Jurnal'!$Z$3:$Z$502,"Loss")+COUNTIFS('📒 Jurnal'!$B$3:$B$502,$A97,'📒 Jurnal'!$Z$3:$Z$502,"BE")),""))</f>
        <v/>
      </c>
      <c r="F97" s="25" t="str">
        <f>IF($A97="","",IF($B97=0,"—",IF(OR($C97&lt;=-'⚙️ Setelan'!$B$5,$B97&gt;'⚙️ Setelan'!$B$6,COUNTIFS('📒 Jurnal'!$B$3:$B$502,$A97,'📒 Jurnal'!$AL$3:$AL$502,"⚠️ Revenge")&gt;0),"🔴 LANGGAR","✅ Aman")))</f>
        <v/>
      </c>
      <c r="G97" s="45" t="str">
        <f>IF($A97="","",SUM($D$3:$D97))</f>
        <v/>
      </c>
      <c r="H97" s="45" t="str">
        <f>IF($A97="","",MAX($G$3:$G97))</f>
        <v/>
      </c>
      <c r="I97" s="45" t="str">
        <f t="shared" si="1"/>
        <v/>
      </c>
    </row>
    <row r="98" spans="2:9">
      <c r="B98" s="25" t="str">
        <f>IF($A98="","",(COUNTIFS('📒 Jurnal'!$B$3:$B$502,$A98,'📒 Jurnal'!$Z$3:$Z$502,"Win")+COUNTIFS('📒 Jurnal'!$B$3:$B$502,$A98,'📒 Jurnal'!$Z$3:$Z$502,"Loss")+COUNTIFS('📒 Jurnal'!$B$3:$B$502,$A98,'📒 Jurnal'!$Z$3:$Z$502,"BE")))</f>
        <v/>
      </c>
      <c r="C98" s="28" t="str">
        <f>IF($A98="","",SUMIFS('📒 Jurnal'!$X$3:$X$502,'📒 Jurnal'!$B$3:$B$502,$A98))</f>
        <v/>
      </c>
      <c r="D98" s="24" t="str">
        <f>IF($A98="","",SUMIFS('📒 Jurnal'!$Y$3:$Y$502,'📒 Jurnal'!$B$3:$B$502,$A98))</f>
        <v/>
      </c>
      <c r="E98" s="23" t="str">
        <f>IF($A98="","",IFERROR(COUNTIFS('📒 Jurnal'!$B$3:$B$502,$A98,'📒 Jurnal'!$Z$3:$Z$502,"Win")/(COUNTIFS('📒 Jurnal'!$B$3:$B$502,$A98,'📒 Jurnal'!$Z$3:$Z$502,"Win")+COUNTIFS('📒 Jurnal'!$B$3:$B$502,$A98,'📒 Jurnal'!$Z$3:$Z$502,"Loss")+COUNTIFS('📒 Jurnal'!$B$3:$B$502,$A98,'📒 Jurnal'!$Z$3:$Z$502,"BE")),""))</f>
        <v/>
      </c>
      <c r="F98" s="25" t="str">
        <f>IF($A98="","",IF($B98=0,"—",IF(OR($C98&lt;=-'⚙️ Setelan'!$B$5,$B98&gt;'⚙️ Setelan'!$B$6,COUNTIFS('📒 Jurnal'!$B$3:$B$502,$A98,'📒 Jurnal'!$AL$3:$AL$502,"⚠️ Revenge")&gt;0),"🔴 LANGGAR","✅ Aman")))</f>
        <v/>
      </c>
      <c r="G98" s="45" t="str">
        <f>IF($A98="","",SUM($D$3:$D98))</f>
        <v/>
      </c>
      <c r="H98" s="45" t="str">
        <f>IF($A98="","",MAX($G$3:$G98))</f>
        <v/>
      </c>
      <c r="I98" s="45" t="str">
        <f t="shared" si="1"/>
        <v/>
      </c>
    </row>
    <row r="99" spans="2:9">
      <c r="B99" s="25" t="str">
        <f>IF($A99="","",(COUNTIFS('📒 Jurnal'!$B$3:$B$502,$A99,'📒 Jurnal'!$Z$3:$Z$502,"Win")+COUNTIFS('📒 Jurnal'!$B$3:$B$502,$A99,'📒 Jurnal'!$Z$3:$Z$502,"Loss")+COUNTIFS('📒 Jurnal'!$B$3:$B$502,$A99,'📒 Jurnal'!$Z$3:$Z$502,"BE")))</f>
        <v/>
      </c>
      <c r="C99" s="28" t="str">
        <f>IF($A99="","",SUMIFS('📒 Jurnal'!$X$3:$X$502,'📒 Jurnal'!$B$3:$B$502,$A99))</f>
        <v/>
      </c>
      <c r="D99" s="24" t="str">
        <f>IF($A99="","",SUMIFS('📒 Jurnal'!$Y$3:$Y$502,'📒 Jurnal'!$B$3:$B$502,$A99))</f>
        <v/>
      </c>
      <c r="E99" s="23" t="str">
        <f>IF($A99="","",IFERROR(COUNTIFS('📒 Jurnal'!$B$3:$B$502,$A99,'📒 Jurnal'!$Z$3:$Z$502,"Win")/(COUNTIFS('📒 Jurnal'!$B$3:$B$502,$A99,'📒 Jurnal'!$Z$3:$Z$502,"Win")+COUNTIFS('📒 Jurnal'!$B$3:$B$502,$A99,'📒 Jurnal'!$Z$3:$Z$502,"Loss")+COUNTIFS('📒 Jurnal'!$B$3:$B$502,$A99,'📒 Jurnal'!$Z$3:$Z$502,"BE")),""))</f>
        <v/>
      </c>
      <c r="F99" s="25" t="str">
        <f>IF($A99="","",IF($B99=0,"—",IF(OR($C99&lt;=-'⚙️ Setelan'!$B$5,$B99&gt;'⚙️ Setelan'!$B$6,COUNTIFS('📒 Jurnal'!$B$3:$B$502,$A99,'📒 Jurnal'!$AL$3:$AL$502,"⚠️ Revenge")&gt;0),"🔴 LANGGAR","✅ Aman")))</f>
        <v/>
      </c>
      <c r="G99" s="45" t="str">
        <f>IF($A99="","",SUM($D$3:$D99))</f>
        <v/>
      </c>
      <c r="H99" s="45" t="str">
        <f>IF($A99="","",MAX($G$3:$G99))</f>
        <v/>
      </c>
      <c r="I99" s="45" t="str">
        <f t="shared" si="1"/>
        <v/>
      </c>
    </row>
    <row r="100" spans="2:9">
      <c r="B100" s="25" t="str">
        <f>IF($A100="","",(COUNTIFS('📒 Jurnal'!$B$3:$B$502,$A100,'📒 Jurnal'!$Z$3:$Z$502,"Win")+COUNTIFS('📒 Jurnal'!$B$3:$B$502,$A100,'📒 Jurnal'!$Z$3:$Z$502,"Loss")+COUNTIFS('📒 Jurnal'!$B$3:$B$502,$A100,'📒 Jurnal'!$Z$3:$Z$502,"BE")))</f>
        <v/>
      </c>
      <c r="C100" s="28" t="str">
        <f>IF($A100="","",SUMIFS('📒 Jurnal'!$X$3:$X$502,'📒 Jurnal'!$B$3:$B$502,$A100))</f>
        <v/>
      </c>
      <c r="D100" s="24" t="str">
        <f>IF($A100="","",SUMIFS('📒 Jurnal'!$Y$3:$Y$502,'📒 Jurnal'!$B$3:$B$502,$A100))</f>
        <v/>
      </c>
      <c r="E100" s="23" t="str">
        <f>IF($A100="","",IFERROR(COUNTIFS('📒 Jurnal'!$B$3:$B$502,$A100,'📒 Jurnal'!$Z$3:$Z$502,"Win")/(COUNTIFS('📒 Jurnal'!$B$3:$B$502,$A100,'📒 Jurnal'!$Z$3:$Z$502,"Win")+COUNTIFS('📒 Jurnal'!$B$3:$B$502,$A100,'📒 Jurnal'!$Z$3:$Z$502,"Loss")+COUNTIFS('📒 Jurnal'!$B$3:$B$502,$A100,'📒 Jurnal'!$Z$3:$Z$502,"BE")),""))</f>
        <v/>
      </c>
      <c r="F100" s="25" t="str">
        <f>IF($A100="","",IF($B100=0,"—",IF(OR($C100&lt;=-'⚙️ Setelan'!$B$5,$B100&gt;'⚙️ Setelan'!$B$6,COUNTIFS('📒 Jurnal'!$B$3:$B$502,$A100,'📒 Jurnal'!$AL$3:$AL$502,"⚠️ Revenge")&gt;0),"🔴 LANGGAR","✅ Aman")))</f>
        <v/>
      </c>
      <c r="G100" s="45" t="str">
        <f>IF($A100="","",SUM($D$3:$D100))</f>
        <v/>
      </c>
      <c r="H100" s="45" t="str">
        <f>IF($A100="","",MAX($G$3:$G100))</f>
        <v/>
      </c>
      <c r="I100" s="45" t="str">
        <f t="shared" si="1"/>
        <v/>
      </c>
    </row>
    <row r="101" spans="2:9">
      <c r="B101" s="25" t="str">
        <f>IF($A101="","",(COUNTIFS('📒 Jurnal'!$B$3:$B$502,$A101,'📒 Jurnal'!$Z$3:$Z$502,"Win")+COUNTIFS('📒 Jurnal'!$B$3:$B$502,$A101,'📒 Jurnal'!$Z$3:$Z$502,"Loss")+COUNTIFS('📒 Jurnal'!$B$3:$B$502,$A101,'📒 Jurnal'!$Z$3:$Z$502,"BE")))</f>
        <v/>
      </c>
      <c r="C101" s="28" t="str">
        <f>IF($A101="","",SUMIFS('📒 Jurnal'!$X$3:$X$502,'📒 Jurnal'!$B$3:$B$502,$A101))</f>
        <v/>
      </c>
      <c r="D101" s="24" t="str">
        <f>IF($A101="","",SUMIFS('📒 Jurnal'!$Y$3:$Y$502,'📒 Jurnal'!$B$3:$B$502,$A101))</f>
        <v/>
      </c>
      <c r="E101" s="23" t="str">
        <f>IF($A101="","",IFERROR(COUNTIFS('📒 Jurnal'!$B$3:$B$502,$A101,'📒 Jurnal'!$Z$3:$Z$502,"Win")/(COUNTIFS('📒 Jurnal'!$B$3:$B$502,$A101,'📒 Jurnal'!$Z$3:$Z$502,"Win")+COUNTIFS('📒 Jurnal'!$B$3:$B$502,$A101,'📒 Jurnal'!$Z$3:$Z$502,"Loss")+COUNTIFS('📒 Jurnal'!$B$3:$B$502,$A101,'📒 Jurnal'!$Z$3:$Z$502,"BE")),""))</f>
        <v/>
      </c>
      <c r="F101" s="25" t="str">
        <f>IF($A101="","",IF($B101=0,"—",IF(OR($C101&lt;=-'⚙️ Setelan'!$B$5,$B101&gt;'⚙️ Setelan'!$B$6,COUNTIFS('📒 Jurnal'!$B$3:$B$502,$A101,'📒 Jurnal'!$AL$3:$AL$502,"⚠️ Revenge")&gt;0),"🔴 LANGGAR","✅ Aman")))</f>
        <v/>
      </c>
      <c r="G101" s="45" t="str">
        <f>IF($A101="","",SUM($D$3:$D101))</f>
        <v/>
      </c>
      <c r="H101" s="45" t="str">
        <f>IF($A101="","",MAX($G$3:$G101))</f>
        <v/>
      </c>
      <c r="I101" s="45" t="str">
        <f t="shared" si="1"/>
        <v/>
      </c>
    </row>
    <row r="102" spans="2:9">
      <c r="B102" s="25" t="str">
        <f>IF($A102="","",(COUNTIFS('📒 Jurnal'!$B$3:$B$502,$A102,'📒 Jurnal'!$Z$3:$Z$502,"Win")+COUNTIFS('📒 Jurnal'!$B$3:$B$502,$A102,'📒 Jurnal'!$Z$3:$Z$502,"Loss")+COUNTIFS('📒 Jurnal'!$B$3:$B$502,$A102,'📒 Jurnal'!$Z$3:$Z$502,"BE")))</f>
        <v/>
      </c>
      <c r="C102" s="28" t="str">
        <f>IF($A102="","",SUMIFS('📒 Jurnal'!$X$3:$X$502,'📒 Jurnal'!$B$3:$B$502,$A102))</f>
        <v/>
      </c>
      <c r="D102" s="24" t="str">
        <f>IF($A102="","",SUMIFS('📒 Jurnal'!$Y$3:$Y$502,'📒 Jurnal'!$B$3:$B$502,$A102))</f>
        <v/>
      </c>
      <c r="E102" s="23" t="str">
        <f>IF($A102="","",IFERROR(COUNTIFS('📒 Jurnal'!$B$3:$B$502,$A102,'📒 Jurnal'!$Z$3:$Z$502,"Win")/(COUNTIFS('📒 Jurnal'!$B$3:$B$502,$A102,'📒 Jurnal'!$Z$3:$Z$502,"Win")+COUNTIFS('📒 Jurnal'!$B$3:$B$502,$A102,'📒 Jurnal'!$Z$3:$Z$502,"Loss")+COUNTIFS('📒 Jurnal'!$B$3:$B$502,$A102,'📒 Jurnal'!$Z$3:$Z$502,"BE")),""))</f>
        <v/>
      </c>
      <c r="F102" s="25" t="str">
        <f>IF($A102="","",IF($B102=0,"—",IF(OR($C102&lt;=-'⚙️ Setelan'!$B$5,$B102&gt;'⚙️ Setelan'!$B$6,COUNTIFS('📒 Jurnal'!$B$3:$B$502,$A102,'📒 Jurnal'!$AL$3:$AL$502,"⚠️ Revenge")&gt;0),"🔴 LANGGAR","✅ Aman")))</f>
        <v/>
      </c>
      <c r="G102" s="45" t="str">
        <f>IF($A102="","",SUM($D$3:$D102))</f>
        <v/>
      </c>
      <c r="H102" s="45" t="str">
        <f>IF($A102="","",MAX($G$3:$G102))</f>
        <v/>
      </c>
      <c r="I102" s="45" t="str">
        <f t="shared" si="1"/>
        <v/>
      </c>
    </row>
    <row r="103" spans="2:9">
      <c r="B103" s="25" t="str">
        <f>IF($A103="","",(COUNTIFS('📒 Jurnal'!$B$3:$B$502,$A103,'📒 Jurnal'!$Z$3:$Z$502,"Win")+COUNTIFS('📒 Jurnal'!$B$3:$B$502,$A103,'📒 Jurnal'!$Z$3:$Z$502,"Loss")+COUNTIFS('📒 Jurnal'!$B$3:$B$502,$A103,'📒 Jurnal'!$Z$3:$Z$502,"BE")))</f>
        <v/>
      </c>
      <c r="C103" s="28" t="str">
        <f>IF($A103="","",SUMIFS('📒 Jurnal'!$X$3:$X$502,'📒 Jurnal'!$B$3:$B$502,$A103))</f>
        <v/>
      </c>
      <c r="D103" s="24" t="str">
        <f>IF($A103="","",SUMIFS('📒 Jurnal'!$Y$3:$Y$502,'📒 Jurnal'!$B$3:$B$502,$A103))</f>
        <v/>
      </c>
      <c r="E103" s="23" t="str">
        <f>IF($A103="","",IFERROR(COUNTIFS('📒 Jurnal'!$B$3:$B$502,$A103,'📒 Jurnal'!$Z$3:$Z$502,"Win")/(COUNTIFS('📒 Jurnal'!$B$3:$B$502,$A103,'📒 Jurnal'!$Z$3:$Z$502,"Win")+COUNTIFS('📒 Jurnal'!$B$3:$B$502,$A103,'📒 Jurnal'!$Z$3:$Z$502,"Loss")+COUNTIFS('📒 Jurnal'!$B$3:$B$502,$A103,'📒 Jurnal'!$Z$3:$Z$502,"BE")),""))</f>
        <v/>
      </c>
      <c r="F103" s="25" t="str">
        <f>IF($A103="","",IF($B103=0,"—",IF(OR($C103&lt;=-'⚙️ Setelan'!$B$5,$B103&gt;'⚙️ Setelan'!$B$6,COUNTIFS('📒 Jurnal'!$B$3:$B$502,$A103,'📒 Jurnal'!$AL$3:$AL$502,"⚠️ Revenge")&gt;0),"🔴 LANGGAR","✅ Aman")))</f>
        <v/>
      </c>
      <c r="G103" s="45" t="str">
        <f>IF($A103="","",SUM($D$3:$D103))</f>
        <v/>
      </c>
      <c r="H103" s="45" t="str">
        <f>IF($A103="","",MAX($G$3:$G103))</f>
        <v/>
      </c>
      <c r="I103" s="45" t="str">
        <f t="shared" si="1"/>
        <v/>
      </c>
    </row>
    <row r="104" spans="2:9">
      <c r="B104" s="25" t="str">
        <f>IF($A104="","",(COUNTIFS('📒 Jurnal'!$B$3:$B$502,$A104,'📒 Jurnal'!$Z$3:$Z$502,"Win")+COUNTIFS('📒 Jurnal'!$B$3:$B$502,$A104,'📒 Jurnal'!$Z$3:$Z$502,"Loss")+COUNTIFS('📒 Jurnal'!$B$3:$B$502,$A104,'📒 Jurnal'!$Z$3:$Z$502,"BE")))</f>
        <v/>
      </c>
      <c r="C104" s="28" t="str">
        <f>IF($A104="","",SUMIFS('📒 Jurnal'!$X$3:$X$502,'📒 Jurnal'!$B$3:$B$502,$A104))</f>
        <v/>
      </c>
      <c r="D104" s="24" t="str">
        <f>IF($A104="","",SUMIFS('📒 Jurnal'!$Y$3:$Y$502,'📒 Jurnal'!$B$3:$B$502,$A104))</f>
        <v/>
      </c>
      <c r="E104" s="23" t="str">
        <f>IF($A104="","",IFERROR(COUNTIFS('📒 Jurnal'!$B$3:$B$502,$A104,'📒 Jurnal'!$Z$3:$Z$502,"Win")/(COUNTIFS('📒 Jurnal'!$B$3:$B$502,$A104,'📒 Jurnal'!$Z$3:$Z$502,"Win")+COUNTIFS('📒 Jurnal'!$B$3:$B$502,$A104,'📒 Jurnal'!$Z$3:$Z$502,"Loss")+COUNTIFS('📒 Jurnal'!$B$3:$B$502,$A104,'📒 Jurnal'!$Z$3:$Z$502,"BE")),""))</f>
        <v/>
      </c>
      <c r="F104" s="25" t="str">
        <f>IF($A104="","",IF($B104=0,"—",IF(OR($C104&lt;=-'⚙️ Setelan'!$B$5,$B104&gt;'⚙️ Setelan'!$B$6,COUNTIFS('📒 Jurnal'!$B$3:$B$502,$A104,'📒 Jurnal'!$AL$3:$AL$502,"⚠️ Revenge")&gt;0),"🔴 LANGGAR","✅ Aman")))</f>
        <v/>
      </c>
      <c r="G104" s="45" t="str">
        <f>IF($A104="","",SUM($D$3:$D104))</f>
        <v/>
      </c>
      <c r="H104" s="45" t="str">
        <f>IF($A104="","",MAX($G$3:$G104))</f>
        <v/>
      </c>
      <c r="I104" s="45" t="str">
        <f t="shared" si="1"/>
        <v/>
      </c>
    </row>
    <row r="105" spans="2:9">
      <c r="B105" s="25" t="str">
        <f>IF($A105="","",(COUNTIFS('📒 Jurnal'!$B$3:$B$502,$A105,'📒 Jurnal'!$Z$3:$Z$502,"Win")+COUNTIFS('📒 Jurnal'!$B$3:$B$502,$A105,'📒 Jurnal'!$Z$3:$Z$502,"Loss")+COUNTIFS('📒 Jurnal'!$B$3:$B$502,$A105,'📒 Jurnal'!$Z$3:$Z$502,"BE")))</f>
        <v/>
      </c>
      <c r="C105" s="28" t="str">
        <f>IF($A105="","",SUMIFS('📒 Jurnal'!$X$3:$X$502,'📒 Jurnal'!$B$3:$B$502,$A105))</f>
        <v/>
      </c>
      <c r="D105" s="24" t="str">
        <f>IF($A105="","",SUMIFS('📒 Jurnal'!$Y$3:$Y$502,'📒 Jurnal'!$B$3:$B$502,$A105))</f>
        <v/>
      </c>
      <c r="E105" s="23" t="str">
        <f>IF($A105="","",IFERROR(COUNTIFS('📒 Jurnal'!$B$3:$B$502,$A105,'📒 Jurnal'!$Z$3:$Z$502,"Win")/(COUNTIFS('📒 Jurnal'!$B$3:$B$502,$A105,'📒 Jurnal'!$Z$3:$Z$502,"Win")+COUNTIFS('📒 Jurnal'!$B$3:$B$502,$A105,'📒 Jurnal'!$Z$3:$Z$502,"Loss")+COUNTIFS('📒 Jurnal'!$B$3:$B$502,$A105,'📒 Jurnal'!$Z$3:$Z$502,"BE")),""))</f>
        <v/>
      </c>
      <c r="F105" s="25" t="str">
        <f>IF($A105="","",IF($B105=0,"—",IF(OR($C105&lt;=-'⚙️ Setelan'!$B$5,$B105&gt;'⚙️ Setelan'!$B$6,COUNTIFS('📒 Jurnal'!$B$3:$B$502,$A105,'📒 Jurnal'!$AL$3:$AL$502,"⚠️ Revenge")&gt;0),"🔴 LANGGAR","✅ Aman")))</f>
        <v/>
      </c>
      <c r="G105" s="45" t="str">
        <f>IF($A105="","",SUM($D$3:$D105))</f>
        <v/>
      </c>
      <c r="H105" s="45" t="str">
        <f>IF($A105="","",MAX($G$3:$G105))</f>
        <v/>
      </c>
      <c r="I105" s="45" t="str">
        <f t="shared" si="1"/>
        <v/>
      </c>
    </row>
    <row r="106" spans="2:9">
      <c r="B106" s="25" t="str">
        <f>IF($A106="","",(COUNTIFS('📒 Jurnal'!$B$3:$B$502,$A106,'📒 Jurnal'!$Z$3:$Z$502,"Win")+COUNTIFS('📒 Jurnal'!$B$3:$B$502,$A106,'📒 Jurnal'!$Z$3:$Z$502,"Loss")+COUNTIFS('📒 Jurnal'!$B$3:$B$502,$A106,'📒 Jurnal'!$Z$3:$Z$502,"BE")))</f>
        <v/>
      </c>
      <c r="C106" s="28" t="str">
        <f>IF($A106="","",SUMIFS('📒 Jurnal'!$X$3:$X$502,'📒 Jurnal'!$B$3:$B$502,$A106))</f>
        <v/>
      </c>
      <c r="D106" s="24" t="str">
        <f>IF($A106="","",SUMIFS('📒 Jurnal'!$Y$3:$Y$502,'📒 Jurnal'!$B$3:$B$502,$A106))</f>
        <v/>
      </c>
      <c r="E106" s="23" t="str">
        <f>IF($A106="","",IFERROR(COUNTIFS('📒 Jurnal'!$B$3:$B$502,$A106,'📒 Jurnal'!$Z$3:$Z$502,"Win")/(COUNTIFS('📒 Jurnal'!$B$3:$B$502,$A106,'📒 Jurnal'!$Z$3:$Z$502,"Win")+COUNTIFS('📒 Jurnal'!$B$3:$B$502,$A106,'📒 Jurnal'!$Z$3:$Z$502,"Loss")+COUNTIFS('📒 Jurnal'!$B$3:$B$502,$A106,'📒 Jurnal'!$Z$3:$Z$502,"BE")),""))</f>
        <v/>
      </c>
      <c r="F106" s="25" t="str">
        <f>IF($A106="","",IF($B106=0,"—",IF(OR($C106&lt;=-'⚙️ Setelan'!$B$5,$B106&gt;'⚙️ Setelan'!$B$6,COUNTIFS('📒 Jurnal'!$B$3:$B$502,$A106,'📒 Jurnal'!$AL$3:$AL$502,"⚠️ Revenge")&gt;0),"🔴 LANGGAR","✅ Aman")))</f>
        <v/>
      </c>
      <c r="G106" s="45" t="str">
        <f>IF($A106="","",SUM($D$3:$D106))</f>
        <v/>
      </c>
      <c r="H106" s="45" t="str">
        <f>IF($A106="","",MAX($G$3:$G106))</f>
        <v/>
      </c>
      <c r="I106" s="45" t="str">
        <f t="shared" si="1"/>
        <v/>
      </c>
    </row>
    <row r="107" spans="2:9">
      <c r="B107" s="25" t="str">
        <f>IF($A107="","",(COUNTIFS('📒 Jurnal'!$B$3:$B$502,$A107,'📒 Jurnal'!$Z$3:$Z$502,"Win")+COUNTIFS('📒 Jurnal'!$B$3:$B$502,$A107,'📒 Jurnal'!$Z$3:$Z$502,"Loss")+COUNTIFS('📒 Jurnal'!$B$3:$B$502,$A107,'📒 Jurnal'!$Z$3:$Z$502,"BE")))</f>
        <v/>
      </c>
      <c r="C107" s="28" t="str">
        <f>IF($A107="","",SUMIFS('📒 Jurnal'!$X$3:$X$502,'📒 Jurnal'!$B$3:$B$502,$A107))</f>
        <v/>
      </c>
      <c r="D107" s="24" t="str">
        <f>IF($A107="","",SUMIFS('📒 Jurnal'!$Y$3:$Y$502,'📒 Jurnal'!$B$3:$B$502,$A107))</f>
        <v/>
      </c>
      <c r="E107" s="23" t="str">
        <f>IF($A107="","",IFERROR(COUNTIFS('📒 Jurnal'!$B$3:$B$502,$A107,'📒 Jurnal'!$Z$3:$Z$502,"Win")/(COUNTIFS('📒 Jurnal'!$B$3:$B$502,$A107,'📒 Jurnal'!$Z$3:$Z$502,"Win")+COUNTIFS('📒 Jurnal'!$B$3:$B$502,$A107,'📒 Jurnal'!$Z$3:$Z$502,"Loss")+COUNTIFS('📒 Jurnal'!$B$3:$B$502,$A107,'📒 Jurnal'!$Z$3:$Z$502,"BE")),""))</f>
        <v/>
      </c>
      <c r="F107" s="25" t="str">
        <f>IF($A107="","",IF($B107=0,"—",IF(OR($C107&lt;=-'⚙️ Setelan'!$B$5,$B107&gt;'⚙️ Setelan'!$B$6,COUNTIFS('📒 Jurnal'!$B$3:$B$502,$A107,'📒 Jurnal'!$AL$3:$AL$502,"⚠️ Revenge")&gt;0),"🔴 LANGGAR","✅ Aman")))</f>
        <v/>
      </c>
      <c r="G107" s="45" t="str">
        <f>IF($A107="","",SUM($D$3:$D107))</f>
        <v/>
      </c>
      <c r="H107" s="45" t="str">
        <f>IF($A107="","",MAX($G$3:$G107))</f>
        <v/>
      </c>
      <c r="I107" s="45" t="str">
        <f t="shared" si="1"/>
        <v/>
      </c>
    </row>
    <row r="108" spans="2:9">
      <c r="B108" s="25" t="str">
        <f>IF($A108="","",(COUNTIFS('📒 Jurnal'!$B$3:$B$502,$A108,'📒 Jurnal'!$Z$3:$Z$502,"Win")+COUNTIFS('📒 Jurnal'!$B$3:$B$502,$A108,'📒 Jurnal'!$Z$3:$Z$502,"Loss")+COUNTIFS('📒 Jurnal'!$B$3:$B$502,$A108,'📒 Jurnal'!$Z$3:$Z$502,"BE")))</f>
        <v/>
      </c>
      <c r="C108" s="28" t="str">
        <f>IF($A108="","",SUMIFS('📒 Jurnal'!$X$3:$X$502,'📒 Jurnal'!$B$3:$B$502,$A108))</f>
        <v/>
      </c>
      <c r="D108" s="24" t="str">
        <f>IF($A108="","",SUMIFS('📒 Jurnal'!$Y$3:$Y$502,'📒 Jurnal'!$B$3:$B$502,$A108))</f>
        <v/>
      </c>
      <c r="E108" s="23" t="str">
        <f>IF($A108="","",IFERROR(COUNTIFS('📒 Jurnal'!$B$3:$B$502,$A108,'📒 Jurnal'!$Z$3:$Z$502,"Win")/(COUNTIFS('📒 Jurnal'!$B$3:$B$502,$A108,'📒 Jurnal'!$Z$3:$Z$502,"Win")+COUNTIFS('📒 Jurnal'!$B$3:$B$502,$A108,'📒 Jurnal'!$Z$3:$Z$502,"Loss")+COUNTIFS('📒 Jurnal'!$B$3:$B$502,$A108,'📒 Jurnal'!$Z$3:$Z$502,"BE")),""))</f>
        <v/>
      </c>
      <c r="F108" s="25" t="str">
        <f>IF($A108="","",IF($B108=0,"—",IF(OR($C108&lt;=-'⚙️ Setelan'!$B$5,$B108&gt;'⚙️ Setelan'!$B$6,COUNTIFS('📒 Jurnal'!$B$3:$B$502,$A108,'📒 Jurnal'!$AL$3:$AL$502,"⚠️ Revenge")&gt;0),"🔴 LANGGAR","✅ Aman")))</f>
        <v/>
      </c>
      <c r="G108" s="45" t="str">
        <f>IF($A108="","",SUM($D$3:$D108))</f>
        <v/>
      </c>
      <c r="H108" s="45" t="str">
        <f>IF($A108="","",MAX($G$3:$G108))</f>
        <v/>
      </c>
      <c r="I108" s="45" t="str">
        <f t="shared" si="1"/>
        <v/>
      </c>
    </row>
    <row r="109" spans="2:9">
      <c r="B109" s="25" t="str">
        <f>IF($A109="","",(COUNTIFS('📒 Jurnal'!$B$3:$B$502,$A109,'📒 Jurnal'!$Z$3:$Z$502,"Win")+COUNTIFS('📒 Jurnal'!$B$3:$B$502,$A109,'📒 Jurnal'!$Z$3:$Z$502,"Loss")+COUNTIFS('📒 Jurnal'!$B$3:$B$502,$A109,'📒 Jurnal'!$Z$3:$Z$502,"BE")))</f>
        <v/>
      </c>
      <c r="C109" s="28" t="str">
        <f>IF($A109="","",SUMIFS('📒 Jurnal'!$X$3:$X$502,'📒 Jurnal'!$B$3:$B$502,$A109))</f>
        <v/>
      </c>
      <c r="D109" s="24" t="str">
        <f>IF($A109="","",SUMIFS('📒 Jurnal'!$Y$3:$Y$502,'📒 Jurnal'!$B$3:$B$502,$A109))</f>
        <v/>
      </c>
      <c r="E109" s="23" t="str">
        <f>IF($A109="","",IFERROR(COUNTIFS('📒 Jurnal'!$B$3:$B$502,$A109,'📒 Jurnal'!$Z$3:$Z$502,"Win")/(COUNTIFS('📒 Jurnal'!$B$3:$B$502,$A109,'📒 Jurnal'!$Z$3:$Z$502,"Win")+COUNTIFS('📒 Jurnal'!$B$3:$B$502,$A109,'📒 Jurnal'!$Z$3:$Z$502,"Loss")+COUNTIFS('📒 Jurnal'!$B$3:$B$502,$A109,'📒 Jurnal'!$Z$3:$Z$502,"BE")),""))</f>
        <v/>
      </c>
      <c r="F109" s="25" t="str">
        <f>IF($A109="","",IF($B109=0,"—",IF(OR($C109&lt;=-'⚙️ Setelan'!$B$5,$B109&gt;'⚙️ Setelan'!$B$6,COUNTIFS('📒 Jurnal'!$B$3:$B$502,$A109,'📒 Jurnal'!$AL$3:$AL$502,"⚠️ Revenge")&gt;0),"🔴 LANGGAR","✅ Aman")))</f>
        <v/>
      </c>
      <c r="G109" s="45" t="str">
        <f>IF($A109="","",SUM($D$3:$D109))</f>
        <v/>
      </c>
      <c r="H109" s="45" t="str">
        <f>IF($A109="","",MAX($G$3:$G109))</f>
        <v/>
      </c>
      <c r="I109" s="45" t="str">
        <f t="shared" si="1"/>
        <v/>
      </c>
    </row>
    <row r="110" spans="2:9">
      <c r="B110" s="25" t="str">
        <f>IF($A110="","",(COUNTIFS('📒 Jurnal'!$B$3:$B$502,$A110,'📒 Jurnal'!$Z$3:$Z$502,"Win")+COUNTIFS('📒 Jurnal'!$B$3:$B$502,$A110,'📒 Jurnal'!$Z$3:$Z$502,"Loss")+COUNTIFS('📒 Jurnal'!$B$3:$B$502,$A110,'📒 Jurnal'!$Z$3:$Z$502,"BE")))</f>
        <v/>
      </c>
      <c r="C110" s="28" t="str">
        <f>IF($A110="","",SUMIFS('📒 Jurnal'!$X$3:$X$502,'📒 Jurnal'!$B$3:$B$502,$A110))</f>
        <v/>
      </c>
      <c r="D110" s="24" t="str">
        <f>IF($A110="","",SUMIFS('📒 Jurnal'!$Y$3:$Y$502,'📒 Jurnal'!$B$3:$B$502,$A110))</f>
        <v/>
      </c>
      <c r="E110" s="23" t="str">
        <f>IF($A110="","",IFERROR(COUNTIFS('📒 Jurnal'!$B$3:$B$502,$A110,'📒 Jurnal'!$Z$3:$Z$502,"Win")/(COUNTIFS('📒 Jurnal'!$B$3:$B$502,$A110,'📒 Jurnal'!$Z$3:$Z$502,"Win")+COUNTIFS('📒 Jurnal'!$B$3:$B$502,$A110,'📒 Jurnal'!$Z$3:$Z$502,"Loss")+COUNTIFS('📒 Jurnal'!$B$3:$B$502,$A110,'📒 Jurnal'!$Z$3:$Z$502,"BE")),""))</f>
        <v/>
      </c>
      <c r="F110" s="25" t="str">
        <f>IF($A110="","",IF($B110=0,"—",IF(OR($C110&lt;=-'⚙️ Setelan'!$B$5,$B110&gt;'⚙️ Setelan'!$B$6,COUNTIFS('📒 Jurnal'!$B$3:$B$502,$A110,'📒 Jurnal'!$AL$3:$AL$502,"⚠️ Revenge")&gt;0),"🔴 LANGGAR","✅ Aman")))</f>
        <v/>
      </c>
      <c r="G110" s="45" t="str">
        <f>IF($A110="","",SUM($D$3:$D110))</f>
        <v/>
      </c>
      <c r="H110" s="45" t="str">
        <f>IF($A110="","",MAX($G$3:$G110))</f>
        <v/>
      </c>
      <c r="I110" s="45" t="str">
        <f t="shared" si="1"/>
        <v/>
      </c>
    </row>
    <row r="111" spans="2:9">
      <c r="B111" s="25" t="str">
        <f>IF($A111="","",(COUNTIFS('📒 Jurnal'!$B$3:$B$502,$A111,'📒 Jurnal'!$Z$3:$Z$502,"Win")+COUNTIFS('📒 Jurnal'!$B$3:$B$502,$A111,'📒 Jurnal'!$Z$3:$Z$502,"Loss")+COUNTIFS('📒 Jurnal'!$B$3:$B$502,$A111,'📒 Jurnal'!$Z$3:$Z$502,"BE")))</f>
        <v/>
      </c>
      <c r="C111" s="28" t="str">
        <f>IF($A111="","",SUMIFS('📒 Jurnal'!$X$3:$X$502,'📒 Jurnal'!$B$3:$B$502,$A111))</f>
        <v/>
      </c>
      <c r="D111" s="24" t="str">
        <f>IF($A111="","",SUMIFS('📒 Jurnal'!$Y$3:$Y$502,'📒 Jurnal'!$B$3:$B$502,$A111))</f>
        <v/>
      </c>
      <c r="E111" s="23" t="str">
        <f>IF($A111="","",IFERROR(COUNTIFS('📒 Jurnal'!$B$3:$B$502,$A111,'📒 Jurnal'!$Z$3:$Z$502,"Win")/(COUNTIFS('📒 Jurnal'!$B$3:$B$502,$A111,'📒 Jurnal'!$Z$3:$Z$502,"Win")+COUNTIFS('📒 Jurnal'!$B$3:$B$502,$A111,'📒 Jurnal'!$Z$3:$Z$502,"Loss")+COUNTIFS('📒 Jurnal'!$B$3:$B$502,$A111,'📒 Jurnal'!$Z$3:$Z$502,"BE")),""))</f>
        <v/>
      </c>
      <c r="F111" s="25" t="str">
        <f>IF($A111="","",IF($B111=0,"—",IF(OR($C111&lt;=-'⚙️ Setelan'!$B$5,$B111&gt;'⚙️ Setelan'!$B$6,COUNTIFS('📒 Jurnal'!$B$3:$B$502,$A111,'📒 Jurnal'!$AL$3:$AL$502,"⚠️ Revenge")&gt;0),"🔴 LANGGAR","✅ Aman")))</f>
        <v/>
      </c>
      <c r="G111" s="45" t="str">
        <f>IF($A111="","",SUM($D$3:$D111))</f>
        <v/>
      </c>
      <c r="H111" s="45" t="str">
        <f>IF($A111="","",MAX($G$3:$G111))</f>
        <v/>
      </c>
      <c r="I111" s="45" t="str">
        <f t="shared" si="1"/>
        <v/>
      </c>
    </row>
    <row r="112" spans="2:9">
      <c r="B112" s="25" t="str">
        <f>IF($A112="","",(COUNTIFS('📒 Jurnal'!$B$3:$B$502,$A112,'📒 Jurnal'!$Z$3:$Z$502,"Win")+COUNTIFS('📒 Jurnal'!$B$3:$B$502,$A112,'📒 Jurnal'!$Z$3:$Z$502,"Loss")+COUNTIFS('📒 Jurnal'!$B$3:$B$502,$A112,'📒 Jurnal'!$Z$3:$Z$502,"BE")))</f>
        <v/>
      </c>
      <c r="C112" s="28" t="str">
        <f>IF($A112="","",SUMIFS('📒 Jurnal'!$X$3:$X$502,'📒 Jurnal'!$B$3:$B$502,$A112))</f>
        <v/>
      </c>
      <c r="D112" s="24" t="str">
        <f>IF($A112="","",SUMIFS('📒 Jurnal'!$Y$3:$Y$502,'📒 Jurnal'!$B$3:$B$502,$A112))</f>
        <v/>
      </c>
      <c r="E112" s="23" t="str">
        <f>IF($A112="","",IFERROR(COUNTIFS('📒 Jurnal'!$B$3:$B$502,$A112,'📒 Jurnal'!$Z$3:$Z$502,"Win")/(COUNTIFS('📒 Jurnal'!$B$3:$B$502,$A112,'📒 Jurnal'!$Z$3:$Z$502,"Win")+COUNTIFS('📒 Jurnal'!$B$3:$B$502,$A112,'📒 Jurnal'!$Z$3:$Z$502,"Loss")+COUNTIFS('📒 Jurnal'!$B$3:$B$502,$A112,'📒 Jurnal'!$Z$3:$Z$502,"BE")),""))</f>
        <v/>
      </c>
      <c r="F112" s="25" t="str">
        <f>IF($A112="","",IF($B112=0,"—",IF(OR($C112&lt;=-'⚙️ Setelan'!$B$5,$B112&gt;'⚙️ Setelan'!$B$6,COUNTIFS('📒 Jurnal'!$B$3:$B$502,$A112,'📒 Jurnal'!$AL$3:$AL$502,"⚠️ Revenge")&gt;0),"🔴 LANGGAR","✅ Aman")))</f>
        <v/>
      </c>
      <c r="G112" s="45" t="str">
        <f>IF($A112="","",SUM($D$3:$D112))</f>
        <v/>
      </c>
      <c r="H112" s="45" t="str">
        <f>IF($A112="","",MAX($G$3:$G112))</f>
        <v/>
      </c>
      <c r="I112" s="45" t="str">
        <f t="shared" si="1"/>
        <v/>
      </c>
    </row>
    <row r="113" spans="2:9">
      <c r="B113" s="25" t="str">
        <f>IF($A113="","",(COUNTIFS('📒 Jurnal'!$B$3:$B$502,$A113,'📒 Jurnal'!$Z$3:$Z$502,"Win")+COUNTIFS('📒 Jurnal'!$B$3:$B$502,$A113,'📒 Jurnal'!$Z$3:$Z$502,"Loss")+COUNTIFS('📒 Jurnal'!$B$3:$B$502,$A113,'📒 Jurnal'!$Z$3:$Z$502,"BE")))</f>
        <v/>
      </c>
      <c r="C113" s="28" t="str">
        <f>IF($A113="","",SUMIFS('📒 Jurnal'!$X$3:$X$502,'📒 Jurnal'!$B$3:$B$502,$A113))</f>
        <v/>
      </c>
      <c r="D113" s="24" t="str">
        <f>IF($A113="","",SUMIFS('📒 Jurnal'!$Y$3:$Y$502,'📒 Jurnal'!$B$3:$B$502,$A113))</f>
        <v/>
      </c>
      <c r="E113" s="23" t="str">
        <f>IF($A113="","",IFERROR(COUNTIFS('📒 Jurnal'!$B$3:$B$502,$A113,'📒 Jurnal'!$Z$3:$Z$502,"Win")/(COUNTIFS('📒 Jurnal'!$B$3:$B$502,$A113,'📒 Jurnal'!$Z$3:$Z$502,"Win")+COUNTIFS('📒 Jurnal'!$B$3:$B$502,$A113,'📒 Jurnal'!$Z$3:$Z$502,"Loss")+COUNTIFS('📒 Jurnal'!$B$3:$B$502,$A113,'📒 Jurnal'!$Z$3:$Z$502,"BE")),""))</f>
        <v/>
      </c>
      <c r="F113" s="25" t="str">
        <f>IF($A113="","",IF($B113=0,"—",IF(OR($C113&lt;=-'⚙️ Setelan'!$B$5,$B113&gt;'⚙️ Setelan'!$B$6,COUNTIFS('📒 Jurnal'!$B$3:$B$502,$A113,'📒 Jurnal'!$AL$3:$AL$502,"⚠️ Revenge")&gt;0),"🔴 LANGGAR","✅ Aman")))</f>
        <v/>
      </c>
      <c r="G113" s="45" t="str">
        <f>IF($A113="","",SUM($D$3:$D113))</f>
        <v/>
      </c>
      <c r="H113" s="45" t="str">
        <f>IF($A113="","",MAX($G$3:$G113))</f>
        <v/>
      </c>
      <c r="I113" s="45" t="str">
        <f t="shared" si="1"/>
        <v/>
      </c>
    </row>
    <row r="114" spans="2:9">
      <c r="B114" s="25" t="str">
        <f>IF($A114="","",(COUNTIFS('📒 Jurnal'!$B$3:$B$502,$A114,'📒 Jurnal'!$Z$3:$Z$502,"Win")+COUNTIFS('📒 Jurnal'!$B$3:$B$502,$A114,'📒 Jurnal'!$Z$3:$Z$502,"Loss")+COUNTIFS('📒 Jurnal'!$B$3:$B$502,$A114,'📒 Jurnal'!$Z$3:$Z$502,"BE")))</f>
        <v/>
      </c>
      <c r="C114" s="28" t="str">
        <f>IF($A114="","",SUMIFS('📒 Jurnal'!$X$3:$X$502,'📒 Jurnal'!$B$3:$B$502,$A114))</f>
        <v/>
      </c>
      <c r="D114" s="24" t="str">
        <f>IF($A114="","",SUMIFS('📒 Jurnal'!$Y$3:$Y$502,'📒 Jurnal'!$B$3:$B$502,$A114))</f>
        <v/>
      </c>
      <c r="E114" s="23" t="str">
        <f>IF($A114="","",IFERROR(COUNTIFS('📒 Jurnal'!$B$3:$B$502,$A114,'📒 Jurnal'!$Z$3:$Z$502,"Win")/(COUNTIFS('📒 Jurnal'!$B$3:$B$502,$A114,'📒 Jurnal'!$Z$3:$Z$502,"Win")+COUNTIFS('📒 Jurnal'!$B$3:$B$502,$A114,'📒 Jurnal'!$Z$3:$Z$502,"Loss")+COUNTIFS('📒 Jurnal'!$B$3:$B$502,$A114,'📒 Jurnal'!$Z$3:$Z$502,"BE")),""))</f>
        <v/>
      </c>
      <c r="F114" s="25" t="str">
        <f>IF($A114="","",IF($B114=0,"—",IF(OR($C114&lt;=-'⚙️ Setelan'!$B$5,$B114&gt;'⚙️ Setelan'!$B$6,COUNTIFS('📒 Jurnal'!$B$3:$B$502,$A114,'📒 Jurnal'!$AL$3:$AL$502,"⚠️ Revenge")&gt;0),"🔴 LANGGAR","✅ Aman")))</f>
        <v/>
      </c>
      <c r="G114" s="45" t="str">
        <f>IF($A114="","",SUM($D$3:$D114))</f>
        <v/>
      </c>
      <c r="H114" s="45" t="str">
        <f>IF($A114="","",MAX($G$3:$G114))</f>
        <v/>
      </c>
      <c r="I114" s="45" t="str">
        <f t="shared" si="1"/>
        <v/>
      </c>
    </row>
    <row r="115" spans="2:9">
      <c r="B115" s="25" t="str">
        <f>IF($A115="","",(COUNTIFS('📒 Jurnal'!$B$3:$B$502,$A115,'📒 Jurnal'!$Z$3:$Z$502,"Win")+COUNTIFS('📒 Jurnal'!$B$3:$B$502,$A115,'📒 Jurnal'!$Z$3:$Z$502,"Loss")+COUNTIFS('📒 Jurnal'!$B$3:$B$502,$A115,'📒 Jurnal'!$Z$3:$Z$502,"BE")))</f>
        <v/>
      </c>
      <c r="C115" s="28" t="str">
        <f>IF($A115="","",SUMIFS('📒 Jurnal'!$X$3:$X$502,'📒 Jurnal'!$B$3:$B$502,$A115))</f>
        <v/>
      </c>
      <c r="D115" s="24" t="str">
        <f>IF($A115="","",SUMIFS('📒 Jurnal'!$Y$3:$Y$502,'📒 Jurnal'!$B$3:$B$502,$A115))</f>
        <v/>
      </c>
      <c r="E115" s="23" t="str">
        <f>IF($A115="","",IFERROR(COUNTIFS('📒 Jurnal'!$B$3:$B$502,$A115,'📒 Jurnal'!$Z$3:$Z$502,"Win")/(COUNTIFS('📒 Jurnal'!$B$3:$B$502,$A115,'📒 Jurnal'!$Z$3:$Z$502,"Win")+COUNTIFS('📒 Jurnal'!$B$3:$B$502,$A115,'📒 Jurnal'!$Z$3:$Z$502,"Loss")+COUNTIFS('📒 Jurnal'!$B$3:$B$502,$A115,'📒 Jurnal'!$Z$3:$Z$502,"BE")),""))</f>
        <v/>
      </c>
      <c r="F115" s="25" t="str">
        <f>IF($A115="","",IF($B115=0,"—",IF(OR($C115&lt;=-'⚙️ Setelan'!$B$5,$B115&gt;'⚙️ Setelan'!$B$6,COUNTIFS('📒 Jurnal'!$B$3:$B$502,$A115,'📒 Jurnal'!$AL$3:$AL$502,"⚠️ Revenge")&gt;0),"🔴 LANGGAR","✅ Aman")))</f>
        <v/>
      </c>
      <c r="G115" s="45" t="str">
        <f>IF($A115="","",SUM($D$3:$D115))</f>
        <v/>
      </c>
      <c r="H115" s="45" t="str">
        <f>IF($A115="","",MAX($G$3:$G115))</f>
        <v/>
      </c>
      <c r="I115" s="45" t="str">
        <f t="shared" si="1"/>
        <v/>
      </c>
    </row>
    <row r="116" spans="2:9">
      <c r="B116" s="25" t="str">
        <f>IF($A116="","",(COUNTIFS('📒 Jurnal'!$B$3:$B$502,$A116,'📒 Jurnal'!$Z$3:$Z$502,"Win")+COUNTIFS('📒 Jurnal'!$B$3:$B$502,$A116,'📒 Jurnal'!$Z$3:$Z$502,"Loss")+COUNTIFS('📒 Jurnal'!$B$3:$B$502,$A116,'📒 Jurnal'!$Z$3:$Z$502,"BE")))</f>
        <v/>
      </c>
      <c r="C116" s="28" t="str">
        <f>IF($A116="","",SUMIFS('📒 Jurnal'!$X$3:$X$502,'📒 Jurnal'!$B$3:$B$502,$A116))</f>
        <v/>
      </c>
      <c r="D116" s="24" t="str">
        <f>IF($A116="","",SUMIFS('📒 Jurnal'!$Y$3:$Y$502,'📒 Jurnal'!$B$3:$B$502,$A116))</f>
        <v/>
      </c>
      <c r="E116" s="23" t="str">
        <f>IF($A116="","",IFERROR(COUNTIFS('📒 Jurnal'!$B$3:$B$502,$A116,'📒 Jurnal'!$Z$3:$Z$502,"Win")/(COUNTIFS('📒 Jurnal'!$B$3:$B$502,$A116,'📒 Jurnal'!$Z$3:$Z$502,"Win")+COUNTIFS('📒 Jurnal'!$B$3:$B$502,$A116,'📒 Jurnal'!$Z$3:$Z$502,"Loss")+COUNTIFS('📒 Jurnal'!$B$3:$B$502,$A116,'📒 Jurnal'!$Z$3:$Z$502,"BE")),""))</f>
        <v/>
      </c>
      <c r="F116" s="25" t="str">
        <f>IF($A116="","",IF($B116=0,"—",IF(OR($C116&lt;=-'⚙️ Setelan'!$B$5,$B116&gt;'⚙️ Setelan'!$B$6,COUNTIFS('📒 Jurnal'!$B$3:$B$502,$A116,'📒 Jurnal'!$AL$3:$AL$502,"⚠️ Revenge")&gt;0),"🔴 LANGGAR","✅ Aman")))</f>
        <v/>
      </c>
      <c r="G116" s="45" t="str">
        <f>IF($A116="","",SUM($D$3:$D116))</f>
        <v/>
      </c>
      <c r="H116" s="45" t="str">
        <f>IF($A116="","",MAX($G$3:$G116))</f>
        <v/>
      </c>
      <c r="I116" s="45" t="str">
        <f t="shared" si="1"/>
        <v/>
      </c>
    </row>
    <row r="117" spans="2:9">
      <c r="B117" s="25" t="str">
        <f>IF($A117="","",(COUNTIFS('📒 Jurnal'!$B$3:$B$502,$A117,'📒 Jurnal'!$Z$3:$Z$502,"Win")+COUNTIFS('📒 Jurnal'!$B$3:$B$502,$A117,'📒 Jurnal'!$Z$3:$Z$502,"Loss")+COUNTIFS('📒 Jurnal'!$B$3:$B$502,$A117,'📒 Jurnal'!$Z$3:$Z$502,"BE")))</f>
        <v/>
      </c>
      <c r="C117" s="28" t="str">
        <f>IF($A117="","",SUMIFS('📒 Jurnal'!$X$3:$X$502,'📒 Jurnal'!$B$3:$B$502,$A117))</f>
        <v/>
      </c>
      <c r="D117" s="24" t="str">
        <f>IF($A117="","",SUMIFS('📒 Jurnal'!$Y$3:$Y$502,'📒 Jurnal'!$B$3:$B$502,$A117))</f>
        <v/>
      </c>
      <c r="E117" s="23" t="str">
        <f>IF($A117="","",IFERROR(COUNTIFS('📒 Jurnal'!$B$3:$B$502,$A117,'📒 Jurnal'!$Z$3:$Z$502,"Win")/(COUNTIFS('📒 Jurnal'!$B$3:$B$502,$A117,'📒 Jurnal'!$Z$3:$Z$502,"Win")+COUNTIFS('📒 Jurnal'!$B$3:$B$502,$A117,'📒 Jurnal'!$Z$3:$Z$502,"Loss")+COUNTIFS('📒 Jurnal'!$B$3:$B$502,$A117,'📒 Jurnal'!$Z$3:$Z$502,"BE")),""))</f>
        <v/>
      </c>
      <c r="F117" s="25" t="str">
        <f>IF($A117="","",IF($B117=0,"—",IF(OR($C117&lt;=-'⚙️ Setelan'!$B$5,$B117&gt;'⚙️ Setelan'!$B$6,COUNTIFS('📒 Jurnal'!$B$3:$B$502,$A117,'📒 Jurnal'!$AL$3:$AL$502,"⚠️ Revenge")&gt;0),"🔴 LANGGAR","✅ Aman")))</f>
        <v/>
      </c>
      <c r="G117" s="45" t="str">
        <f>IF($A117="","",SUM($D$3:$D117))</f>
        <v/>
      </c>
      <c r="H117" s="45" t="str">
        <f>IF($A117="","",MAX($G$3:$G117))</f>
        <v/>
      </c>
      <c r="I117" s="45" t="str">
        <f t="shared" si="1"/>
        <v/>
      </c>
    </row>
    <row r="118" spans="2:9">
      <c r="B118" s="25" t="str">
        <f>IF($A118="","",(COUNTIFS('📒 Jurnal'!$B$3:$B$502,$A118,'📒 Jurnal'!$Z$3:$Z$502,"Win")+COUNTIFS('📒 Jurnal'!$B$3:$B$502,$A118,'📒 Jurnal'!$Z$3:$Z$502,"Loss")+COUNTIFS('📒 Jurnal'!$B$3:$B$502,$A118,'📒 Jurnal'!$Z$3:$Z$502,"BE")))</f>
        <v/>
      </c>
      <c r="C118" s="28" t="str">
        <f>IF($A118="","",SUMIFS('📒 Jurnal'!$X$3:$X$502,'📒 Jurnal'!$B$3:$B$502,$A118))</f>
        <v/>
      </c>
      <c r="D118" s="24" t="str">
        <f>IF($A118="","",SUMIFS('📒 Jurnal'!$Y$3:$Y$502,'📒 Jurnal'!$B$3:$B$502,$A118))</f>
        <v/>
      </c>
      <c r="E118" s="23" t="str">
        <f>IF($A118="","",IFERROR(COUNTIFS('📒 Jurnal'!$B$3:$B$502,$A118,'📒 Jurnal'!$Z$3:$Z$502,"Win")/(COUNTIFS('📒 Jurnal'!$B$3:$B$502,$A118,'📒 Jurnal'!$Z$3:$Z$502,"Win")+COUNTIFS('📒 Jurnal'!$B$3:$B$502,$A118,'📒 Jurnal'!$Z$3:$Z$502,"Loss")+COUNTIFS('📒 Jurnal'!$B$3:$B$502,$A118,'📒 Jurnal'!$Z$3:$Z$502,"BE")),""))</f>
        <v/>
      </c>
      <c r="F118" s="25" t="str">
        <f>IF($A118="","",IF($B118=0,"—",IF(OR($C118&lt;=-'⚙️ Setelan'!$B$5,$B118&gt;'⚙️ Setelan'!$B$6,COUNTIFS('📒 Jurnal'!$B$3:$B$502,$A118,'📒 Jurnal'!$AL$3:$AL$502,"⚠️ Revenge")&gt;0),"🔴 LANGGAR","✅ Aman")))</f>
        <v/>
      </c>
      <c r="G118" s="45" t="str">
        <f>IF($A118="","",SUM($D$3:$D118))</f>
        <v/>
      </c>
      <c r="H118" s="45" t="str">
        <f>IF($A118="","",MAX($G$3:$G118))</f>
        <v/>
      </c>
      <c r="I118" s="45" t="str">
        <f t="shared" si="1"/>
        <v/>
      </c>
    </row>
    <row r="119" spans="2:9">
      <c r="B119" s="25" t="str">
        <f>IF($A119="","",(COUNTIFS('📒 Jurnal'!$B$3:$B$502,$A119,'📒 Jurnal'!$Z$3:$Z$502,"Win")+COUNTIFS('📒 Jurnal'!$B$3:$B$502,$A119,'📒 Jurnal'!$Z$3:$Z$502,"Loss")+COUNTIFS('📒 Jurnal'!$B$3:$B$502,$A119,'📒 Jurnal'!$Z$3:$Z$502,"BE")))</f>
        <v/>
      </c>
      <c r="C119" s="28" t="str">
        <f>IF($A119="","",SUMIFS('📒 Jurnal'!$X$3:$X$502,'📒 Jurnal'!$B$3:$B$502,$A119))</f>
        <v/>
      </c>
      <c r="D119" s="24" t="str">
        <f>IF($A119="","",SUMIFS('📒 Jurnal'!$Y$3:$Y$502,'📒 Jurnal'!$B$3:$B$502,$A119))</f>
        <v/>
      </c>
      <c r="E119" s="23" t="str">
        <f>IF($A119="","",IFERROR(COUNTIFS('📒 Jurnal'!$B$3:$B$502,$A119,'📒 Jurnal'!$Z$3:$Z$502,"Win")/(COUNTIFS('📒 Jurnal'!$B$3:$B$502,$A119,'📒 Jurnal'!$Z$3:$Z$502,"Win")+COUNTIFS('📒 Jurnal'!$B$3:$B$502,$A119,'📒 Jurnal'!$Z$3:$Z$502,"Loss")+COUNTIFS('📒 Jurnal'!$B$3:$B$502,$A119,'📒 Jurnal'!$Z$3:$Z$502,"BE")),""))</f>
        <v/>
      </c>
      <c r="F119" s="25" t="str">
        <f>IF($A119="","",IF($B119=0,"—",IF(OR($C119&lt;=-'⚙️ Setelan'!$B$5,$B119&gt;'⚙️ Setelan'!$B$6,COUNTIFS('📒 Jurnal'!$B$3:$B$502,$A119,'📒 Jurnal'!$AL$3:$AL$502,"⚠️ Revenge")&gt;0),"🔴 LANGGAR","✅ Aman")))</f>
        <v/>
      </c>
      <c r="G119" s="45" t="str">
        <f>IF($A119="","",SUM($D$3:$D119))</f>
        <v/>
      </c>
      <c r="H119" s="45" t="str">
        <f>IF($A119="","",MAX($G$3:$G119))</f>
        <v/>
      </c>
      <c r="I119" s="45" t="str">
        <f t="shared" si="1"/>
        <v/>
      </c>
    </row>
    <row r="120" spans="2:9">
      <c r="B120" s="25" t="str">
        <f>IF($A120="","",(COUNTIFS('📒 Jurnal'!$B$3:$B$502,$A120,'📒 Jurnal'!$Z$3:$Z$502,"Win")+COUNTIFS('📒 Jurnal'!$B$3:$B$502,$A120,'📒 Jurnal'!$Z$3:$Z$502,"Loss")+COUNTIFS('📒 Jurnal'!$B$3:$B$502,$A120,'📒 Jurnal'!$Z$3:$Z$502,"BE")))</f>
        <v/>
      </c>
      <c r="C120" s="28" t="str">
        <f>IF($A120="","",SUMIFS('📒 Jurnal'!$X$3:$X$502,'📒 Jurnal'!$B$3:$B$502,$A120))</f>
        <v/>
      </c>
      <c r="D120" s="24" t="str">
        <f>IF($A120="","",SUMIFS('📒 Jurnal'!$Y$3:$Y$502,'📒 Jurnal'!$B$3:$B$502,$A120))</f>
        <v/>
      </c>
      <c r="E120" s="23" t="str">
        <f>IF($A120="","",IFERROR(COUNTIFS('📒 Jurnal'!$B$3:$B$502,$A120,'📒 Jurnal'!$Z$3:$Z$502,"Win")/(COUNTIFS('📒 Jurnal'!$B$3:$B$502,$A120,'📒 Jurnal'!$Z$3:$Z$502,"Win")+COUNTIFS('📒 Jurnal'!$B$3:$B$502,$A120,'📒 Jurnal'!$Z$3:$Z$502,"Loss")+COUNTIFS('📒 Jurnal'!$B$3:$B$502,$A120,'📒 Jurnal'!$Z$3:$Z$502,"BE")),""))</f>
        <v/>
      </c>
      <c r="F120" s="25" t="str">
        <f>IF($A120="","",IF($B120=0,"—",IF(OR($C120&lt;=-'⚙️ Setelan'!$B$5,$B120&gt;'⚙️ Setelan'!$B$6,COUNTIFS('📒 Jurnal'!$B$3:$B$502,$A120,'📒 Jurnal'!$AL$3:$AL$502,"⚠️ Revenge")&gt;0),"🔴 LANGGAR","✅ Aman")))</f>
        <v/>
      </c>
      <c r="G120" s="45" t="str">
        <f>IF($A120="","",SUM($D$3:$D120))</f>
        <v/>
      </c>
      <c r="H120" s="45" t="str">
        <f>IF($A120="","",MAX($G$3:$G120))</f>
        <v/>
      </c>
      <c r="I120" s="45" t="str">
        <f t="shared" si="1"/>
        <v/>
      </c>
    </row>
    <row r="121" spans="2:9">
      <c r="B121" s="25" t="str">
        <f>IF($A121="","",(COUNTIFS('📒 Jurnal'!$B$3:$B$502,$A121,'📒 Jurnal'!$Z$3:$Z$502,"Win")+COUNTIFS('📒 Jurnal'!$B$3:$B$502,$A121,'📒 Jurnal'!$Z$3:$Z$502,"Loss")+COUNTIFS('📒 Jurnal'!$B$3:$B$502,$A121,'📒 Jurnal'!$Z$3:$Z$502,"BE")))</f>
        <v/>
      </c>
      <c r="C121" s="28" t="str">
        <f>IF($A121="","",SUMIFS('📒 Jurnal'!$X$3:$X$502,'📒 Jurnal'!$B$3:$B$502,$A121))</f>
        <v/>
      </c>
      <c r="D121" s="24" t="str">
        <f>IF($A121="","",SUMIFS('📒 Jurnal'!$Y$3:$Y$502,'📒 Jurnal'!$B$3:$B$502,$A121))</f>
        <v/>
      </c>
      <c r="E121" s="23" t="str">
        <f>IF($A121="","",IFERROR(COUNTIFS('📒 Jurnal'!$B$3:$B$502,$A121,'📒 Jurnal'!$Z$3:$Z$502,"Win")/(COUNTIFS('📒 Jurnal'!$B$3:$B$502,$A121,'📒 Jurnal'!$Z$3:$Z$502,"Win")+COUNTIFS('📒 Jurnal'!$B$3:$B$502,$A121,'📒 Jurnal'!$Z$3:$Z$502,"Loss")+COUNTIFS('📒 Jurnal'!$B$3:$B$502,$A121,'📒 Jurnal'!$Z$3:$Z$502,"BE")),""))</f>
        <v/>
      </c>
      <c r="F121" s="25" t="str">
        <f>IF($A121="","",IF($B121=0,"—",IF(OR($C121&lt;=-'⚙️ Setelan'!$B$5,$B121&gt;'⚙️ Setelan'!$B$6,COUNTIFS('📒 Jurnal'!$B$3:$B$502,$A121,'📒 Jurnal'!$AL$3:$AL$502,"⚠️ Revenge")&gt;0),"🔴 LANGGAR","✅ Aman")))</f>
        <v/>
      </c>
      <c r="G121" s="45" t="str">
        <f>IF($A121="","",SUM($D$3:$D121))</f>
        <v/>
      </c>
      <c r="H121" s="45" t="str">
        <f>IF($A121="","",MAX($G$3:$G121))</f>
        <v/>
      </c>
      <c r="I121" s="45" t="str">
        <f t="shared" si="1"/>
        <v/>
      </c>
    </row>
    <row r="122" spans="2:9">
      <c r="B122" s="25" t="str">
        <f>IF($A122="","",(COUNTIFS('📒 Jurnal'!$B$3:$B$502,$A122,'📒 Jurnal'!$Z$3:$Z$502,"Win")+COUNTIFS('📒 Jurnal'!$B$3:$B$502,$A122,'📒 Jurnal'!$Z$3:$Z$502,"Loss")+COUNTIFS('📒 Jurnal'!$B$3:$B$502,$A122,'📒 Jurnal'!$Z$3:$Z$502,"BE")))</f>
        <v/>
      </c>
      <c r="C122" s="28" t="str">
        <f>IF($A122="","",SUMIFS('📒 Jurnal'!$X$3:$X$502,'📒 Jurnal'!$B$3:$B$502,$A122))</f>
        <v/>
      </c>
      <c r="D122" s="24" t="str">
        <f>IF($A122="","",SUMIFS('📒 Jurnal'!$Y$3:$Y$502,'📒 Jurnal'!$B$3:$B$502,$A122))</f>
        <v/>
      </c>
      <c r="E122" s="23" t="str">
        <f>IF($A122="","",IFERROR(COUNTIFS('📒 Jurnal'!$B$3:$B$502,$A122,'📒 Jurnal'!$Z$3:$Z$502,"Win")/(COUNTIFS('📒 Jurnal'!$B$3:$B$502,$A122,'📒 Jurnal'!$Z$3:$Z$502,"Win")+COUNTIFS('📒 Jurnal'!$B$3:$B$502,$A122,'📒 Jurnal'!$Z$3:$Z$502,"Loss")+COUNTIFS('📒 Jurnal'!$B$3:$B$502,$A122,'📒 Jurnal'!$Z$3:$Z$502,"BE")),""))</f>
        <v/>
      </c>
      <c r="F122" s="25" t="str">
        <f>IF($A122="","",IF($B122=0,"—",IF(OR($C122&lt;=-'⚙️ Setelan'!$B$5,$B122&gt;'⚙️ Setelan'!$B$6,COUNTIFS('📒 Jurnal'!$B$3:$B$502,$A122,'📒 Jurnal'!$AL$3:$AL$502,"⚠️ Revenge")&gt;0),"🔴 LANGGAR","✅ Aman")))</f>
        <v/>
      </c>
      <c r="G122" s="45" t="str">
        <f>IF($A122="","",SUM($D$3:$D122))</f>
        <v/>
      </c>
      <c r="H122" s="45" t="str">
        <f>IF($A122="","",MAX($G$3:$G122))</f>
        <v/>
      </c>
      <c r="I122" s="45" t="str">
        <f t="shared" si="1"/>
        <v/>
      </c>
    </row>
    <row r="123" spans="2:9">
      <c r="B123" s="25" t="str">
        <f>IF($A123="","",(COUNTIFS('📒 Jurnal'!$B$3:$B$502,$A123,'📒 Jurnal'!$Z$3:$Z$502,"Win")+COUNTIFS('📒 Jurnal'!$B$3:$B$502,$A123,'📒 Jurnal'!$Z$3:$Z$502,"Loss")+COUNTIFS('📒 Jurnal'!$B$3:$B$502,$A123,'📒 Jurnal'!$Z$3:$Z$502,"BE")))</f>
        <v/>
      </c>
      <c r="C123" s="28" t="str">
        <f>IF($A123="","",SUMIFS('📒 Jurnal'!$X$3:$X$502,'📒 Jurnal'!$B$3:$B$502,$A123))</f>
        <v/>
      </c>
      <c r="D123" s="24" t="str">
        <f>IF($A123="","",SUMIFS('📒 Jurnal'!$Y$3:$Y$502,'📒 Jurnal'!$B$3:$B$502,$A123))</f>
        <v/>
      </c>
      <c r="E123" s="23" t="str">
        <f>IF($A123="","",IFERROR(COUNTIFS('📒 Jurnal'!$B$3:$B$502,$A123,'📒 Jurnal'!$Z$3:$Z$502,"Win")/(COUNTIFS('📒 Jurnal'!$B$3:$B$502,$A123,'📒 Jurnal'!$Z$3:$Z$502,"Win")+COUNTIFS('📒 Jurnal'!$B$3:$B$502,$A123,'📒 Jurnal'!$Z$3:$Z$502,"Loss")+COUNTIFS('📒 Jurnal'!$B$3:$B$502,$A123,'📒 Jurnal'!$Z$3:$Z$502,"BE")),""))</f>
        <v/>
      </c>
      <c r="F123" s="25" t="str">
        <f>IF($A123="","",IF($B123=0,"—",IF(OR($C123&lt;=-'⚙️ Setelan'!$B$5,$B123&gt;'⚙️ Setelan'!$B$6,COUNTIFS('📒 Jurnal'!$B$3:$B$502,$A123,'📒 Jurnal'!$AL$3:$AL$502,"⚠️ Revenge")&gt;0),"🔴 LANGGAR","✅ Aman")))</f>
        <v/>
      </c>
      <c r="G123" s="45" t="str">
        <f>IF($A123="","",SUM($D$3:$D123))</f>
        <v/>
      </c>
      <c r="H123" s="45" t="str">
        <f>IF($A123="","",MAX($G$3:$G123))</f>
        <v/>
      </c>
      <c r="I123" s="45" t="str">
        <f t="shared" si="1"/>
        <v/>
      </c>
    </row>
    <row r="124" spans="2:9">
      <c r="B124" s="25" t="str">
        <f>IF($A124="","",(COUNTIFS('📒 Jurnal'!$B$3:$B$502,$A124,'📒 Jurnal'!$Z$3:$Z$502,"Win")+COUNTIFS('📒 Jurnal'!$B$3:$B$502,$A124,'📒 Jurnal'!$Z$3:$Z$502,"Loss")+COUNTIFS('📒 Jurnal'!$B$3:$B$502,$A124,'📒 Jurnal'!$Z$3:$Z$502,"BE")))</f>
        <v/>
      </c>
      <c r="C124" s="28" t="str">
        <f>IF($A124="","",SUMIFS('📒 Jurnal'!$X$3:$X$502,'📒 Jurnal'!$B$3:$B$502,$A124))</f>
        <v/>
      </c>
      <c r="D124" s="24" t="str">
        <f>IF($A124="","",SUMIFS('📒 Jurnal'!$Y$3:$Y$502,'📒 Jurnal'!$B$3:$B$502,$A124))</f>
        <v/>
      </c>
      <c r="E124" s="23" t="str">
        <f>IF($A124="","",IFERROR(COUNTIFS('📒 Jurnal'!$B$3:$B$502,$A124,'📒 Jurnal'!$Z$3:$Z$502,"Win")/(COUNTIFS('📒 Jurnal'!$B$3:$B$502,$A124,'📒 Jurnal'!$Z$3:$Z$502,"Win")+COUNTIFS('📒 Jurnal'!$B$3:$B$502,$A124,'📒 Jurnal'!$Z$3:$Z$502,"Loss")+COUNTIFS('📒 Jurnal'!$B$3:$B$502,$A124,'📒 Jurnal'!$Z$3:$Z$502,"BE")),""))</f>
        <v/>
      </c>
      <c r="F124" s="25" t="str">
        <f>IF($A124="","",IF($B124=0,"—",IF(OR($C124&lt;=-'⚙️ Setelan'!$B$5,$B124&gt;'⚙️ Setelan'!$B$6,COUNTIFS('📒 Jurnal'!$B$3:$B$502,$A124,'📒 Jurnal'!$AL$3:$AL$502,"⚠️ Revenge")&gt;0),"🔴 LANGGAR","✅ Aman")))</f>
        <v/>
      </c>
      <c r="G124" s="45" t="str">
        <f>IF($A124="","",SUM($D$3:$D124))</f>
        <v/>
      </c>
      <c r="H124" s="45" t="str">
        <f>IF($A124="","",MAX($G$3:$G124))</f>
        <v/>
      </c>
      <c r="I124" s="45" t="str">
        <f t="shared" si="1"/>
        <v/>
      </c>
    </row>
    <row r="125" spans="2:9">
      <c r="B125" s="25" t="str">
        <f>IF($A125="","",(COUNTIFS('📒 Jurnal'!$B$3:$B$502,$A125,'📒 Jurnal'!$Z$3:$Z$502,"Win")+COUNTIFS('📒 Jurnal'!$B$3:$B$502,$A125,'📒 Jurnal'!$Z$3:$Z$502,"Loss")+COUNTIFS('📒 Jurnal'!$B$3:$B$502,$A125,'📒 Jurnal'!$Z$3:$Z$502,"BE")))</f>
        <v/>
      </c>
      <c r="C125" s="28" t="str">
        <f>IF($A125="","",SUMIFS('📒 Jurnal'!$X$3:$X$502,'📒 Jurnal'!$B$3:$B$502,$A125))</f>
        <v/>
      </c>
      <c r="D125" s="24" t="str">
        <f>IF($A125="","",SUMIFS('📒 Jurnal'!$Y$3:$Y$502,'📒 Jurnal'!$B$3:$B$502,$A125))</f>
        <v/>
      </c>
      <c r="E125" s="23" t="str">
        <f>IF($A125="","",IFERROR(COUNTIFS('📒 Jurnal'!$B$3:$B$502,$A125,'📒 Jurnal'!$Z$3:$Z$502,"Win")/(COUNTIFS('📒 Jurnal'!$B$3:$B$502,$A125,'📒 Jurnal'!$Z$3:$Z$502,"Win")+COUNTIFS('📒 Jurnal'!$B$3:$B$502,$A125,'📒 Jurnal'!$Z$3:$Z$502,"Loss")+COUNTIFS('📒 Jurnal'!$B$3:$B$502,$A125,'📒 Jurnal'!$Z$3:$Z$502,"BE")),""))</f>
        <v/>
      </c>
      <c r="F125" s="25" t="str">
        <f>IF($A125="","",IF($B125=0,"—",IF(OR($C125&lt;=-'⚙️ Setelan'!$B$5,$B125&gt;'⚙️ Setelan'!$B$6,COUNTIFS('📒 Jurnal'!$B$3:$B$502,$A125,'📒 Jurnal'!$AL$3:$AL$502,"⚠️ Revenge")&gt;0),"🔴 LANGGAR","✅ Aman")))</f>
        <v/>
      </c>
      <c r="G125" s="45" t="str">
        <f>IF($A125="","",SUM($D$3:$D125))</f>
        <v/>
      </c>
      <c r="H125" s="45" t="str">
        <f>IF($A125="","",MAX($G$3:$G125))</f>
        <v/>
      </c>
      <c r="I125" s="45" t="str">
        <f t="shared" si="1"/>
        <v/>
      </c>
    </row>
    <row r="126" spans="2:9">
      <c r="B126" s="25" t="str">
        <f>IF($A126="","",(COUNTIFS('📒 Jurnal'!$B$3:$B$502,$A126,'📒 Jurnal'!$Z$3:$Z$502,"Win")+COUNTIFS('📒 Jurnal'!$B$3:$B$502,$A126,'📒 Jurnal'!$Z$3:$Z$502,"Loss")+COUNTIFS('📒 Jurnal'!$B$3:$B$502,$A126,'📒 Jurnal'!$Z$3:$Z$502,"BE")))</f>
        <v/>
      </c>
      <c r="C126" s="28" t="str">
        <f>IF($A126="","",SUMIFS('📒 Jurnal'!$X$3:$X$502,'📒 Jurnal'!$B$3:$B$502,$A126))</f>
        <v/>
      </c>
      <c r="D126" s="24" t="str">
        <f>IF($A126="","",SUMIFS('📒 Jurnal'!$Y$3:$Y$502,'📒 Jurnal'!$B$3:$B$502,$A126))</f>
        <v/>
      </c>
      <c r="E126" s="23" t="str">
        <f>IF($A126="","",IFERROR(COUNTIFS('📒 Jurnal'!$B$3:$B$502,$A126,'📒 Jurnal'!$Z$3:$Z$502,"Win")/(COUNTIFS('📒 Jurnal'!$B$3:$B$502,$A126,'📒 Jurnal'!$Z$3:$Z$502,"Win")+COUNTIFS('📒 Jurnal'!$B$3:$B$502,$A126,'📒 Jurnal'!$Z$3:$Z$502,"Loss")+COUNTIFS('📒 Jurnal'!$B$3:$B$502,$A126,'📒 Jurnal'!$Z$3:$Z$502,"BE")),""))</f>
        <v/>
      </c>
      <c r="F126" s="25" t="str">
        <f>IF($A126="","",IF($B126=0,"—",IF(OR($C126&lt;=-'⚙️ Setelan'!$B$5,$B126&gt;'⚙️ Setelan'!$B$6,COUNTIFS('📒 Jurnal'!$B$3:$B$502,$A126,'📒 Jurnal'!$AL$3:$AL$502,"⚠️ Revenge")&gt;0),"🔴 LANGGAR","✅ Aman")))</f>
        <v/>
      </c>
      <c r="G126" s="45" t="str">
        <f>IF($A126="","",SUM($D$3:$D126))</f>
        <v/>
      </c>
      <c r="H126" s="45" t="str">
        <f>IF($A126="","",MAX($G$3:$G126))</f>
        <v/>
      </c>
      <c r="I126" s="45" t="str">
        <f t="shared" si="1"/>
        <v/>
      </c>
    </row>
    <row r="127" spans="2:9">
      <c r="B127" s="25" t="str">
        <f>IF($A127="","",(COUNTIFS('📒 Jurnal'!$B$3:$B$502,$A127,'📒 Jurnal'!$Z$3:$Z$502,"Win")+COUNTIFS('📒 Jurnal'!$B$3:$B$502,$A127,'📒 Jurnal'!$Z$3:$Z$502,"Loss")+COUNTIFS('📒 Jurnal'!$B$3:$B$502,$A127,'📒 Jurnal'!$Z$3:$Z$502,"BE")))</f>
        <v/>
      </c>
      <c r="C127" s="28" t="str">
        <f>IF($A127="","",SUMIFS('📒 Jurnal'!$X$3:$X$502,'📒 Jurnal'!$B$3:$B$502,$A127))</f>
        <v/>
      </c>
      <c r="D127" s="24" t="str">
        <f>IF($A127="","",SUMIFS('📒 Jurnal'!$Y$3:$Y$502,'📒 Jurnal'!$B$3:$B$502,$A127))</f>
        <v/>
      </c>
      <c r="E127" s="23" t="str">
        <f>IF($A127="","",IFERROR(COUNTIFS('📒 Jurnal'!$B$3:$B$502,$A127,'📒 Jurnal'!$Z$3:$Z$502,"Win")/(COUNTIFS('📒 Jurnal'!$B$3:$B$502,$A127,'📒 Jurnal'!$Z$3:$Z$502,"Win")+COUNTIFS('📒 Jurnal'!$B$3:$B$502,$A127,'📒 Jurnal'!$Z$3:$Z$502,"Loss")+COUNTIFS('📒 Jurnal'!$B$3:$B$502,$A127,'📒 Jurnal'!$Z$3:$Z$502,"BE")),""))</f>
        <v/>
      </c>
      <c r="F127" s="25" t="str">
        <f>IF($A127="","",IF($B127=0,"—",IF(OR($C127&lt;=-'⚙️ Setelan'!$B$5,$B127&gt;'⚙️ Setelan'!$B$6,COUNTIFS('📒 Jurnal'!$B$3:$B$502,$A127,'📒 Jurnal'!$AL$3:$AL$502,"⚠️ Revenge")&gt;0),"🔴 LANGGAR","✅ Aman")))</f>
        <v/>
      </c>
      <c r="G127" s="45" t="str">
        <f>IF($A127="","",SUM($D$3:$D127))</f>
        <v/>
      </c>
      <c r="H127" s="45" t="str">
        <f>IF($A127="","",MAX($G$3:$G127))</f>
        <v/>
      </c>
      <c r="I127" s="45" t="str">
        <f t="shared" si="1"/>
        <v/>
      </c>
    </row>
    <row r="128" spans="2:9">
      <c r="B128" s="25" t="str">
        <f>IF($A128="","",(COUNTIFS('📒 Jurnal'!$B$3:$B$502,$A128,'📒 Jurnal'!$Z$3:$Z$502,"Win")+COUNTIFS('📒 Jurnal'!$B$3:$B$502,$A128,'📒 Jurnal'!$Z$3:$Z$502,"Loss")+COUNTIFS('📒 Jurnal'!$B$3:$B$502,$A128,'📒 Jurnal'!$Z$3:$Z$502,"BE")))</f>
        <v/>
      </c>
      <c r="C128" s="28" t="str">
        <f>IF($A128="","",SUMIFS('📒 Jurnal'!$X$3:$X$502,'📒 Jurnal'!$B$3:$B$502,$A128))</f>
        <v/>
      </c>
      <c r="D128" s="24" t="str">
        <f>IF($A128="","",SUMIFS('📒 Jurnal'!$Y$3:$Y$502,'📒 Jurnal'!$B$3:$B$502,$A128))</f>
        <v/>
      </c>
      <c r="E128" s="23" t="str">
        <f>IF($A128="","",IFERROR(COUNTIFS('📒 Jurnal'!$B$3:$B$502,$A128,'📒 Jurnal'!$Z$3:$Z$502,"Win")/(COUNTIFS('📒 Jurnal'!$B$3:$B$502,$A128,'📒 Jurnal'!$Z$3:$Z$502,"Win")+COUNTIFS('📒 Jurnal'!$B$3:$B$502,$A128,'📒 Jurnal'!$Z$3:$Z$502,"Loss")+COUNTIFS('📒 Jurnal'!$B$3:$B$502,$A128,'📒 Jurnal'!$Z$3:$Z$502,"BE")),""))</f>
        <v/>
      </c>
      <c r="F128" s="25" t="str">
        <f>IF($A128="","",IF($B128=0,"—",IF(OR($C128&lt;=-'⚙️ Setelan'!$B$5,$B128&gt;'⚙️ Setelan'!$B$6,COUNTIFS('📒 Jurnal'!$B$3:$B$502,$A128,'📒 Jurnal'!$AL$3:$AL$502,"⚠️ Revenge")&gt;0),"🔴 LANGGAR","✅ Aman")))</f>
        <v/>
      </c>
      <c r="G128" s="45" t="str">
        <f>IF($A128="","",SUM($D$3:$D128))</f>
        <v/>
      </c>
      <c r="H128" s="45" t="str">
        <f>IF($A128="","",MAX($G$3:$G128))</f>
        <v/>
      </c>
      <c r="I128" s="45" t="str">
        <f t="shared" si="1"/>
        <v/>
      </c>
    </row>
    <row r="129" spans="2:9">
      <c r="B129" s="25" t="str">
        <f>IF($A129="","",(COUNTIFS('📒 Jurnal'!$B$3:$B$502,$A129,'📒 Jurnal'!$Z$3:$Z$502,"Win")+COUNTIFS('📒 Jurnal'!$B$3:$B$502,$A129,'📒 Jurnal'!$Z$3:$Z$502,"Loss")+COUNTIFS('📒 Jurnal'!$B$3:$B$502,$A129,'📒 Jurnal'!$Z$3:$Z$502,"BE")))</f>
        <v/>
      </c>
      <c r="C129" s="28" t="str">
        <f>IF($A129="","",SUMIFS('📒 Jurnal'!$X$3:$X$502,'📒 Jurnal'!$B$3:$B$502,$A129))</f>
        <v/>
      </c>
      <c r="D129" s="24" t="str">
        <f>IF($A129="","",SUMIFS('📒 Jurnal'!$Y$3:$Y$502,'📒 Jurnal'!$B$3:$B$502,$A129))</f>
        <v/>
      </c>
      <c r="E129" s="23" t="str">
        <f>IF($A129="","",IFERROR(COUNTIFS('📒 Jurnal'!$B$3:$B$502,$A129,'📒 Jurnal'!$Z$3:$Z$502,"Win")/(COUNTIFS('📒 Jurnal'!$B$3:$B$502,$A129,'📒 Jurnal'!$Z$3:$Z$502,"Win")+COUNTIFS('📒 Jurnal'!$B$3:$B$502,$A129,'📒 Jurnal'!$Z$3:$Z$502,"Loss")+COUNTIFS('📒 Jurnal'!$B$3:$B$502,$A129,'📒 Jurnal'!$Z$3:$Z$502,"BE")),""))</f>
        <v/>
      </c>
      <c r="F129" s="25" t="str">
        <f>IF($A129="","",IF($B129=0,"—",IF(OR($C129&lt;=-'⚙️ Setelan'!$B$5,$B129&gt;'⚙️ Setelan'!$B$6,COUNTIFS('📒 Jurnal'!$B$3:$B$502,$A129,'📒 Jurnal'!$AL$3:$AL$502,"⚠️ Revenge")&gt;0),"🔴 LANGGAR","✅ Aman")))</f>
        <v/>
      </c>
      <c r="G129" s="45" t="str">
        <f>IF($A129="","",SUM($D$3:$D129))</f>
        <v/>
      </c>
      <c r="H129" s="45" t="str">
        <f>IF($A129="","",MAX($G$3:$G129))</f>
        <v/>
      </c>
      <c r="I129" s="45" t="str">
        <f t="shared" si="1"/>
        <v/>
      </c>
    </row>
    <row r="130" spans="2:9">
      <c r="B130" s="25" t="str">
        <f>IF($A130="","",(COUNTIFS('📒 Jurnal'!$B$3:$B$502,$A130,'📒 Jurnal'!$Z$3:$Z$502,"Win")+COUNTIFS('📒 Jurnal'!$B$3:$B$502,$A130,'📒 Jurnal'!$Z$3:$Z$502,"Loss")+COUNTIFS('📒 Jurnal'!$B$3:$B$502,$A130,'📒 Jurnal'!$Z$3:$Z$502,"BE")))</f>
        <v/>
      </c>
      <c r="C130" s="28" t="str">
        <f>IF($A130="","",SUMIFS('📒 Jurnal'!$X$3:$X$502,'📒 Jurnal'!$B$3:$B$502,$A130))</f>
        <v/>
      </c>
      <c r="D130" s="24" t="str">
        <f>IF($A130="","",SUMIFS('📒 Jurnal'!$Y$3:$Y$502,'📒 Jurnal'!$B$3:$B$502,$A130))</f>
        <v/>
      </c>
      <c r="E130" s="23" t="str">
        <f>IF($A130="","",IFERROR(COUNTIFS('📒 Jurnal'!$B$3:$B$502,$A130,'📒 Jurnal'!$Z$3:$Z$502,"Win")/(COUNTIFS('📒 Jurnal'!$B$3:$B$502,$A130,'📒 Jurnal'!$Z$3:$Z$502,"Win")+COUNTIFS('📒 Jurnal'!$B$3:$B$502,$A130,'📒 Jurnal'!$Z$3:$Z$502,"Loss")+COUNTIFS('📒 Jurnal'!$B$3:$B$502,$A130,'📒 Jurnal'!$Z$3:$Z$502,"BE")),""))</f>
        <v/>
      </c>
      <c r="F130" s="25" t="str">
        <f>IF($A130="","",IF($B130=0,"—",IF(OR($C130&lt;=-'⚙️ Setelan'!$B$5,$B130&gt;'⚙️ Setelan'!$B$6,COUNTIFS('📒 Jurnal'!$B$3:$B$502,$A130,'📒 Jurnal'!$AL$3:$AL$502,"⚠️ Revenge")&gt;0),"🔴 LANGGAR","✅ Aman")))</f>
        <v/>
      </c>
      <c r="G130" s="45" t="str">
        <f>IF($A130="","",SUM($D$3:$D130))</f>
        <v/>
      </c>
      <c r="H130" s="45" t="str">
        <f>IF($A130="","",MAX($G$3:$G130))</f>
        <v/>
      </c>
      <c r="I130" s="45" t="str">
        <f t="shared" si="1"/>
        <v/>
      </c>
    </row>
    <row r="131" spans="2:9">
      <c r="B131" s="25" t="str">
        <f>IF($A131="","",(COUNTIFS('📒 Jurnal'!$B$3:$B$502,$A131,'📒 Jurnal'!$Z$3:$Z$502,"Win")+COUNTIFS('📒 Jurnal'!$B$3:$B$502,$A131,'📒 Jurnal'!$Z$3:$Z$502,"Loss")+COUNTIFS('📒 Jurnal'!$B$3:$B$502,$A131,'📒 Jurnal'!$Z$3:$Z$502,"BE")))</f>
        <v/>
      </c>
      <c r="C131" s="28" t="str">
        <f>IF($A131="","",SUMIFS('📒 Jurnal'!$X$3:$X$502,'📒 Jurnal'!$B$3:$B$502,$A131))</f>
        <v/>
      </c>
      <c r="D131" s="24" t="str">
        <f>IF($A131="","",SUMIFS('📒 Jurnal'!$Y$3:$Y$502,'📒 Jurnal'!$B$3:$B$502,$A131))</f>
        <v/>
      </c>
      <c r="E131" s="23" t="str">
        <f>IF($A131="","",IFERROR(COUNTIFS('📒 Jurnal'!$B$3:$B$502,$A131,'📒 Jurnal'!$Z$3:$Z$502,"Win")/(COUNTIFS('📒 Jurnal'!$B$3:$B$502,$A131,'📒 Jurnal'!$Z$3:$Z$502,"Win")+COUNTIFS('📒 Jurnal'!$B$3:$B$502,$A131,'📒 Jurnal'!$Z$3:$Z$502,"Loss")+COUNTIFS('📒 Jurnal'!$B$3:$B$502,$A131,'📒 Jurnal'!$Z$3:$Z$502,"BE")),""))</f>
        <v/>
      </c>
      <c r="F131" s="25" t="str">
        <f>IF($A131="","",IF($B131=0,"—",IF(OR($C131&lt;=-'⚙️ Setelan'!$B$5,$B131&gt;'⚙️ Setelan'!$B$6,COUNTIFS('📒 Jurnal'!$B$3:$B$502,$A131,'📒 Jurnal'!$AL$3:$AL$502,"⚠️ Revenge")&gt;0),"🔴 LANGGAR","✅ Aman")))</f>
        <v/>
      </c>
      <c r="G131" s="45" t="str">
        <f>IF($A131="","",SUM($D$3:$D131))</f>
        <v/>
      </c>
      <c r="H131" s="45" t="str">
        <f>IF($A131="","",MAX($G$3:$G131))</f>
        <v/>
      </c>
      <c r="I131" s="45" t="str">
        <f t="shared" ref="I131:I152" si="2">IF($A131="","",$H131-$G131)</f>
        <v/>
      </c>
    </row>
    <row r="132" spans="2:9">
      <c r="B132" s="25" t="str">
        <f>IF($A132="","",(COUNTIFS('📒 Jurnal'!$B$3:$B$502,$A132,'📒 Jurnal'!$Z$3:$Z$502,"Win")+COUNTIFS('📒 Jurnal'!$B$3:$B$502,$A132,'📒 Jurnal'!$Z$3:$Z$502,"Loss")+COUNTIFS('📒 Jurnal'!$B$3:$B$502,$A132,'📒 Jurnal'!$Z$3:$Z$502,"BE")))</f>
        <v/>
      </c>
      <c r="C132" s="28" t="str">
        <f>IF($A132="","",SUMIFS('📒 Jurnal'!$X$3:$X$502,'📒 Jurnal'!$B$3:$B$502,$A132))</f>
        <v/>
      </c>
      <c r="D132" s="24" t="str">
        <f>IF($A132="","",SUMIFS('📒 Jurnal'!$Y$3:$Y$502,'📒 Jurnal'!$B$3:$B$502,$A132))</f>
        <v/>
      </c>
      <c r="E132" s="23" t="str">
        <f>IF($A132="","",IFERROR(COUNTIFS('📒 Jurnal'!$B$3:$B$502,$A132,'📒 Jurnal'!$Z$3:$Z$502,"Win")/(COUNTIFS('📒 Jurnal'!$B$3:$B$502,$A132,'📒 Jurnal'!$Z$3:$Z$502,"Win")+COUNTIFS('📒 Jurnal'!$B$3:$B$502,$A132,'📒 Jurnal'!$Z$3:$Z$502,"Loss")+COUNTIFS('📒 Jurnal'!$B$3:$B$502,$A132,'📒 Jurnal'!$Z$3:$Z$502,"BE")),""))</f>
        <v/>
      </c>
      <c r="F132" s="25" t="str">
        <f>IF($A132="","",IF($B132=0,"—",IF(OR($C132&lt;=-'⚙️ Setelan'!$B$5,$B132&gt;'⚙️ Setelan'!$B$6,COUNTIFS('📒 Jurnal'!$B$3:$B$502,$A132,'📒 Jurnal'!$AL$3:$AL$502,"⚠️ Revenge")&gt;0),"🔴 LANGGAR","✅ Aman")))</f>
        <v/>
      </c>
      <c r="G132" s="45" t="str">
        <f>IF($A132="","",SUM($D$3:$D132))</f>
        <v/>
      </c>
      <c r="H132" s="45" t="str">
        <f>IF($A132="","",MAX($G$3:$G132))</f>
        <v/>
      </c>
      <c r="I132" s="45" t="str">
        <f t="shared" si="2"/>
        <v/>
      </c>
    </row>
    <row r="133" spans="2:9">
      <c r="B133" s="25" t="str">
        <f>IF($A133="","",(COUNTIFS('📒 Jurnal'!$B$3:$B$502,$A133,'📒 Jurnal'!$Z$3:$Z$502,"Win")+COUNTIFS('📒 Jurnal'!$B$3:$B$502,$A133,'📒 Jurnal'!$Z$3:$Z$502,"Loss")+COUNTIFS('📒 Jurnal'!$B$3:$B$502,$A133,'📒 Jurnal'!$Z$3:$Z$502,"BE")))</f>
        <v/>
      </c>
      <c r="C133" s="28" t="str">
        <f>IF($A133="","",SUMIFS('📒 Jurnal'!$X$3:$X$502,'📒 Jurnal'!$B$3:$B$502,$A133))</f>
        <v/>
      </c>
      <c r="D133" s="24" t="str">
        <f>IF($A133="","",SUMIFS('📒 Jurnal'!$Y$3:$Y$502,'📒 Jurnal'!$B$3:$B$502,$A133))</f>
        <v/>
      </c>
      <c r="E133" s="23" t="str">
        <f>IF($A133="","",IFERROR(COUNTIFS('📒 Jurnal'!$B$3:$B$502,$A133,'📒 Jurnal'!$Z$3:$Z$502,"Win")/(COUNTIFS('📒 Jurnal'!$B$3:$B$502,$A133,'📒 Jurnal'!$Z$3:$Z$502,"Win")+COUNTIFS('📒 Jurnal'!$B$3:$B$502,$A133,'📒 Jurnal'!$Z$3:$Z$502,"Loss")+COUNTIFS('📒 Jurnal'!$B$3:$B$502,$A133,'📒 Jurnal'!$Z$3:$Z$502,"BE")),""))</f>
        <v/>
      </c>
      <c r="F133" s="25" t="str">
        <f>IF($A133="","",IF($B133=0,"—",IF(OR($C133&lt;=-'⚙️ Setelan'!$B$5,$B133&gt;'⚙️ Setelan'!$B$6,COUNTIFS('📒 Jurnal'!$B$3:$B$502,$A133,'📒 Jurnal'!$AL$3:$AL$502,"⚠️ Revenge")&gt;0),"🔴 LANGGAR","✅ Aman")))</f>
        <v/>
      </c>
      <c r="G133" s="45" t="str">
        <f>IF($A133="","",SUM($D$3:$D133))</f>
        <v/>
      </c>
      <c r="H133" s="45" t="str">
        <f>IF($A133="","",MAX($G$3:$G133))</f>
        <v/>
      </c>
      <c r="I133" s="45" t="str">
        <f t="shared" si="2"/>
        <v/>
      </c>
    </row>
    <row r="134" spans="2:9">
      <c r="B134" s="25" t="str">
        <f>IF($A134="","",(COUNTIFS('📒 Jurnal'!$B$3:$B$502,$A134,'📒 Jurnal'!$Z$3:$Z$502,"Win")+COUNTIFS('📒 Jurnal'!$B$3:$B$502,$A134,'📒 Jurnal'!$Z$3:$Z$502,"Loss")+COUNTIFS('📒 Jurnal'!$B$3:$B$502,$A134,'📒 Jurnal'!$Z$3:$Z$502,"BE")))</f>
        <v/>
      </c>
      <c r="C134" s="28" t="str">
        <f>IF($A134="","",SUMIFS('📒 Jurnal'!$X$3:$X$502,'📒 Jurnal'!$B$3:$B$502,$A134))</f>
        <v/>
      </c>
      <c r="D134" s="24" t="str">
        <f>IF($A134="","",SUMIFS('📒 Jurnal'!$Y$3:$Y$502,'📒 Jurnal'!$B$3:$B$502,$A134))</f>
        <v/>
      </c>
      <c r="E134" s="23" t="str">
        <f>IF($A134="","",IFERROR(COUNTIFS('📒 Jurnal'!$B$3:$B$502,$A134,'📒 Jurnal'!$Z$3:$Z$502,"Win")/(COUNTIFS('📒 Jurnal'!$B$3:$B$502,$A134,'📒 Jurnal'!$Z$3:$Z$502,"Win")+COUNTIFS('📒 Jurnal'!$B$3:$B$502,$A134,'📒 Jurnal'!$Z$3:$Z$502,"Loss")+COUNTIFS('📒 Jurnal'!$B$3:$B$502,$A134,'📒 Jurnal'!$Z$3:$Z$502,"BE")),""))</f>
        <v/>
      </c>
      <c r="F134" s="25" t="str">
        <f>IF($A134="","",IF($B134=0,"—",IF(OR($C134&lt;=-'⚙️ Setelan'!$B$5,$B134&gt;'⚙️ Setelan'!$B$6,COUNTIFS('📒 Jurnal'!$B$3:$B$502,$A134,'📒 Jurnal'!$AL$3:$AL$502,"⚠️ Revenge")&gt;0),"🔴 LANGGAR","✅ Aman")))</f>
        <v/>
      </c>
      <c r="G134" s="45" t="str">
        <f>IF($A134="","",SUM($D$3:$D134))</f>
        <v/>
      </c>
      <c r="H134" s="45" t="str">
        <f>IF($A134="","",MAX($G$3:$G134))</f>
        <v/>
      </c>
      <c r="I134" s="45" t="str">
        <f t="shared" si="2"/>
        <v/>
      </c>
    </row>
    <row r="135" spans="2:9">
      <c r="B135" s="25" t="str">
        <f>IF($A135="","",(COUNTIFS('📒 Jurnal'!$B$3:$B$502,$A135,'📒 Jurnal'!$Z$3:$Z$502,"Win")+COUNTIFS('📒 Jurnal'!$B$3:$B$502,$A135,'📒 Jurnal'!$Z$3:$Z$502,"Loss")+COUNTIFS('📒 Jurnal'!$B$3:$B$502,$A135,'📒 Jurnal'!$Z$3:$Z$502,"BE")))</f>
        <v/>
      </c>
      <c r="C135" s="28" t="str">
        <f>IF($A135="","",SUMIFS('📒 Jurnal'!$X$3:$X$502,'📒 Jurnal'!$B$3:$B$502,$A135))</f>
        <v/>
      </c>
      <c r="D135" s="24" t="str">
        <f>IF($A135="","",SUMIFS('📒 Jurnal'!$Y$3:$Y$502,'📒 Jurnal'!$B$3:$B$502,$A135))</f>
        <v/>
      </c>
      <c r="E135" s="23" t="str">
        <f>IF($A135="","",IFERROR(COUNTIFS('📒 Jurnal'!$B$3:$B$502,$A135,'📒 Jurnal'!$Z$3:$Z$502,"Win")/(COUNTIFS('📒 Jurnal'!$B$3:$B$502,$A135,'📒 Jurnal'!$Z$3:$Z$502,"Win")+COUNTIFS('📒 Jurnal'!$B$3:$B$502,$A135,'📒 Jurnal'!$Z$3:$Z$502,"Loss")+COUNTIFS('📒 Jurnal'!$B$3:$B$502,$A135,'📒 Jurnal'!$Z$3:$Z$502,"BE")),""))</f>
        <v/>
      </c>
      <c r="F135" s="25" t="str">
        <f>IF($A135="","",IF($B135=0,"—",IF(OR($C135&lt;=-'⚙️ Setelan'!$B$5,$B135&gt;'⚙️ Setelan'!$B$6,COUNTIFS('📒 Jurnal'!$B$3:$B$502,$A135,'📒 Jurnal'!$AL$3:$AL$502,"⚠️ Revenge")&gt;0),"🔴 LANGGAR","✅ Aman")))</f>
        <v/>
      </c>
      <c r="G135" s="45" t="str">
        <f>IF($A135="","",SUM($D$3:$D135))</f>
        <v/>
      </c>
      <c r="H135" s="45" t="str">
        <f>IF($A135="","",MAX($G$3:$G135))</f>
        <v/>
      </c>
      <c r="I135" s="45" t="str">
        <f t="shared" si="2"/>
        <v/>
      </c>
    </row>
    <row r="136" spans="2:9">
      <c r="B136" s="25" t="str">
        <f>IF($A136="","",(COUNTIFS('📒 Jurnal'!$B$3:$B$502,$A136,'📒 Jurnal'!$Z$3:$Z$502,"Win")+COUNTIFS('📒 Jurnal'!$B$3:$B$502,$A136,'📒 Jurnal'!$Z$3:$Z$502,"Loss")+COUNTIFS('📒 Jurnal'!$B$3:$B$502,$A136,'📒 Jurnal'!$Z$3:$Z$502,"BE")))</f>
        <v/>
      </c>
      <c r="C136" s="28" t="str">
        <f>IF($A136="","",SUMIFS('📒 Jurnal'!$X$3:$X$502,'📒 Jurnal'!$B$3:$B$502,$A136))</f>
        <v/>
      </c>
      <c r="D136" s="24" t="str">
        <f>IF($A136="","",SUMIFS('📒 Jurnal'!$Y$3:$Y$502,'📒 Jurnal'!$B$3:$B$502,$A136))</f>
        <v/>
      </c>
      <c r="E136" s="23" t="str">
        <f>IF($A136="","",IFERROR(COUNTIFS('📒 Jurnal'!$B$3:$B$502,$A136,'📒 Jurnal'!$Z$3:$Z$502,"Win")/(COUNTIFS('📒 Jurnal'!$B$3:$B$502,$A136,'📒 Jurnal'!$Z$3:$Z$502,"Win")+COUNTIFS('📒 Jurnal'!$B$3:$B$502,$A136,'📒 Jurnal'!$Z$3:$Z$502,"Loss")+COUNTIFS('📒 Jurnal'!$B$3:$B$502,$A136,'📒 Jurnal'!$Z$3:$Z$502,"BE")),""))</f>
        <v/>
      </c>
      <c r="F136" s="25" t="str">
        <f>IF($A136="","",IF($B136=0,"—",IF(OR($C136&lt;=-'⚙️ Setelan'!$B$5,$B136&gt;'⚙️ Setelan'!$B$6,COUNTIFS('📒 Jurnal'!$B$3:$B$502,$A136,'📒 Jurnal'!$AL$3:$AL$502,"⚠️ Revenge")&gt;0),"🔴 LANGGAR","✅ Aman")))</f>
        <v/>
      </c>
      <c r="G136" s="45" t="str">
        <f>IF($A136="","",SUM($D$3:$D136))</f>
        <v/>
      </c>
      <c r="H136" s="45" t="str">
        <f>IF($A136="","",MAX($G$3:$G136))</f>
        <v/>
      </c>
      <c r="I136" s="45" t="str">
        <f t="shared" si="2"/>
        <v/>
      </c>
    </row>
    <row r="137" spans="2:9">
      <c r="B137" s="25" t="str">
        <f>IF($A137="","",(COUNTIFS('📒 Jurnal'!$B$3:$B$502,$A137,'📒 Jurnal'!$Z$3:$Z$502,"Win")+COUNTIFS('📒 Jurnal'!$B$3:$B$502,$A137,'📒 Jurnal'!$Z$3:$Z$502,"Loss")+COUNTIFS('📒 Jurnal'!$B$3:$B$502,$A137,'📒 Jurnal'!$Z$3:$Z$502,"BE")))</f>
        <v/>
      </c>
      <c r="C137" s="28" t="str">
        <f>IF($A137="","",SUMIFS('📒 Jurnal'!$X$3:$X$502,'📒 Jurnal'!$B$3:$B$502,$A137))</f>
        <v/>
      </c>
      <c r="D137" s="24" t="str">
        <f>IF($A137="","",SUMIFS('📒 Jurnal'!$Y$3:$Y$502,'📒 Jurnal'!$B$3:$B$502,$A137))</f>
        <v/>
      </c>
      <c r="E137" s="23" t="str">
        <f>IF($A137="","",IFERROR(COUNTIFS('📒 Jurnal'!$B$3:$B$502,$A137,'📒 Jurnal'!$Z$3:$Z$502,"Win")/(COUNTIFS('📒 Jurnal'!$B$3:$B$502,$A137,'📒 Jurnal'!$Z$3:$Z$502,"Win")+COUNTIFS('📒 Jurnal'!$B$3:$B$502,$A137,'📒 Jurnal'!$Z$3:$Z$502,"Loss")+COUNTIFS('📒 Jurnal'!$B$3:$B$502,$A137,'📒 Jurnal'!$Z$3:$Z$502,"BE")),""))</f>
        <v/>
      </c>
      <c r="F137" s="25" t="str">
        <f>IF($A137="","",IF($B137=0,"—",IF(OR($C137&lt;=-'⚙️ Setelan'!$B$5,$B137&gt;'⚙️ Setelan'!$B$6,COUNTIFS('📒 Jurnal'!$B$3:$B$502,$A137,'📒 Jurnal'!$AL$3:$AL$502,"⚠️ Revenge")&gt;0),"🔴 LANGGAR","✅ Aman")))</f>
        <v/>
      </c>
      <c r="G137" s="45" t="str">
        <f>IF($A137="","",SUM($D$3:$D137))</f>
        <v/>
      </c>
      <c r="H137" s="45" t="str">
        <f>IF($A137="","",MAX($G$3:$G137))</f>
        <v/>
      </c>
      <c r="I137" s="45" t="str">
        <f t="shared" si="2"/>
        <v/>
      </c>
    </row>
    <row r="138" spans="2:9">
      <c r="B138" s="25" t="str">
        <f>IF($A138="","",(COUNTIFS('📒 Jurnal'!$B$3:$B$502,$A138,'📒 Jurnal'!$Z$3:$Z$502,"Win")+COUNTIFS('📒 Jurnal'!$B$3:$B$502,$A138,'📒 Jurnal'!$Z$3:$Z$502,"Loss")+COUNTIFS('📒 Jurnal'!$B$3:$B$502,$A138,'📒 Jurnal'!$Z$3:$Z$502,"BE")))</f>
        <v/>
      </c>
      <c r="C138" s="28" t="str">
        <f>IF($A138="","",SUMIFS('📒 Jurnal'!$X$3:$X$502,'📒 Jurnal'!$B$3:$B$502,$A138))</f>
        <v/>
      </c>
      <c r="D138" s="24" t="str">
        <f>IF($A138="","",SUMIFS('📒 Jurnal'!$Y$3:$Y$502,'📒 Jurnal'!$B$3:$B$502,$A138))</f>
        <v/>
      </c>
      <c r="E138" s="23" t="str">
        <f>IF($A138="","",IFERROR(COUNTIFS('📒 Jurnal'!$B$3:$B$502,$A138,'📒 Jurnal'!$Z$3:$Z$502,"Win")/(COUNTIFS('📒 Jurnal'!$B$3:$B$502,$A138,'📒 Jurnal'!$Z$3:$Z$502,"Win")+COUNTIFS('📒 Jurnal'!$B$3:$B$502,$A138,'📒 Jurnal'!$Z$3:$Z$502,"Loss")+COUNTIFS('📒 Jurnal'!$B$3:$B$502,$A138,'📒 Jurnal'!$Z$3:$Z$502,"BE")),""))</f>
        <v/>
      </c>
      <c r="F138" s="25" t="str">
        <f>IF($A138="","",IF($B138=0,"—",IF(OR($C138&lt;=-'⚙️ Setelan'!$B$5,$B138&gt;'⚙️ Setelan'!$B$6,COUNTIFS('📒 Jurnal'!$B$3:$B$502,$A138,'📒 Jurnal'!$AL$3:$AL$502,"⚠️ Revenge")&gt;0),"🔴 LANGGAR","✅ Aman")))</f>
        <v/>
      </c>
      <c r="G138" s="45" t="str">
        <f>IF($A138="","",SUM($D$3:$D138))</f>
        <v/>
      </c>
      <c r="H138" s="45" t="str">
        <f>IF($A138="","",MAX($G$3:$G138))</f>
        <v/>
      </c>
      <c r="I138" s="45" t="str">
        <f t="shared" si="2"/>
        <v/>
      </c>
    </row>
    <row r="139" spans="2:9">
      <c r="B139" s="25" t="str">
        <f>IF($A139="","",(COUNTIFS('📒 Jurnal'!$B$3:$B$502,$A139,'📒 Jurnal'!$Z$3:$Z$502,"Win")+COUNTIFS('📒 Jurnal'!$B$3:$B$502,$A139,'📒 Jurnal'!$Z$3:$Z$502,"Loss")+COUNTIFS('📒 Jurnal'!$B$3:$B$502,$A139,'📒 Jurnal'!$Z$3:$Z$502,"BE")))</f>
        <v/>
      </c>
      <c r="C139" s="28" t="str">
        <f>IF($A139="","",SUMIFS('📒 Jurnal'!$X$3:$X$502,'📒 Jurnal'!$B$3:$B$502,$A139))</f>
        <v/>
      </c>
      <c r="D139" s="24" t="str">
        <f>IF($A139="","",SUMIFS('📒 Jurnal'!$Y$3:$Y$502,'📒 Jurnal'!$B$3:$B$502,$A139))</f>
        <v/>
      </c>
      <c r="E139" s="23" t="str">
        <f>IF($A139="","",IFERROR(COUNTIFS('📒 Jurnal'!$B$3:$B$502,$A139,'📒 Jurnal'!$Z$3:$Z$502,"Win")/(COUNTIFS('📒 Jurnal'!$B$3:$B$502,$A139,'📒 Jurnal'!$Z$3:$Z$502,"Win")+COUNTIFS('📒 Jurnal'!$B$3:$B$502,$A139,'📒 Jurnal'!$Z$3:$Z$502,"Loss")+COUNTIFS('📒 Jurnal'!$B$3:$B$502,$A139,'📒 Jurnal'!$Z$3:$Z$502,"BE")),""))</f>
        <v/>
      </c>
      <c r="F139" s="25" t="str">
        <f>IF($A139="","",IF($B139=0,"—",IF(OR($C139&lt;=-'⚙️ Setelan'!$B$5,$B139&gt;'⚙️ Setelan'!$B$6,COUNTIFS('📒 Jurnal'!$B$3:$B$502,$A139,'📒 Jurnal'!$AL$3:$AL$502,"⚠️ Revenge")&gt;0),"🔴 LANGGAR","✅ Aman")))</f>
        <v/>
      </c>
      <c r="G139" s="45" t="str">
        <f>IF($A139="","",SUM($D$3:$D139))</f>
        <v/>
      </c>
      <c r="H139" s="45" t="str">
        <f>IF($A139="","",MAX($G$3:$G139))</f>
        <v/>
      </c>
      <c r="I139" s="45" t="str">
        <f t="shared" si="2"/>
        <v/>
      </c>
    </row>
    <row r="140" spans="2:9">
      <c r="B140" s="25" t="str">
        <f>IF($A140="","",(COUNTIFS('📒 Jurnal'!$B$3:$B$502,$A140,'📒 Jurnal'!$Z$3:$Z$502,"Win")+COUNTIFS('📒 Jurnal'!$B$3:$B$502,$A140,'📒 Jurnal'!$Z$3:$Z$502,"Loss")+COUNTIFS('📒 Jurnal'!$B$3:$B$502,$A140,'📒 Jurnal'!$Z$3:$Z$502,"BE")))</f>
        <v/>
      </c>
      <c r="C140" s="28" t="str">
        <f>IF($A140="","",SUMIFS('📒 Jurnal'!$X$3:$X$502,'📒 Jurnal'!$B$3:$B$502,$A140))</f>
        <v/>
      </c>
      <c r="D140" s="24" t="str">
        <f>IF($A140="","",SUMIFS('📒 Jurnal'!$Y$3:$Y$502,'📒 Jurnal'!$B$3:$B$502,$A140))</f>
        <v/>
      </c>
      <c r="E140" s="23" t="str">
        <f>IF($A140="","",IFERROR(COUNTIFS('📒 Jurnal'!$B$3:$B$502,$A140,'📒 Jurnal'!$Z$3:$Z$502,"Win")/(COUNTIFS('📒 Jurnal'!$B$3:$B$502,$A140,'📒 Jurnal'!$Z$3:$Z$502,"Win")+COUNTIFS('📒 Jurnal'!$B$3:$B$502,$A140,'📒 Jurnal'!$Z$3:$Z$502,"Loss")+COUNTIFS('📒 Jurnal'!$B$3:$B$502,$A140,'📒 Jurnal'!$Z$3:$Z$502,"BE")),""))</f>
        <v/>
      </c>
      <c r="F140" s="25" t="str">
        <f>IF($A140="","",IF($B140=0,"—",IF(OR($C140&lt;=-'⚙️ Setelan'!$B$5,$B140&gt;'⚙️ Setelan'!$B$6,COUNTIFS('📒 Jurnal'!$B$3:$B$502,$A140,'📒 Jurnal'!$AL$3:$AL$502,"⚠️ Revenge")&gt;0),"🔴 LANGGAR","✅ Aman")))</f>
        <v/>
      </c>
      <c r="G140" s="45" t="str">
        <f>IF($A140="","",SUM($D$3:$D140))</f>
        <v/>
      </c>
      <c r="H140" s="45" t="str">
        <f>IF($A140="","",MAX($G$3:$G140))</f>
        <v/>
      </c>
      <c r="I140" s="45" t="str">
        <f t="shared" si="2"/>
        <v/>
      </c>
    </row>
    <row r="141" spans="2:9">
      <c r="B141" s="25" t="str">
        <f>IF($A141="","",(COUNTIFS('📒 Jurnal'!$B$3:$B$502,$A141,'📒 Jurnal'!$Z$3:$Z$502,"Win")+COUNTIFS('📒 Jurnal'!$B$3:$B$502,$A141,'📒 Jurnal'!$Z$3:$Z$502,"Loss")+COUNTIFS('📒 Jurnal'!$B$3:$B$502,$A141,'📒 Jurnal'!$Z$3:$Z$502,"BE")))</f>
        <v/>
      </c>
      <c r="C141" s="28" t="str">
        <f>IF($A141="","",SUMIFS('📒 Jurnal'!$X$3:$X$502,'📒 Jurnal'!$B$3:$B$502,$A141))</f>
        <v/>
      </c>
      <c r="D141" s="24" t="str">
        <f>IF($A141="","",SUMIFS('📒 Jurnal'!$Y$3:$Y$502,'📒 Jurnal'!$B$3:$B$502,$A141))</f>
        <v/>
      </c>
      <c r="E141" s="23" t="str">
        <f>IF($A141="","",IFERROR(COUNTIFS('📒 Jurnal'!$B$3:$B$502,$A141,'📒 Jurnal'!$Z$3:$Z$502,"Win")/(COUNTIFS('📒 Jurnal'!$B$3:$B$502,$A141,'📒 Jurnal'!$Z$3:$Z$502,"Win")+COUNTIFS('📒 Jurnal'!$B$3:$B$502,$A141,'📒 Jurnal'!$Z$3:$Z$502,"Loss")+COUNTIFS('📒 Jurnal'!$B$3:$B$502,$A141,'📒 Jurnal'!$Z$3:$Z$502,"BE")),""))</f>
        <v/>
      </c>
      <c r="F141" s="25" t="str">
        <f>IF($A141="","",IF($B141=0,"—",IF(OR($C141&lt;=-'⚙️ Setelan'!$B$5,$B141&gt;'⚙️ Setelan'!$B$6,COUNTIFS('📒 Jurnal'!$B$3:$B$502,$A141,'📒 Jurnal'!$AL$3:$AL$502,"⚠️ Revenge")&gt;0),"🔴 LANGGAR","✅ Aman")))</f>
        <v/>
      </c>
      <c r="G141" s="45" t="str">
        <f>IF($A141="","",SUM($D$3:$D141))</f>
        <v/>
      </c>
      <c r="H141" s="45" t="str">
        <f>IF($A141="","",MAX($G$3:$G141))</f>
        <v/>
      </c>
      <c r="I141" s="45" t="str">
        <f t="shared" si="2"/>
        <v/>
      </c>
    </row>
    <row r="142" spans="2:9">
      <c r="B142" s="25" t="str">
        <f>IF($A142="","",(COUNTIFS('📒 Jurnal'!$B$3:$B$502,$A142,'📒 Jurnal'!$Z$3:$Z$502,"Win")+COUNTIFS('📒 Jurnal'!$B$3:$B$502,$A142,'📒 Jurnal'!$Z$3:$Z$502,"Loss")+COUNTIFS('📒 Jurnal'!$B$3:$B$502,$A142,'📒 Jurnal'!$Z$3:$Z$502,"BE")))</f>
        <v/>
      </c>
      <c r="C142" s="28" t="str">
        <f>IF($A142="","",SUMIFS('📒 Jurnal'!$X$3:$X$502,'📒 Jurnal'!$B$3:$B$502,$A142))</f>
        <v/>
      </c>
      <c r="D142" s="24" t="str">
        <f>IF($A142="","",SUMIFS('📒 Jurnal'!$Y$3:$Y$502,'📒 Jurnal'!$B$3:$B$502,$A142))</f>
        <v/>
      </c>
      <c r="E142" s="23" t="str">
        <f>IF($A142="","",IFERROR(COUNTIFS('📒 Jurnal'!$B$3:$B$502,$A142,'📒 Jurnal'!$Z$3:$Z$502,"Win")/(COUNTIFS('📒 Jurnal'!$B$3:$B$502,$A142,'📒 Jurnal'!$Z$3:$Z$502,"Win")+COUNTIFS('📒 Jurnal'!$B$3:$B$502,$A142,'📒 Jurnal'!$Z$3:$Z$502,"Loss")+COUNTIFS('📒 Jurnal'!$B$3:$B$502,$A142,'📒 Jurnal'!$Z$3:$Z$502,"BE")),""))</f>
        <v/>
      </c>
      <c r="F142" s="25" t="str">
        <f>IF($A142="","",IF($B142=0,"—",IF(OR($C142&lt;=-'⚙️ Setelan'!$B$5,$B142&gt;'⚙️ Setelan'!$B$6,COUNTIFS('📒 Jurnal'!$B$3:$B$502,$A142,'📒 Jurnal'!$AL$3:$AL$502,"⚠️ Revenge")&gt;0),"🔴 LANGGAR","✅ Aman")))</f>
        <v/>
      </c>
      <c r="G142" s="45" t="str">
        <f>IF($A142="","",SUM($D$3:$D142))</f>
        <v/>
      </c>
      <c r="H142" s="45" t="str">
        <f>IF($A142="","",MAX($G$3:$G142))</f>
        <v/>
      </c>
      <c r="I142" s="45" t="str">
        <f t="shared" si="2"/>
        <v/>
      </c>
    </row>
    <row r="143" spans="2:9">
      <c r="B143" s="25" t="str">
        <f>IF($A143="","",(COUNTIFS('📒 Jurnal'!$B$3:$B$502,$A143,'📒 Jurnal'!$Z$3:$Z$502,"Win")+COUNTIFS('📒 Jurnal'!$B$3:$B$502,$A143,'📒 Jurnal'!$Z$3:$Z$502,"Loss")+COUNTIFS('📒 Jurnal'!$B$3:$B$502,$A143,'📒 Jurnal'!$Z$3:$Z$502,"BE")))</f>
        <v/>
      </c>
      <c r="C143" s="28" t="str">
        <f>IF($A143="","",SUMIFS('📒 Jurnal'!$X$3:$X$502,'📒 Jurnal'!$B$3:$B$502,$A143))</f>
        <v/>
      </c>
      <c r="D143" s="24" t="str">
        <f>IF($A143="","",SUMIFS('📒 Jurnal'!$Y$3:$Y$502,'📒 Jurnal'!$B$3:$B$502,$A143))</f>
        <v/>
      </c>
      <c r="E143" s="23" t="str">
        <f>IF($A143="","",IFERROR(COUNTIFS('📒 Jurnal'!$B$3:$B$502,$A143,'📒 Jurnal'!$Z$3:$Z$502,"Win")/(COUNTIFS('📒 Jurnal'!$B$3:$B$502,$A143,'📒 Jurnal'!$Z$3:$Z$502,"Win")+COUNTIFS('📒 Jurnal'!$B$3:$B$502,$A143,'📒 Jurnal'!$Z$3:$Z$502,"Loss")+COUNTIFS('📒 Jurnal'!$B$3:$B$502,$A143,'📒 Jurnal'!$Z$3:$Z$502,"BE")),""))</f>
        <v/>
      </c>
      <c r="F143" s="25" t="str">
        <f>IF($A143="","",IF($B143=0,"—",IF(OR($C143&lt;=-'⚙️ Setelan'!$B$5,$B143&gt;'⚙️ Setelan'!$B$6,COUNTIFS('📒 Jurnal'!$B$3:$B$502,$A143,'📒 Jurnal'!$AL$3:$AL$502,"⚠️ Revenge")&gt;0),"🔴 LANGGAR","✅ Aman")))</f>
        <v/>
      </c>
      <c r="G143" s="45" t="str">
        <f>IF($A143="","",SUM($D$3:$D143))</f>
        <v/>
      </c>
      <c r="H143" s="45" t="str">
        <f>IF($A143="","",MAX($G$3:$G143))</f>
        <v/>
      </c>
      <c r="I143" s="45" t="str">
        <f t="shared" si="2"/>
        <v/>
      </c>
    </row>
    <row r="144" spans="2:9">
      <c r="B144" s="25" t="str">
        <f>IF($A144="","",(COUNTIFS('📒 Jurnal'!$B$3:$B$502,$A144,'📒 Jurnal'!$Z$3:$Z$502,"Win")+COUNTIFS('📒 Jurnal'!$B$3:$B$502,$A144,'📒 Jurnal'!$Z$3:$Z$502,"Loss")+COUNTIFS('📒 Jurnal'!$B$3:$B$502,$A144,'📒 Jurnal'!$Z$3:$Z$502,"BE")))</f>
        <v/>
      </c>
      <c r="C144" s="28" t="str">
        <f>IF($A144="","",SUMIFS('📒 Jurnal'!$X$3:$X$502,'📒 Jurnal'!$B$3:$B$502,$A144))</f>
        <v/>
      </c>
      <c r="D144" s="24" t="str">
        <f>IF($A144="","",SUMIFS('📒 Jurnal'!$Y$3:$Y$502,'📒 Jurnal'!$B$3:$B$502,$A144))</f>
        <v/>
      </c>
      <c r="E144" s="23" t="str">
        <f>IF($A144="","",IFERROR(COUNTIFS('📒 Jurnal'!$B$3:$B$502,$A144,'📒 Jurnal'!$Z$3:$Z$502,"Win")/(COUNTIFS('📒 Jurnal'!$B$3:$B$502,$A144,'📒 Jurnal'!$Z$3:$Z$502,"Win")+COUNTIFS('📒 Jurnal'!$B$3:$B$502,$A144,'📒 Jurnal'!$Z$3:$Z$502,"Loss")+COUNTIFS('📒 Jurnal'!$B$3:$B$502,$A144,'📒 Jurnal'!$Z$3:$Z$502,"BE")),""))</f>
        <v/>
      </c>
      <c r="F144" s="25" t="str">
        <f>IF($A144="","",IF($B144=0,"—",IF(OR($C144&lt;=-'⚙️ Setelan'!$B$5,$B144&gt;'⚙️ Setelan'!$B$6,COUNTIFS('📒 Jurnal'!$B$3:$B$502,$A144,'📒 Jurnal'!$AL$3:$AL$502,"⚠️ Revenge")&gt;0),"🔴 LANGGAR","✅ Aman")))</f>
        <v/>
      </c>
      <c r="G144" s="45" t="str">
        <f>IF($A144="","",SUM($D$3:$D144))</f>
        <v/>
      </c>
      <c r="H144" s="45" t="str">
        <f>IF($A144="","",MAX($G$3:$G144))</f>
        <v/>
      </c>
      <c r="I144" s="45" t="str">
        <f t="shared" si="2"/>
        <v/>
      </c>
    </row>
    <row r="145" spans="2:9">
      <c r="B145" s="25" t="str">
        <f>IF($A145="","",(COUNTIFS('📒 Jurnal'!$B$3:$B$502,$A145,'📒 Jurnal'!$Z$3:$Z$502,"Win")+COUNTIFS('📒 Jurnal'!$B$3:$B$502,$A145,'📒 Jurnal'!$Z$3:$Z$502,"Loss")+COUNTIFS('📒 Jurnal'!$B$3:$B$502,$A145,'📒 Jurnal'!$Z$3:$Z$502,"BE")))</f>
        <v/>
      </c>
      <c r="C145" s="28" t="str">
        <f>IF($A145="","",SUMIFS('📒 Jurnal'!$X$3:$X$502,'📒 Jurnal'!$B$3:$B$502,$A145))</f>
        <v/>
      </c>
      <c r="D145" s="24" t="str">
        <f>IF($A145="","",SUMIFS('📒 Jurnal'!$Y$3:$Y$502,'📒 Jurnal'!$B$3:$B$502,$A145))</f>
        <v/>
      </c>
      <c r="E145" s="23" t="str">
        <f>IF($A145="","",IFERROR(COUNTIFS('📒 Jurnal'!$B$3:$B$502,$A145,'📒 Jurnal'!$Z$3:$Z$502,"Win")/(COUNTIFS('📒 Jurnal'!$B$3:$B$502,$A145,'📒 Jurnal'!$Z$3:$Z$502,"Win")+COUNTIFS('📒 Jurnal'!$B$3:$B$502,$A145,'📒 Jurnal'!$Z$3:$Z$502,"Loss")+COUNTIFS('📒 Jurnal'!$B$3:$B$502,$A145,'📒 Jurnal'!$Z$3:$Z$502,"BE")),""))</f>
        <v/>
      </c>
      <c r="F145" s="25" t="str">
        <f>IF($A145="","",IF($B145=0,"—",IF(OR($C145&lt;=-'⚙️ Setelan'!$B$5,$B145&gt;'⚙️ Setelan'!$B$6,COUNTIFS('📒 Jurnal'!$B$3:$B$502,$A145,'📒 Jurnal'!$AL$3:$AL$502,"⚠️ Revenge")&gt;0),"🔴 LANGGAR","✅ Aman")))</f>
        <v/>
      </c>
      <c r="G145" s="45" t="str">
        <f>IF($A145="","",SUM($D$3:$D145))</f>
        <v/>
      </c>
      <c r="H145" s="45" t="str">
        <f>IF($A145="","",MAX($G$3:$G145))</f>
        <v/>
      </c>
      <c r="I145" s="45" t="str">
        <f t="shared" si="2"/>
        <v/>
      </c>
    </row>
    <row r="146" spans="2:9">
      <c r="B146" s="25" t="str">
        <f>IF($A146="","",(COUNTIFS('📒 Jurnal'!$B$3:$B$502,$A146,'📒 Jurnal'!$Z$3:$Z$502,"Win")+COUNTIFS('📒 Jurnal'!$B$3:$B$502,$A146,'📒 Jurnal'!$Z$3:$Z$502,"Loss")+COUNTIFS('📒 Jurnal'!$B$3:$B$502,$A146,'📒 Jurnal'!$Z$3:$Z$502,"BE")))</f>
        <v/>
      </c>
      <c r="C146" s="28" t="str">
        <f>IF($A146="","",SUMIFS('📒 Jurnal'!$X$3:$X$502,'📒 Jurnal'!$B$3:$B$502,$A146))</f>
        <v/>
      </c>
      <c r="D146" s="24" t="str">
        <f>IF($A146="","",SUMIFS('📒 Jurnal'!$Y$3:$Y$502,'📒 Jurnal'!$B$3:$B$502,$A146))</f>
        <v/>
      </c>
      <c r="E146" s="23" t="str">
        <f>IF($A146="","",IFERROR(COUNTIFS('📒 Jurnal'!$B$3:$B$502,$A146,'📒 Jurnal'!$Z$3:$Z$502,"Win")/(COUNTIFS('📒 Jurnal'!$B$3:$B$502,$A146,'📒 Jurnal'!$Z$3:$Z$502,"Win")+COUNTIFS('📒 Jurnal'!$B$3:$B$502,$A146,'📒 Jurnal'!$Z$3:$Z$502,"Loss")+COUNTIFS('📒 Jurnal'!$B$3:$B$502,$A146,'📒 Jurnal'!$Z$3:$Z$502,"BE")),""))</f>
        <v/>
      </c>
      <c r="F146" s="25" t="str">
        <f>IF($A146="","",IF($B146=0,"—",IF(OR($C146&lt;=-'⚙️ Setelan'!$B$5,$B146&gt;'⚙️ Setelan'!$B$6,COUNTIFS('📒 Jurnal'!$B$3:$B$502,$A146,'📒 Jurnal'!$AL$3:$AL$502,"⚠️ Revenge")&gt;0),"🔴 LANGGAR","✅ Aman")))</f>
        <v/>
      </c>
      <c r="G146" s="45" t="str">
        <f>IF($A146="","",SUM($D$3:$D146))</f>
        <v/>
      </c>
      <c r="H146" s="45" t="str">
        <f>IF($A146="","",MAX($G$3:$G146))</f>
        <v/>
      </c>
      <c r="I146" s="45" t="str">
        <f t="shared" si="2"/>
        <v/>
      </c>
    </row>
    <row r="147" spans="2:9">
      <c r="B147" s="25" t="str">
        <f>IF($A147="","",(COUNTIFS('📒 Jurnal'!$B$3:$B$502,$A147,'📒 Jurnal'!$Z$3:$Z$502,"Win")+COUNTIFS('📒 Jurnal'!$B$3:$B$502,$A147,'📒 Jurnal'!$Z$3:$Z$502,"Loss")+COUNTIFS('📒 Jurnal'!$B$3:$B$502,$A147,'📒 Jurnal'!$Z$3:$Z$502,"BE")))</f>
        <v/>
      </c>
      <c r="C147" s="28" t="str">
        <f>IF($A147="","",SUMIFS('📒 Jurnal'!$X$3:$X$502,'📒 Jurnal'!$B$3:$B$502,$A147))</f>
        <v/>
      </c>
      <c r="D147" s="24" t="str">
        <f>IF($A147="","",SUMIFS('📒 Jurnal'!$Y$3:$Y$502,'📒 Jurnal'!$B$3:$B$502,$A147))</f>
        <v/>
      </c>
      <c r="E147" s="23" t="str">
        <f>IF($A147="","",IFERROR(COUNTIFS('📒 Jurnal'!$B$3:$B$502,$A147,'📒 Jurnal'!$Z$3:$Z$502,"Win")/(COUNTIFS('📒 Jurnal'!$B$3:$B$502,$A147,'📒 Jurnal'!$Z$3:$Z$502,"Win")+COUNTIFS('📒 Jurnal'!$B$3:$B$502,$A147,'📒 Jurnal'!$Z$3:$Z$502,"Loss")+COUNTIFS('📒 Jurnal'!$B$3:$B$502,$A147,'📒 Jurnal'!$Z$3:$Z$502,"BE")),""))</f>
        <v/>
      </c>
      <c r="F147" s="25" t="str">
        <f>IF($A147="","",IF($B147=0,"—",IF(OR($C147&lt;=-'⚙️ Setelan'!$B$5,$B147&gt;'⚙️ Setelan'!$B$6,COUNTIFS('📒 Jurnal'!$B$3:$B$502,$A147,'📒 Jurnal'!$AL$3:$AL$502,"⚠️ Revenge")&gt;0),"🔴 LANGGAR","✅ Aman")))</f>
        <v/>
      </c>
      <c r="G147" s="45" t="str">
        <f>IF($A147="","",SUM($D$3:$D147))</f>
        <v/>
      </c>
      <c r="H147" s="45" t="str">
        <f>IF($A147="","",MAX($G$3:$G147))</f>
        <v/>
      </c>
      <c r="I147" s="45" t="str">
        <f t="shared" si="2"/>
        <v/>
      </c>
    </row>
    <row r="148" spans="2:9">
      <c r="B148" s="25" t="str">
        <f>IF($A148="","",(COUNTIFS('📒 Jurnal'!$B$3:$B$502,$A148,'📒 Jurnal'!$Z$3:$Z$502,"Win")+COUNTIFS('📒 Jurnal'!$B$3:$B$502,$A148,'📒 Jurnal'!$Z$3:$Z$502,"Loss")+COUNTIFS('📒 Jurnal'!$B$3:$B$502,$A148,'📒 Jurnal'!$Z$3:$Z$502,"BE")))</f>
        <v/>
      </c>
      <c r="C148" s="28" t="str">
        <f>IF($A148="","",SUMIFS('📒 Jurnal'!$X$3:$X$502,'📒 Jurnal'!$B$3:$B$502,$A148))</f>
        <v/>
      </c>
      <c r="D148" s="24" t="str">
        <f>IF($A148="","",SUMIFS('📒 Jurnal'!$Y$3:$Y$502,'📒 Jurnal'!$B$3:$B$502,$A148))</f>
        <v/>
      </c>
      <c r="E148" s="23" t="str">
        <f>IF($A148="","",IFERROR(COUNTIFS('📒 Jurnal'!$B$3:$B$502,$A148,'📒 Jurnal'!$Z$3:$Z$502,"Win")/(COUNTIFS('📒 Jurnal'!$B$3:$B$502,$A148,'📒 Jurnal'!$Z$3:$Z$502,"Win")+COUNTIFS('📒 Jurnal'!$B$3:$B$502,$A148,'📒 Jurnal'!$Z$3:$Z$502,"Loss")+COUNTIFS('📒 Jurnal'!$B$3:$B$502,$A148,'📒 Jurnal'!$Z$3:$Z$502,"BE")),""))</f>
        <v/>
      </c>
      <c r="F148" s="25" t="str">
        <f>IF($A148="","",IF($B148=0,"—",IF(OR($C148&lt;=-'⚙️ Setelan'!$B$5,$B148&gt;'⚙️ Setelan'!$B$6,COUNTIFS('📒 Jurnal'!$B$3:$B$502,$A148,'📒 Jurnal'!$AL$3:$AL$502,"⚠️ Revenge")&gt;0),"🔴 LANGGAR","✅ Aman")))</f>
        <v/>
      </c>
      <c r="G148" s="45" t="str">
        <f>IF($A148="","",SUM($D$3:$D148))</f>
        <v/>
      </c>
      <c r="H148" s="45" t="str">
        <f>IF($A148="","",MAX($G$3:$G148))</f>
        <v/>
      </c>
      <c r="I148" s="45" t="str">
        <f t="shared" si="2"/>
        <v/>
      </c>
    </row>
    <row r="149" spans="2:9">
      <c r="B149" s="25" t="str">
        <f>IF($A149="","",(COUNTIFS('📒 Jurnal'!$B$3:$B$502,$A149,'📒 Jurnal'!$Z$3:$Z$502,"Win")+COUNTIFS('📒 Jurnal'!$B$3:$B$502,$A149,'📒 Jurnal'!$Z$3:$Z$502,"Loss")+COUNTIFS('📒 Jurnal'!$B$3:$B$502,$A149,'📒 Jurnal'!$Z$3:$Z$502,"BE")))</f>
        <v/>
      </c>
      <c r="C149" s="28" t="str">
        <f>IF($A149="","",SUMIFS('📒 Jurnal'!$X$3:$X$502,'📒 Jurnal'!$B$3:$B$502,$A149))</f>
        <v/>
      </c>
      <c r="D149" s="24" t="str">
        <f>IF($A149="","",SUMIFS('📒 Jurnal'!$Y$3:$Y$502,'📒 Jurnal'!$B$3:$B$502,$A149))</f>
        <v/>
      </c>
      <c r="E149" s="23" t="str">
        <f>IF($A149="","",IFERROR(COUNTIFS('📒 Jurnal'!$B$3:$B$502,$A149,'📒 Jurnal'!$Z$3:$Z$502,"Win")/(COUNTIFS('📒 Jurnal'!$B$3:$B$502,$A149,'📒 Jurnal'!$Z$3:$Z$502,"Win")+COUNTIFS('📒 Jurnal'!$B$3:$B$502,$A149,'📒 Jurnal'!$Z$3:$Z$502,"Loss")+COUNTIFS('📒 Jurnal'!$B$3:$B$502,$A149,'📒 Jurnal'!$Z$3:$Z$502,"BE")),""))</f>
        <v/>
      </c>
      <c r="F149" s="25" t="str">
        <f>IF($A149="","",IF($B149=0,"—",IF(OR($C149&lt;=-'⚙️ Setelan'!$B$5,$B149&gt;'⚙️ Setelan'!$B$6,COUNTIFS('📒 Jurnal'!$B$3:$B$502,$A149,'📒 Jurnal'!$AL$3:$AL$502,"⚠️ Revenge")&gt;0),"🔴 LANGGAR","✅ Aman")))</f>
        <v/>
      </c>
      <c r="G149" s="45" t="str">
        <f>IF($A149="","",SUM($D$3:$D149))</f>
        <v/>
      </c>
      <c r="H149" s="45" t="str">
        <f>IF($A149="","",MAX($G$3:$G149))</f>
        <v/>
      </c>
      <c r="I149" s="45" t="str">
        <f t="shared" si="2"/>
        <v/>
      </c>
    </row>
    <row r="150" spans="2:9">
      <c r="B150" s="25" t="str">
        <f>IF($A150="","",(COUNTIFS('📒 Jurnal'!$B$3:$B$502,$A150,'📒 Jurnal'!$Z$3:$Z$502,"Win")+COUNTIFS('📒 Jurnal'!$B$3:$B$502,$A150,'📒 Jurnal'!$Z$3:$Z$502,"Loss")+COUNTIFS('📒 Jurnal'!$B$3:$B$502,$A150,'📒 Jurnal'!$Z$3:$Z$502,"BE")))</f>
        <v/>
      </c>
      <c r="C150" s="28" t="str">
        <f>IF($A150="","",SUMIFS('📒 Jurnal'!$X$3:$X$502,'📒 Jurnal'!$B$3:$B$502,$A150))</f>
        <v/>
      </c>
      <c r="D150" s="24" t="str">
        <f>IF($A150="","",SUMIFS('📒 Jurnal'!$Y$3:$Y$502,'📒 Jurnal'!$B$3:$B$502,$A150))</f>
        <v/>
      </c>
      <c r="E150" s="23" t="str">
        <f>IF($A150="","",IFERROR(COUNTIFS('📒 Jurnal'!$B$3:$B$502,$A150,'📒 Jurnal'!$Z$3:$Z$502,"Win")/(COUNTIFS('📒 Jurnal'!$B$3:$B$502,$A150,'📒 Jurnal'!$Z$3:$Z$502,"Win")+COUNTIFS('📒 Jurnal'!$B$3:$B$502,$A150,'📒 Jurnal'!$Z$3:$Z$502,"Loss")+COUNTIFS('📒 Jurnal'!$B$3:$B$502,$A150,'📒 Jurnal'!$Z$3:$Z$502,"BE")),""))</f>
        <v/>
      </c>
      <c r="F150" s="25" t="str">
        <f>IF($A150="","",IF($B150=0,"—",IF(OR($C150&lt;=-'⚙️ Setelan'!$B$5,$B150&gt;'⚙️ Setelan'!$B$6,COUNTIFS('📒 Jurnal'!$B$3:$B$502,$A150,'📒 Jurnal'!$AL$3:$AL$502,"⚠️ Revenge")&gt;0),"🔴 LANGGAR","✅ Aman")))</f>
        <v/>
      </c>
      <c r="G150" s="45" t="str">
        <f>IF($A150="","",SUM($D$3:$D150))</f>
        <v/>
      </c>
      <c r="H150" s="45" t="str">
        <f>IF($A150="","",MAX($G$3:$G150))</f>
        <v/>
      </c>
      <c r="I150" s="45" t="str">
        <f t="shared" si="2"/>
        <v/>
      </c>
    </row>
    <row r="151" spans="2:9">
      <c r="B151" s="25" t="str">
        <f>IF($A151="","",(COUNTIFS('📒 Jurnal'!$B$3:$B$502,$A151,'📒 Jurnal'!$Z$3:$Z$502,"Win")+COUNTIFS('📒 Jurnal'!$B$3:$B$502,$A151,'📒 Jurnal'!$Z$3:$Z$502,"Loss")+COUNTIFS('📒 Jurnal'!$B$3:$B$502,$A151,'📒 Jurnal'!$Z$3:$Z$502,"BE")))</f>
        <v/>
      </c>
      <c r="C151" s="28" t="str">
        <f>IF($A151="","",SUMIFS('📒 Jurnal'!$X$3:$X$502,'📒 Jurnal'!$B$3:$B$502,$A151))</f>
        <v/>
      </c>
      <c r="D151" s="24" t="str">
        <f>IF($A151="","",SUMIFS('📒 Jurnal'!$Y$3:$Y$502,'📒 Jurnal'!$B$3:$B$502,$A151))</f>
        <v/>
      </c>
      <c r="E151" s="23" t="str">
        <f>IF($A151="","",IFERROR(COUNTIFS('📒 Jurnal'!$B$3:$B$502,$A151,'📒 Jurnal'!$Z$3:$Z$502,"Win")/(COUNTIFS('📒 Jurnal'!$B$3:$B$502,$A151,'📒 Jurnal'!$Z$3:$Z$502,"Win")+COUNTIFS('📒 Jurnal'!$B$3:$B$502,$A151,'📒 Jurnal'!$Z$3:$Z$502,"Loss")+COUNTIFS('📒 Jurnal'!$B$3:$B$502,$A151,'📒 Jurnal'!$Z$3:$Z$502,"BE")),""))</f>
        <v/>
      </c>
      <c r="F151" s="25" t="str">
        <f>IF($A151="","",IF($B151=0,"—",IF(OR($C151&lt;=-'⚙️ Setelan'!$B$5,$B151&gt;'⚙️ Setelan'!$B$6,COUNTIFS('📒 Jurnal'!$B$3:$B$502,$A151,'📒 Jurnal'!$AL$3:$AL$502,"⚠️ Revenge")&gt;0),"🔴 LANGGAR","✅ Aman")))</f>
        <v/>
      </c>
      <c r="G151" s="45" t="str">
        <f>IF($A151="","",SUM($D$3:$D151))</f>
        <v/>
      </c>
      <c r="H151" s="45" t="str">
        <f>IF($A151="","",MAX($G$3:$G151))</f>
        <v/>
      </c>
      <c r="I151" s="45" t="str">
        <f t="shared" si="2"/>
        <v/>
      </c>
    </row>
    <row r="152" spans="2:9">
      <c r="B152" s="25" t="str">
        <f>IF($A152="","",(COUNTIFS('📒 Jurnal'!$B$3:$B$502,$A152,'📒 Jurnal'!$Z$3:$Z$502,"Win")+COUNTIFS('📒 Jurnal'!$B$3:$B$502,$A152,'📒 Jurnal'!$Z$3:$Z$502,"Loss")+COUNTIFS('📒 Jurnal'!$B$3:$B$502,$A152,'📒 Jurnal'!$Z$3:$Z$502,"BE")))</f>
        <v/>
      </c>
      <c r="C152" s="28" t="str">
        <f>IF($A152="","",SUMIFS('📒 Jurnal'!$X$3:$X$502,'📒 Jurnal'!$B$3:$B$502,$A152))</f>
        <v/>
      </c>
      <c r="D152" s="24" t="str">
        <f>IF($A152="","",SUMIFS('📒 Jurnal'!$Y$3:$Y$502,'📒 Jurnal'!$B$3:$B$502,$A152))</f>
        <v/>
      </c>
      <c r="E152" s="23" t="str">
        <f>IF($A152="","",IFERROR(COUNTIFS('📒 Jurnal'!$B$3:$B$502,$A152,'📒 Jurnal'!$Z$3:$Z$502,"Win")/(COUNTIFS('📒 Jurnal'!$B$3:$B$502,$A152,'📒 Jurnal'!$Z$3:$Z$502,"Win")+COUNTIFS('📒 Jurnal'!$B$3:$B$502,$A152,'📒 Jurnal'!$Z$3:$Z$502,"Loss")+COUNTIFS('📒 Jurnal'!$B$3:$B$502,$A152,'📒 Jurnal'!$Z$3:$Z$502,"BE")),""))</f>
        <v/>
      </c>
      <c r="F152" s="25" t="str">
        <f>IF($A152="","",IF($B152=0,"—",IF(OR($C152&lt;=-'⚙️ Setelan'!$B$5,$B152&gt;'⚙️ Setelan'!$B$6,COUNTIFS('📒 Jurnal'!$B$3:$B$502,$A152,'📒 Jurnal'!$AL$3:$AL$502,"⚠️ Revenge")&gt;0),"🔴 LANGGAR","✅ Aman")))</f>
        <v/>
      </c>
      <c r="G152" s="45" t="str">
        <f>IF($A152="","",SUM($D$3:$D152))</f>
        <v/>
      </c>
      <c r="H152" s="45" t="str">
        <f>IF($A152="","",MAX($G$3:$G152))</f>
        <v/>
      </c>
      <c r="I152" s="45" t="str">
        <f t="shared" si="2"/>
        <v/>
      </c>
    </row>
  </sheetData>
  <conditionalFormatting sqref="C3:C152">
    <cfRule type="expression" dxfId="4" priority="3">
      <formula>AND($B3&gt;0,$C3&gt;0)</formula>
    </cfRule>
    <cfRule type="expression" dxfId="5" priority="4">
      <formula>AND($B3&gt;0,$C3&lt;0)</formula>
    </cfRule>
  </conditionalFormatting>
  <conditionalFormatting sqref="D3:D152">
    <cfRule type="expression" dxfId="4" priority="5">
      <formula>AND($B3&gt;0,$D3&gt;0)</formula>
    </cfRule>
    <cfRule type="expression" dxfId="5" priority="6">
      <formula>AND($B3&gt;0,$D3&lt;0)</formula>
    </cfRule>
  </conditionalFormatting>
  <conditionalFormatting sqref="F3:F152">
    <cfRule type="expression" dxfId="2" priority="1">
      <formula>$F3="🔴 LANGGAR"</formula>
    </cfRule>
    <cfRule type="expression" dxfId="1" priority="2">
      <formula>$F3="✅ Aman"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54"/>
  <sheetViews>
    <sheetView showGridLines="0" workbookViewId="0">
      <selection activeCell="B6" sqref="B6"/>
    </sheetView>
  </sheetViews>
  <sheetFormatPr defaultColWidth="9" defaultRowHeight="16.8"/>
  <cols>
    <col min="1" max="1" width="11" customWidth="1"/>
    <col min="2" max="2" width="12" customWidth="1"/>
    <col min="4" max="4" width="11" customWidth="1"/>
    <col min="5" max="5" width="12" customWidth="1"/>
    <col min="7" max="7" width="14" customWidth="1"/>
    <col min="8" max="8" width="7" customWidth="1"/>
    <col min="9" max="10" width="8" customWidth="1"/>
    <col min="12" max="12" width="13" customWidth="1"/>
    <col min="13" max="13" width="9" customWidth="1"/>
    <col min="15" max="15" width="15" customWidth="1"/>
    <col min="16" max="16" width="7" customWidth="1"/>
    <col min="17" max="17" width="8" customWidth="1"/>
    <col min="19" max="19" width="16" customWidth="1"/>
    <col min="20" max="20" width="7" customWidth="1"/>
    <col min="21" max="21" width="8" customWidth="1"/>
    <col min="23" max="24" width="9" customWidth="1"/>
    <col min="26" max="26" width="11" customWidth="1"/>
    <col min="27" max="27" width="7" customWidth="1"/>
    <col min="28" max="28" width="8" customWidth="1"/>
  </cols>
  <sheetData>
    <row r="1" ht="19.2" spans="1:28">
      <c r="A1" s="37" t="s">
        <v>128</v>
      </c>
    </row>
    <row r="2" spans="1:28">
      <c r="A2" s="2" t="s">
        <v>129</v>
      </c>
    </row>
    <row r="3" spans="1:28">
      <c r="A3" s="38" t="s">
        <v>130</v>
      </c>
      <c r="D3" s="38" t="s">
        <v>131</v>
      </c>
      <c r="G3" s="38" t="s">
        <v>132</v>
      </c>
      <c r="L3" s="38" t="s">
        <v>133</v>
      </c>
      <c r="O3" s="38" t="s">
        <v>134</v>
      </c>
      <c r="S3" s="38" t="s">
        <v>135</v>
      </c>
      <c r="W3" s="38" t="s">
        <v>136</v>
      </c>
      <c r="Z3" s="38" t="s">
        <v>137</v>
      </c>
    </row>
    <row r="4" spans="1:28">
      <c r="A4" s="20" t="s">
        <v>66</v>
      </c>
      <c r="B4" s="20" t="s">
        <v>125</v>
      </c>
      <c r="D4" s="20" t="s">
        <v>66</v>
      </c>
      <c r="E4" s="20" t="s">
        <v>138</v>
      </c>
      <c r="G4" s="20" t="s">
        <v>139</v>
      </c>
      <c r="H4" s="20" t="s">
        <v>140</v>
      </c>
      <c r="I4" s="20" t="s">
        <v>141</v>
      </c>
      <c r="J4" s="20" t="s">
        <v>142</v>
      </c>
      <c r="L4" s="20" t="s">
        <v>143</v>
      </c>
      <c r="M4" s="20" t="s">
        <v>144</v>
      </c>
      <c r="O4" s="20" t="s">
        <v>145</v>
      </c>
      <c r="P4" s="20" t="s">
        <v>140</v>
      </c>
      <c r="Q4" s="20" t="s">
        <v>142</v>
      </c>
      <c r="S4" s="20" t="s">
        <v>69</v>
      </c>
      <c r="T4" s="20" t="s">
        <v>140</v>
      </c>
      <c r="U4" s="20" t="s">
        <v>142</v>
      </c>
      <c r="W4" s="20" t="s">
        <v>89</v>
      </c>
      <c r="X4" s="20" t="s">
        <v>144</v>
      </c>
      <c r="Z4" s="20" t="s">
        <v>146</v>
      </c>
      <c r="AA4" s="20" t="s">
        <v>140</v>
      </c>
      <c r="AB4" s="20" t="s">
        <v>142</v>
      </c>
    </row>
    <row r="5" spans="1:28">
      <c r="A5" s="39">
        <f>IF('📅 Harian'!$A3="","",'📅 Harian'!$A3)</f>
        <v>46265</v>
      </c>
      <c r="B5" s="40">
        <f>IF('📅 Harian'!$A3="","",'📅 Harian'!$G3)</f>
        <v>1.55</v>
      </c>
      <c r="D5" s="39">
        <f>IF('📅 Harian'!$A3="","",'📅 Harian'!$A3)</f>
        <v>46265</v>
      </c>
      <c r="E5" s="40">
        <f>IF('📅 Harian'!$A3="","",'📅 Harian'!$C3)</f>
        <v>251.414999999986</v>
      </c>
      <c r="G5" s="21" t="s">
        <v>147</v>
      </c>
      <c r="H5" s="41">
        <f>(COUNTIFS('📒 Jurnal'!$H$3:$H$502,"First Touch",'📒 Jurnal'!$Z$3:$Z$502,"Win",'📒 Jurnal'!$AQ$3:$AQ$502,1)+COUNTIFS('📒 Jurnal'!$H$3:$H$502,"First Touch",'📒 Jurnal'!$Z$3:$Z$502,"Loss",'📒 Jurnal'!$AQ$3:$AQ$502,1)+COUNTIFS('📒 Jurnal'!$H$3:$H$502,"First Touch",'📒 Jurnal'!$Z$3:$Z$502,"BE",'📒 Jurnal'!$AQ$3:$AQ$502,1))</f>
        <v>0</v>
      </c>
      <c r="I5" s="42">
        <f>IFERROR(COUNTIFS('📒 Jurnal'!$H$3:$H$502,"First Touch",'📒 Jurnal'!$Z$3:$Z$502,"Win",'📒 Jurnal'!$AQ$3:$AQ$502,1)/(COUNTIFS('📒 Jurnal'!$H$3:$H$502,"First Touch",'📒 Jurnal'!$Z$3:$Z$502,"Win",'📒 Jurnal'!$AQ$3:$AQ$502,1)+COUNTIFS('📒 Jurnal'!$H$3:$H$502,"First Touch",'📒 Jurnal'!$Z$3:$Z$502,"Loss",'📒 Jurnal'!$AQ$3:$AQ$502,1)+COUNTIFS('📒 Jurnal'!$H$3:$H$502,"First Touch",'📒 Jurnal'!$Z$3:$Z$502,"BE",'📒 Jurnal'!$AQ$3:$AQ$502,1)),0)</f>
        <v>0</v>
      </c>
      <c r="J5" s="40">
        <f>IFERROR(AVERAGEIFS('📒 Jurnal'!$Y$3:$Y$502,'📒 Jurnal'!$H$3:$H$502,"First Touch",'📒 Jurnal'!$AQ$3:$AQ$502,1),0)</f>
        <v>0</v>
      </c>
      <c r="L5" s="21" t="s">
        <v>148</v>
      </c>
      <c r="M5" s="41">
        <f>COUNTIFS('📒 Jurnal'!$Y$3:$Y$502,"&lt;="&amp;-1.5,'📒 Jurnal'!$AQ$3:$AQ$502,1)</f>
        <v>0</v>
      </c>
      <c r="O5" s="21" t="s">
        <v>149</v>
      </c>
      <c r="P5" s="41">
        <f>(COUNTIFS('📒 Jurnal'!$AF$3:$AF$502,"Tenang",'📒 Jurnal'!$Z$3:$Z$502,"Win",'📒 Jurnal'!$AQ$3:$AQ$502,1)+COUNTIFS('📒 Jurnal'!$AF$3:$AF$502,"Tenang",'📒 Jurnal'!$Z$3:$Z$502,"Loss",'📒 Jurnal'!$AQ$3:$AQ$502,1)+COUNTIFS('📒 Jurnal'!$AF$3:$AF$502,"Tenang",'📒 Jurnal'!$Z$3:$Z$502,"BE",'📒 Jurnal'!$AQ$3:$AQ$502,1))</f>
        <v>0</v>
      </c>
      <c r="Q5" s="40">
        <f>IFERROR(AVERAGEIFS('📒 Jurnal'!$Y$3:$Y$502,'📒 Jurnal'!$AF$3:$AF$502,"Tenang",'📒 Jurnal'!$AQ$3:$AQ$502,1),0)</f>
        <v>0</v>
      </c>
      <c r="S5" s="21" t="s">
        <v>150</v>
      </c>
      <c r="T5" s="41">
        <f>(COUNTIFS('📒 Jurnal'!$E$3:$E$502,"London",'📒 Jurnal'!$Z$3:$Z$502,"Win",'📒 Jurnal'!$AQ$3:$AQ$502,1)+COUNTIFS('📒 Jurnal'!$E$3:$E$502,"London",'📒 Jurnal'!$Z$3:$Z$502,"Loss",'📒 Jurnal'!$AQ$3:$AQ$502,1)+COUNTIFS('📒 Jurnal'!$E$3:$E$502,"London",'📒 Jurnal'!$Z$3:$Z$502,"BE",'📒 Jurnal'!$AQ$3:$AQ$502,1))</f>
        <v>0</v>
      </c>
      <c r="U5" s="40">
        <f>IFERROR(AVERAGEIFS('📒 Jurnal'!$Y$3:$Y$502,'📒 Jurnal'!$E$3:$E$502,"London",'📒 Jurnal'!$AQ$3:$AQ$502,1),0)</f>
        <v>0</v>
      </c>
      <c r="W5" s="21" t="s">
        <v>151</v>
      </c>
      <c r="X5" s="41">
        <f>COUNTIFS('📒 Jurnal'!$Z$3:$Z$502,"Win",'📒 Jurnal'!$AQ$3:$AQ$502,1)</f>
        <v>7</v>
      </c>
      <c r="Z5" s="21" t="s">
        <v>152</v>
      </c>
      <c r="AA5" s="41">
        <f>(COUNTIFS('📒 Jurnal'!$AG$3:$AG$502,"Segar",'📒 Jurnal'!$Z$3:$Z$502,"Win",'📒 Jurnal'!$AQ$3:$AQ$502,1)+COUNTIFS('📒 Jurnal'!$AG$3:$AG$502,"Segar",'📒 Jurnal'!$Z$3:$Z$502,"Loss",'📒 Jurnal'!$AQ$3:$AQ$502,1)+COUNTIFS('📒 Jurnal'!$AG$3:$AG$502,"Segar",'📒 Jurnal'!$Z$3:$Z$502,"BE",'📒 Jurnal'!$AQ$3:$AQ$502,1))</f>
        <v>0</v>
      </c>
      <c r="AB5" s="40">
        <f>IFERROR(AVERAGEIFS('📒 Jurnal'!$Y$3:$Y$502,'📒 Jurnal'!$AG$3:$AG$502,"Segar",'📒 Jurnal'!$AQ$3:$AQ$502,1),0)</f>
        <v>0</v>
      </c>
    </row>
    <row r="6" spans="1:28">
      <c r="A6" s="39" t="str">
        <f>IF('📅 Harian'!$A4="","",'📅 Harian'!$A4)</f>
        <v/>
      </c>
      <c r="B6" s="40" t="str">
        <f>IF('📅 Harian'!$A4="","",'📅 Harian'!$G4)</f>
        <v/>
      </c>
      <c r="D6" s="39" t="str">
        <f>IF('📅 Harian'!$A4="","",'📅 Harian'!$A4)</f>
        <v/>
      </c>
      <c r="E6" s="40" t="str">
        <f>IF('📅 Harian'!$A4="","",'📅 Harian'!$C4)</f>
        <v/>
      </c>
      <c r="G6" s="21" t="s">
        <v>153</v>
      </c>
      <c r="H6" s="41">
        <f>(COUNTIFS('📒 Jurnal'!$H$3:$H$502,"RBS Retest",'📒 Jurnal'!$Z$3:$Z$502,"Win",'📒 Jurnal'!$AQ$3:$AQ$502,1)+COUNTIFS('📒 Jurnal'!$H$3:$H$502,"RBS Retest",'📒 Jurnal'!$Z$3:$Z$502,"Loss",'📒 Jurnal'!$AQ$3:$AQ$502,1)+COUNTIFS('📒 Jurnal'!$H$3:$H$502,"RBS Retest",'📒 Jurnal'!$Z$3:$Z$502,"BE",'📒 Jurnal'!$AQ$3:$AQ$502,1))</f>
        <v>0</v>
      </c>
      <c r="I6" s="42">
        <f>IFERROR(COUNTIFS('📒 Jurnal'!$H$3:$H$502,"RBS Retest",'📒 Jurnal'!$Z$3:$Z$502,"Win",'📒 Jurnal'!$AQ$3:$AQ$502,1)/(COUNTIFS('📒 Jurnal'!$H$3:$H$502,"RBS Retest",'📒 Jurnal'!$Z$3:$Z$502,"Win",'📒 Jurnal'!$AQ$3:$AQ$502,1)+COUNTIFS('📒 Jurnal'!$H$3:$H$502,"RBS Retest",'📒 Jurnal'!$Z$3:$Z$502,"Loss",'📒 Jurnal'!$AQ$3:$AQ$502,1)+COUNTIFS('📒 Jurnal'!$H$3:$H$502,"RBS Retest",'📒 Jurnal'!$Z$3:$Z$502,"BE",'📒 Jurnal'!$AQ$3:$AQ$502,1)),0)</f>
        <v>0</v>
      </c>
      <c r="J6" s="40">
        <f>IFERROR(AVERAGEIFS('📒 Jurnal'!$Y$3:$Y$502,'📒 Jurnal'!$H$3:$H$502,"RBS Retest",'📒 Jurnal'!$AQ$3:$AQ$502,1),0)</f>
        <v>0</v>
      </c>
      <c r="L6" s="21" t="s">
        <v>154</v>
      </c>
      <c r="M6" s="41">
        <f>COUNTIFS('📒 Jurnal'!$Y$3:$Y$502,"&gt;"&amp;-1.5,'📒 Jurnal'!$Y$3:$Y$502,"&lt;="&amp;-1,'📒 Jurnal'!$AQ$3:$AQ$502,1)</f>
        <v>0</v>
      </c>
      <c r="O6" s="21" t="s">
        <v>155</v>
      </c>
      <c r="P6" s="41">
        <f>(COUNTIFS('📒 Jurnal'!$AF$3:$AF$502,"FOMO",'📒 Jurnal'!$Z$3:$Z$502,"Win",'📒 Jurnal'!$AQ$3:$AQ$502,1)+COUNTIFS('📒 Jurnal'!$AF$3:$AF$502,"FOMO",'📒 Jurnal'!$Z$3:$Z$502,"Loss",'📒 Jurnal'!$AQ$3:$AQ$502,1)+COUNTIFS('📒 Jurnal'!$AF$3:$AF$502,"FOMO",'📒 Jurnal'!$Z$3:$Z$502,"BE",'📒 Jurnal'!$AQ$3:$AQ$502,1))</f>
        <v>0</v>
      </c>
      <c r="Q6" s="40">
        <f>IFERROR(AVERAGEIFS('📒 Jurnal'!$Y$3:$Y$502,'📒 Jurnal'!$AF$3:$AF$502,"FOMO",'📒 Jurnal'!$AQ$3:$AQ$502,1),0)</f>
        <v>0</v>
      </c>
      <c r="S6" s="21" t="s">
        <v>156</v>
      </c>
      <c r="T6" s="41">
        <f>(COUNTIFS('📒 Jurnal'!$E$3:$E$502,"Overlap LDN+NY",'📒 Jurnal'!$Z$3:$Z$502,"Win",'📒 Jurnal'!$AQ$3:$AQ$502,1)+COUNTIFS('📒 Jurnal'!$E$3:$E$502,"Overlap LDN+NY",'📒 Jurnal'!$Z$3:$Z$502,"Loss",'📒 Jurnal'!$AQ$3:$AQ$502,1)+COUNTIFS('📒 Jurnal'!$E$3:$E$502,"Overlap LDN+NY",'📒 Jurnal'!$Z$3:$Z$502,"BE",'📒 Jurnal'!$AQ$3:$AQ$502,1))</f>
        <v>0</v>
      </c>
      <c r="U6" s="40">
        <f>IFERROR(AVERAGEIFS('📒 Jurnal'!$Y$3:$Y$502,'📒 Jurnal'!$E$3:$E$502,"Overlap LDN+NY",'📒 Jurnal'!$AQ$3:$AQ$502,1),0)</f>
        <v>0</v>
      </c>
      <c r="W6" s="21" t="s">
        <v>157</v>
      </c>
      <c r="X6" s="41">
        <f>COUNTIFS('📒 Jurnal'!$Z$3:$Z$502,"Loss",'📒 Jurnal'!$AQ$3:$AQ$502,1)</f>
        <v>2</v>
      </c>
      <c r="Z6" s="21" t="s">
        <v>158</v>
      </c>
      <c r="AA6" s="41">
        <f>(COUNTIFS('📒 Jurnal'!$AG$3:$AG$502,"Biasa",'📒 Jurnal'!$Z$3:$Z$502,"Win",'📒 Jurnal'!$AQ$3:$AQ$502,1)+COUNTIFS('📒 Jurnal'!$AG$3:$AG$502,"Biasa",'📒 Jurnal'!$Z$3:$Z$502,"Loss",'📒 Jurnal'!$AQ$3:$AQ$502,1)+COUNTIFS('📒 Jurnal'!$AG$3:$AG$502,"Biasa",'📒 Jurnal'!$Z$3:$Z$502,"BE",'📒 Jurnal'!$AQ$3:$AQ$502,1))</f>
        <v>0</v>
      </c>
      <c r="AB6" s="40">
        <f>IFERROR(AVERAGEIFS('📒 Jurnal'!$Y$3:$Y$502,'📒 Jurnal'!$AG$3:$AG$502,"Biasa",'📒 Jurnal'!$AQ$3:$AQ$502,1),0)</f>
        <v>0</v>
      </c>
    </row>
    <row r="7" spans="1:28">
      <c r="A7" s="39" t="str">
        <f>IF('📅 Harian'!$A5="","",'📅 Harian'!$A5)</f>
        <v/>
      </c>
      <c r="B7" s="40" t="str">
        <f>IF('📅 Harian'!$A5="","",'📅 Harian'!$G5)</f>
        <v/>
      </c>
      <c r="D7" s="39" t="str">
        <f>IF('📅 Harian'!$A5="","",'📅 Harian'!$A5)</f>
        <v/>
      </c>
      <c r="E7" s="40" t="str">
        <f>IF('📅 Harian'!$A5="","",'📅 Harian'!$C5)</f>
        <v/>
      </c>
      <c r="G7" s="21" t="s">
        <v>159</v>
      </c>
      <c r="H7" s="41">
        <f>(COUNTIFS('📒 Jurnal'!$H$3:$H$502,"SBR Retest",'📒 Jurnal'!$Z$3:$Z$502,"Win",'📒 Jurnal'!$AQ$3:$AQ$502,1)+COUNTIFS('📒 Jurnal'!$H$3:$H$502,"SBR Retest",'📒 Jurnal'!$Z$3:$Z$502,"Loss",'📒 Jurnal'!$AQ$3:$AQ$502,1)+COUNTIFS('📒 Jurnal'!$H$3:$H$502,"SBR Retest",'📒 Jurnal'!$Z$3:$Z$502,"BE",'📒 Jurnal'!$AQ$3:$AQ$502,1))</f>
        <v>0</v>
      </c>
      <c r="I7" s="42">
        <f>IFERROR(COUNTIFS('📒 Jurnal'!$H$3:$H$502,"SBR Retest",'📒 Jurnal'!$Z$3:$Z$502,"Win",'📒 Jurnal'!$AQ$3:$AQ$502,1)/(COUNTIFS('📒 Jurnal'!$H$3:$H$502,"SBR Retest",'📒 Jurnal'!$Z$3:$Z$502,"Win",'📒 Jurnal'!$AQ$3:$AQ$502,1)+COUNTIFS('📒 Jurnal'!$H$3:$H$502,"SBR Retest",'📒 Jurnal'!$Z$3:$Z$502,"Loss",'📒 Jurnal'!$AQ$3:$AQ$502,1)+COUNTIFS('📒 Jurnal'!$H$3:$H$502,"SBR Retest",'📒 Jurnal'!$Z$3:$Z$502,"BE",'📒 Jurnal'!$AQ$3:$AQ$502,1)),0)</f>
        <v>0</v>
      </c>
      <c r="J7" s="40">
        <f>IFERROR(AVERAGEIFS('📒 Jurnal'!$Y$3:$Y$502,'📒 Jurnal'!$H$3:$H$502,"SBR Retest",'📒 Jurnal'!$AQ$3:$AQ$502,1),0)</f>
        <v>0</v>
      </c>
      <c r="L7" s="21" t="s">
        <v>160</v>
      </c>
      <c r="M7" s="41">
        <f>COUNTIFS('📒 Jurnal'!$Y$3:$Y$502,"&gt;"&amp;-1,'📒 Jurnal'!$Y$3:$Y$502,"&lt;="&amp;-0.5,'📒 Jurnal'!$AQ$3:$AQ$502,1)</f>
        <v>0</v>
      </c>
      <c r="O7" s="21" t="s">
        <v>161</v>
      </c>
      <c r="P7" s="41">
        <f>(COUNTIFS('📒 Jurnal'!$AF$3:$AF$502,"Balas dendam",'📒 Jurnal'!$Z$3:$Z$502,"Win",'📒 Jurnal'!$AQ$3:$AQ$502,1)+COUNTIFS('📒 Jurnal'!$AF$3:$AF$502,"Balas dendam",'📒 Jurnal'!$Z$3:$Z$502,"Loss",'📒 Jurnal'!$AQ$3:$AQ$502,1)+COUNTIFS('📒 Jurnal'!$AF$3:$AF$502,"Balas dendam",'📒 Jurnal'!$Z$3:$Z$502,"BE",'📒 Jurnal'!$AQ$3:$AQ$502,1))</f>
        <v>0</v>
      </c>
      <c r="Q7" s="40">
        <f>IFERROR(AVERAGEIFS('📒 Jurnal'!$Y$3:$Y$502,'📒 Jurnal'!$AF$3:$AF$502,"Balas dendam",'📒 Jurnal'!$AQ$3:$AQ$502,1),0)</f>
        <v>0</v>
      </c>
      <c r="S7" s="21" t="s">
        <v>162</v>
      </c>
      <c r="T7" s="41">
        <f>(COUNTIFS('📒 Jurnal'!$E$3:$E$502,"New York",'📒 Jurnal'!$Z$3:$Z$502,"Win",'📒 Jurnal'!$AQ$3:$AQ$502,1)+COUNTIFS('📒 Jurnal'!$E$3:$E$502,"New York",'📒 Jurnal'!$Z$3:$Z$502,"Loss",'📒 Jurnal'!$AQ$3:$AQ$502,1)+COUNTIFS('📒 Jurnal'!$E$3:$E$502,"New York",'📒 Jurnal'!$Z$3:$Z$502,"BE",'📒 Jurnal'!$AQ$3:$AQ$502,1))</f>
        <v>0</v>
      </c>
      <c r="U7" s="40">
        <f>IFERROR(AVERAGEIFS('📒 Jurnal'!$Y$3:$Y$502,'📒 Jurnal'!$E$3:$E$502,"New York",'📒 Jurnal'!$AQ$3:$AQ$502,1),0)</f>
        <v>0</v>
      </c>
      <c r="W7" s="21" t="s">
        <v>163</v>
      </c>
      <c r="X7" s="41">
        <f>COUNTIFS('📒 Jurnal'!$Z$3:$Z$502,"BE",'📒 Jurnal'!$AQ$3:$AQ$502,1)</f>
        <v>0</v>
      </c>
      <c r="Z7" s="21" t="s">
        <v>164</v>
      </c>
      <c r="AA7" s="41">
        <f>(COUNTIFS('📒 Jurnal'!$AG$3:$AG$502,"Capek",'📒 Jurnal'!$Z$3:$Z$502,"Win",'📒 Jurnal'!$AQ$3:$AQ$502,1)+COUNTIFS('📒 Jurnal'!$AG$3:$AG$502,"Capek",'📒 Jurnal'!$Z$3:$Z$502,"Loss",'📒 Jurnal'!$AQ$3:$AQ$502,1)+COUNTIFS('📒 Jurnal'!$AG$3:$AG$502,"Capek",'📒 Jurnal'!$Z$3:$Z$502,"BE",'📒 Jurnal'!$AQ$3:$AQ$502,1))</f>
        <v>0</v>
      </c>
      <c r="AB7" s="40">
        <f>IFERROR(AVERAGEIFS('📒 Jurnal'!$Y$3:$Y$502,'📒 Jurnal'!$AG$3:$AG$502,"Capek",'📒 Jurnal'!$AQ$3:$AQ$502,1),0)</f>
        <v>0</v>
      </c>
    </row>
    <row r="8" spans="1:28">
      <c r="A8" s="39" t="str">
        <f>IF('📅 Harian'!$A6="","",'📅 Harian'!$A6)</f>
        <v/>
      </c>
      <c r="B8" s="40" t="str">
        <f>IF('📅 Harian'!$A6="","",'📅 Harian'!$G6)</f>
        <v/>
      </c>
      <c r="D8" s="39" t="str">
        <f>IF('📅 Harian'!$A6="","",'📅 Harian'!$A6)</f>
        <v/>
      </c>
      <c r="E8" s="40" t="str">
        <f>IF('📅 Harian'!$A6="","",'📅 Harian'!$C6)</f>
        <v/>
      </c>
      <c r="G8" s="21" t="s">
        <v>165</v>
      </c>
      <c r="H8" s="41">
        <f>(COUNTIFS('📒 Jurnal'!$H$3:$H$502,"Lainnya",'📒 Jurnal'!$Z$3:$Z$502,"Win",'📒 Jurnal'!$AQ$3:$AQ$502,1)+COUNTIFS('📒 Jurnal'!$H$3:$H$502,"Lainnya",'📒 Jurnal'!$Z$3:$Z$502,"Loss",'📒 Jurnal'!$AQ$3:$AQ$502,1)+COUNTIFS('📒 Jurnal'!$H$3:$H$502,"Lainnya",'📒 Jurnal'!$Z$3:$Z$502,"BE",'📒 Jurnal'!$AQ$3:$AQ$502,1))</f>
        <v>0</v>
      </c>
      <c r="I8" s="42">
        <f>IFERROR(COUNTIFS('📒 Jurnal'!$H$3:$H$502,"Lainnya",'📒 Jurnal'!$Z$3:$Z$502,"Win",'📒 Jurnal'!$AQ$3:$AQ$502,1)/(COUNTIFS('📒 Jurnal'!$H$3:$H$502,"Lainnya",'📒 Jurnal'!$Z$3:$Z$502,"Win",'📒 Jurnal'!$AQ$3:$AQ$502,1)+COUNTIFS('📒 Jurnal'!$H$3:$H$502,"Lainnya",'📒 Jurnal'!$Z$3:$Z$502,"Loss",'📒 Jurnal'!$AQ$3:$AQ$502,1)+COUNTIFS('📒 Jurnal'!$H$3:$H$502,"Lainnya",'📒 Jurnal'!$Z$3:$Z$502,"BE",'📒 Jurnal'!$AQ$3:$AQ$502,1)),0)</f>
        <v>0</v>
      </c>
      <c r="J8" s="40">
        <f>IFERROR(AVERAGEIFS('📒 Jurnal'!$Y$3:$Y$502,'📒 Jurnal'!$H$3:$H$502,"Lainnya",'📒 Jurnal'!$AQ$3:$AQ$502,1),0)</f>
        <v>0</v>
      </c>
      <c r="L8" s="21" t="s">
        <v>166</v>
      </c>
      <c r="M8" s="41">
        <f>COUNTIFS('📒 Jurnal'!$Y$3:$Y$502,"&gt;"&amp;-0.5,'📒 Jurnal'!$Y$3:$Y$502,"&lt;="&amp;0,'📒 Jurnal'!$AQ$3:$AQ$502,1)</f>
        <v>0</v>
      </c>
      <c r="O8" s="21" t="s">
        <v>167</v>
      </c>
      <c r="P8" s="41">
        <f>(COUNTIFS('📒 Jurnal'!$AF$3:$AF$502,"Ragu",'📒 Jurnal'!$Z$3:$Z$502,"Win",'📒 Jurnal'!$AQ$3:$AQ$502,1)+COUNTIFS('📒 Jurnal'!$AF$3:$AF$502,"Ragu",'📒 Jurnal'!$Z$3:$Z$502,"Loss",'📒 Jurnal'!$AQ$3:$AQ$502,1)+COUNTIFS('📒 Jurnal'!$AF$3:$AF$502,"Ragu",'📒 Jurnal'!$Z$3:$Z$502,"BE",'📒 Jurnal'!$AQ$3:$AQ$502,1))</f>
        <v>0</v>
      </c>
      <c r="Q8" s="40">
        <f>IFERROR(AVERAGEIFS('📒 Jurnal'!$Y$3:$Y$502,'📒 Jurnal'!$AF$3:$AF$502,"Ragu",'📒 Jurnal'!$AQ$3:$AQ$502,1),0)</f>
        <v>0</v>
      </c>
      <c r="S8" s="21" t="s">
        <v>168</v>
      </c>
      <c r="T8" s="41">
        <f>(COUNTIFS('📒 Jurnal'!$E$3:$E$502,"Asia",'📒 Jurnal'!$Z$3:$Z$502,"Win",'📒 Jurnal'!$AQ$3:$AQ$502,1)+COUNTIFS('📒 Jurnal'!$E$3:$E$502,"Asia",'📒 Jurnal'!$Z$3:$Z$502,"Loss",'📒 Jurnal'!$AQ$3:$AQ$502,1)+COUNTIFS('📒 Jurnal'!$E$3:$E$502,"Asia",'📒 Jurnal'!$Z$3:$Z$502,"BE",'📒 Jurnal'!$AQ$3:$AQ$502,1))</f>
        <v>9</v>
      </c>
      <c r="U8" s="40">
        <f>IFERROR(AVERAGEIFS('📒 Jurnal'!$Y$3:$Y$502,'📒 Jurnal'!$E$3:$E$502,"Asia",'📒 Jurnal'!$AQ$3:$AQ$502,1),0)</f>
        <v>0.775</v>
      </c>
      <c r="Z8" s="21" t="s">
        <v>169</v>
      </c>
      <c r="AA8" s="41">
        <f>(COUNTIFS('📒 Jurnal'!$AG$3:$AG$502,"Ngantuk",'📒 Jurnal'!$Z$3:$Z$502,"Win",'📒 Jurnal'!$AQ$3:$AQ$502,1)+COUNTIFS('📒 Jurnal'!$AG$3:$AG$502,"Ngantuk",'📒 Jurnal'!$Z$3:$Z$502,"Loss",'📒 Jurnal'!$AQ$3:$AQ$502,1)+COUNTIFS('📒 Jurnal'!$AG$3:$AG$502,"Ngantuk",'📒 Jurnal'!$Z$3:$Z$502,"BE",'📒 Jurnal'!$AQ$3:$AQ$502,1))</f>
        <v>0</v>
      </c>
      <c r="AB8" s="40">
        <f>IFERROR(AVERAGEIFS('📒 Jurnal'!$Y$3:$Y$502,'📒 Jurnal'!$AG$3:$AG$502,"Ngantuk",'📒 Jurnal'!$AQ$3:$AQ$502,1),0)</f>
        <v>0</v>
      </c>
    </row>
    <row r="9" spans="1:28">
      <c r="A9" s="39" t="str">
        <f>IF('📅 Harian'!$A7="","",'📅 Harian'!$A7)</f>
        <v/>
      </c>
      <c r="B9" s="40" t="str">
        <f>IF('📅 Harian'!$A7="","",'📅 Harian'!$G7)</f>
        <v/>
      </c>
      <c r="D9" s="39" t="str">
        <f>IF('📅 Harian'!$A7="","",'📅 Harian'!$A7)</f>
        <v/>
      </c>
      <c r="E9" s="40" t="str">
        <f>IF('📅 Harian'!$A7="","",'📅 Harian'!$C7)</f>
        <v/>
      </c>
      <c r="L9" s="21" t="s">
        <v>170</v>
      </c>
      <c r="M9" s="41">
        <f>COUNTIFS('📒 Jurnal'!$Y$3:$Y$502,"&gt;"&amp;0,'📒 Jurnal'!$Y$3:$Y$502,"&lt;="&amp;0.5,'📒 Jurnal'!$AQ$3:$AQ$502,1)</f>
        <v>0</v>
      </c>
      <c r="O9" s="21" t="s">
        <v>171</v>
      </c>
      <c r="P9" s="41">
        <f>(COUNTIFS('📒 Jurnal'!$AF$3:$AF$502,"Overconfident",'📒 Jurnal'!$Z$3:$Z$502,"Win",'📒 Jurnal'!$AQ$3:$AQ$502,1)+COUNTIFS('📒 Jurnal'!$AF$3:$AF$502,"Overconfident",'📒 Jurnal'!$Z$3:$Z$502,"Loss",'📒 Jurnal'!$AQ$3:$AQ$502,1)+COUNTIFS('📒 Jurnal'!$AF$3:$AF$502,"Overconfident",'📒 Jurnal'!$Z$3:$Z$502,"BE",'📒 Jurnal'!$AQ$3:$AQ$502,1))</f>
        <v>0</v>
      </c>
      <c r="Q9" s="40">
        <f>IFERROR(AVERAGEIFS('📒 Jurnal'!$Y$3:$Y$502,'📒 Jurnal'!$AF$3:$AF$502,"Overconfident",'📒 Jurnal'!$AQ$3:$AQ$502,1),0)</f>
        <v>0</v>
      </c>
    </row>
    <row r="10" spans="1:28">
      <c r="A10" s="39" t="str">
        <f>IF('📅 Harian'!$A8="","",'📅 Harian'!$A8)</f>
        <v/>
      </c>
      <c r="B10" s="40" t="str">
        <f>IF('📅 Harian'!$A8="","",'📅 Harian'!$G8)</f>
        <v/>
      </c>
      <c r="D10" s="39" t="str">
        <f>IF('📅 Harian'!$A8="","",'📅 Harian'!$A8)</f>
        <v/>
      </c>
      <c r="E10" s="40" t="str">
        <f>IF('📅 Harian'!$A8="","",'📅 Harian'!$C8)</f>
        <v/>
      </c>
      <c r="L10" s="21" t="s">
        <v>172</v>
      </c>
      <c r="M10" s="41">
        <f>COUNTIFS('📒 Jurnal'!$Y$3:$Y$502,"&gt;"&amp;0.5,'📒 Jurnal'!$Y$3:$Y$502,"&lt;="&amp;1,'📒 Jurnal'!$AQ$3:$AQ$502,1)</f>
        <v>2</v>
      </c>
      <c r="O10" s="21" t="s">
        <v>173</v>
      </c>
      <c r="P10" s="41">
        <f>(COUNTIFS('📒 Jurnal'!$AF$3:$AF$502,"Bosan",'📒 Jurnal'!$Z$3:$Z$502,"Win",'📒 Jurnal'!$AQ$3:$AQ$502,1)+COUNTIFS('📒 Jurnal'!$AF$3:$AF$502,"Bosan",'📒 Jurnal'!$Z$3:$Z$502,"Loss",'📒 Jurnal'!$AQ$3:$AQ$502,1)+COUNTIFS('📒 Jurnal'!$AF$3:$AF$502,"Bosan",'📒 Jurnal'!$Z$3:$Z$502,"BE",'📒 Jurnal'!$AQ$3:$AQ$502,1))</f>
        <v>0</v>
      </c>
      <c r="Q10" s="40">
        <f>IFERROR(AVERAGEIFS('📒 Jurnal'!$Y$3:$Y$502,'📒 Jurnal'!$AF$3:$AF$502,"Bosan",'📒 Jurnal'!$AQ$3:$AQ$502,1),0)</f>
        <v>0</v>
      </c>
    </row>
    <row r="11" spans="1:28">
      <c r="A11" s="39" t="str">
        <f>IF('📅 Harian'!$A9="","",'📅 Harian'!$A9)</f>
        <v/>
      </c>
      <c r="B11" s="40" t="str">
        <f>IF('📅 Harian'!$A9="","",'📅 Harian'!$G9)</f>
        <v/>
      </c>
      <c r="D11" s="39" t="str">
        <f>IF('📅 Harian'!$A9="","",'📅 Harian'!$A9)</f>
        <v/>
      </c>
      <c r="E11" s="40" t="str">
        <f>IF('📅 Harian'!$A9="","",'📅 Harian'!$C9)</f>
        <v/>
      </c>
      <c r="L11" s="21" t="s">
        <v>174</v>
      </c>
      <c r="M11" s="41">
        <f>COUNTIFS('📒 Jurnal'!$Y$3:$Y$502,"&gt;"&amp;1,'📒 Jurnal'!$Y$3:$Y$502,"&lt;="&amp;2,'📒 Jurnal'!$AQ$3:$AQ$502,1)</f>
        <v>0</v>
      </c>
    </row>
    <row r="12" spans="1:28">
      <c r="A12" s="39" t="str">
        <f>IF('📅 Harian'!$A10="","",'📅 Harian'!$A10)</f>
        <v/>
      </c>
      <c r="B12" s="40" t="str">
        <f>IF('📅 Harian'!$A10="","",'📅 Harian'!$G10)</f>
        <v/>
      </c>
      <c r="D12" s="39" t="str">
        <f>IF('📅 Harian'!$A10="","",'📅 Harian'!$A10)</f>
        <v/>
      </c>
      <c r="E12" s="40" t="str">
        <f>IF('📅 Harian'!$A10="","",'📅 Harian'!$C10)</f>
        <v/>
      </c>
      <c r="L12" s="21" t="s">
        <v>175</v>
      </c>
      <c r="M12" s="41">
        <f>COUNTIFS('📒 Jurnal'!$Y$3:$Y$502,"&gt;"&amp;2,'📒 Jurnal'!$AQ$3:$AQ$502,1)</f>
        <v>0</v>
      </c>
    </row>
    <row r="13" spans="1:28">
      <c r="A13" s="39" t="str">
        <f>IF('📅 Harian'!$A11="","",'📅 Harian'!$A11)</f>
        <v/>
      </c>
      <c r="B13" s="40" t="str">
        <f>IF('📅 Harian'!$A11="","",'📅 Harian'!$G11)</f>
        <v/>
      </c>
      <c r="D13" s="39" t="str">
        <f>IF('📅 Harian'!$A11="","",'📅 Harian'!$A11)</f>
        <v/>
      </c>
      <c r="E13" s="40" t="str">
        <f>IF('📅 Harian'!$A11="","",'📅 Harian'!$C11)</f>
        <v/>
      </c>
    </row>
    <row r="14" spans="1:28">
      <c r="A14" s="39" t="str">
        <f>IF('📅 Harian'!$A12="","",'📅 Harian'!$A12)</f>
        <v/>
      </c>
      <c r="B14" s="40" t="str">
        <f>IF('📅 Harian'!$A12="","",'📅 Harian'!$G12)</f>
        <v/>
      </c>
      <c r="D14" s="39" t="str">
        <f>IF('📅 Harian'!$A12="","",'📅 Harian'!$A12)</f>
        <v/>
      </c>
      <c r="E14" s="40" t="str">
        <f>IF('📅 Harian'!$A12="","",'📅 Harian'!$C12)</f>
        <v/>
      </c>
    </row>
    <row r="15" spans="1:28">
      <c r="A15" s="39" t="str">
        <f>IF('📅 Harian'!$A13="","",'📅 Harian'!$A13)</f>
        <v/>
      </c>
      <c r="B15" s="40" t="str">
        <f>IF('📅 Harian'!$A13="","",'📅 Harian'!$G13)</f>
        <v/>
      </c>
      <c r="D15" s="39" t="str">
        <f>IF('📅 Harian'!$A13="","",'📅 Harian'!$A13)</f>
        <v/>
      </c>
      <c r="E15" s="40" t="str">
        <f>IF('📅 Harian'!$A13="","",'📅 Harian'!$C13)</f>
        <v/>
      </c>
    </row>
    <row r="16" spans="1:28">
      <c r="A16" s="39" t="str">
        <f>IF('📅 Harian'!$A14="","",'📅 Harian'!$A14)</f>
        <v/>
      </c>
      <c r="B16" s="40" t="str">
        <f>IF('📅 Harian'!$A14="","",'📅 Harian'!$G14)</f>
        <v/>
      </c>
      <c r="D16" s="39" t="str">
        <f>IF('📅 Harian'!$A14="","",'📅 Harian'!$A14)</f>
        <v/>
      </c>
      <c r="E16" s="40" t="str">
        <f>IF('📅 Harian'!$A14="","",'📅 Harian'!$C14)</f>
        <v/>
      </c>
    </row>
    <row r="17" spans="1:5">
      <c r="A17" s="39" t="str">
        <f>IF('📅 Harian'!$A15="","",'📅 Harian'!$A15)</f>
        <v/>
      </c>
      <c r="B17" s="40" t="str">
        <f>IF('📅 Harian'!$A15="","",'📅 Harian'!$G15)</f>
        <v/>
      </c>
      <c r="D17" s="39" t="str">
        <f>IF('📅 Harian'!$A15="","",'📅 Harian'!$A15)</f>
        <v/>
      </c>
      <c r="E17" s="40" t="str">
        <f>IF('📅 Harian'!$A15="","",'📅 Harian'!$C15)</f>
        <v/>
      </c>
    </row>
    <row r="18" spans="1:5">
      <c r="A18" s="39" t="str">
        <f>IF('📅 Harian'!$A16="","",'📅 Harian'!$A16)</f>
        <v/>
      </c>
      <c r="B18" s="40" t="str">
        <f>IF('📅 Harian'!$A16="","",'📅 Harian'!$G16)</f>
        <v/>
      </c>
      <c r="D18" s="39" t="str">
        <f>IF('📅 Harian'!$A16="","",'📅 Harian'!$A16)</f>
        <v/>
      </c>
      <c r="E18" s="40" t="str">
        <f>IF('📅 Harian'!$A16="","",'📅 Harian'!$C16)</f>
        <v/>
      </c>
    </row>
    <row r="19" spans="1:5">
      <c r="A19" s="39" t="str">
        <f>IF('📅 Harian'!$A17="","",'📅 Harian'!$A17)</f>
        <v/>
      </c>
      <c r="B19" s="40" t="str">
        <f>IF('📅 Harian'!$A17="","",'📅 Harian'!$G17)</f>
        <v/>
      </c>
      <c r="D19" s="39" t="str">
        <f>IF('📅 Harian'!$A17="","",'📅 Harian'!$A17)</f>
        <v/>
      </c>
      <c r="E19" s="40" t="str">
        <f>IF('📅 Harian'!$A17="","",'📅 Harian'!$C17)</f>
        <v/>
      </c>
    </row>
    <row r="20" spans="1:5">
      <c r="A20" s="39" t="str">
        <f>IF('📅 Harian'!$A18="","",'📅 Harian'!$A18)</f>
        <v/>
      </c>
      <c r="B20" s="40" t="str">
        <f>IF('📅 Harian'!$A18="","",'📅 Harian'!$G18)</f>
        <v/>
      </c>
      <c r="D20" s="39" t="str">
        <f>IF('📅 Harian'!$A18="","",'📅 Harian'!$A18)</f>
        <v/>
      </c>
      <c r="E20" s="40" t="str">
        <f>IF('📅 Harian'!$A18="","",'📅 Harian'!$C18)</f>
        <v/>
      </c>
    </row>
    <row r="21" spans="1:5">
      <c r="A21" s="39" t="str">
        <f>IF('📅 Harian'!$A19="","",'📅 Harian'!$A19)</f>
        <v/>
      </c>
      <c r="B21" s="40" t="str">
        <f>IF('📅 Harian'!$A19="","",'📅 Harian'!$G19)</f>
        <v/>
      </c>
      <c r="D21" s="39" t="str">
        <f>IF('📅 Harian'!$A19="","",'📅 Harian'!$A19)</f>
        <v/>
      </c>
      <c r="E21" s="40" t="str">
        <f>IF('📅 Harian'!$A19="","",'📅 Harian'!$C19)</f>
        <v/>
      </c>
    </row>
    <row r="22" spans="1:5">
      <c r="A22" s="39" t="str">
        <f>IF('📅 Harian'!$A20="","",'📅 Harian'!$A20)</f>
        <v/>
      </c>
      <c r="B22" s="40" t="str">
        <f>IF('📅 Harian'!$A20="","",'📅 Harian'!$G20)</f>
        <v/>
      </c>
      <c r="D22" s="39" t="str">
        <f>IF('📅 Harian'!$A20="","",'📅 Harian'!$A20)</f>
        <v/>
      </c>
      <c r="E22" s="40" t="str">
        <f>IF('📅 Harian'!$A20="","",'📅 Harian'!$C20)</f>
        <v/>
      </c>
    </row>
    <row r="23" spans="1:5">
      <c r="A23" s="39" t="str">
        <f>IF('📅 Harian'!$A21="","",'📅 Harian'!$A21)</f>
        <v/>
      </c>
      <c r="B23" s="40" t="str">
        <f>IF('📅 Harian'!$A21="","",'📅 Harian'!$G21)</f>
        <v/>
      </c>
      <c r="D23" s="39" t="str">
        <f>IF('📅 Harian'!$A21="","",'📅 Harian'!$A21)</f>
        <v/>
      </c>
      <c r="E23" s="40" t="str">
        <f>IF('📅 Harian'!$A21="","",'📅 Harian'!$C21)</f>
        <v/>
      </c>
    </row>
    <row r="24" spans="1:5">
      <c r="A24" s="39" t="str">
        <f>IF('📅 Harian'!$A22="","",'📅 Harian'!$A22)</f>
        <v/>
      </c>
      <c r="B24" s="40" t="str">
        <f>IF('📅 Harian'!$A22="","",'📅 Harian'!$G22)</f>
        <v/>
      </c>
      <c r="D24" s="39" t="str">
        <f>IF('📅 Harian'!$A22="","",'📅 Harian'!$A22)</f>
        <v/>
      </c>
      <c r="E24" s="40" t="str">
        <f>IF('📅 Harian'!$A22="","",'📅 Harian'!$C22)</f>
        <v/>
      </c>
    </row>
    <row r="25" spans="1:5">
      <c r="A25" s="39" t="str">
        <f>IF('📅 Harian'!$A23="","",'📅 Harian'!$A23)</f>
        <v/>
      </c>
      <c r="B25" s="40" t="str">
        <f>IF('📅 Harian'!$A23="","",'📅 Harian'!$G23)</f>
        <v/>
      </c>
      <c r="D25" s="39" t="str">
        <f>IF('📅 Harian'!$A23="","",'📅 Harian'!$A23)</f>
        <v/>
      </c>
      <c r="E25" s="40" t="str">
        <f>IF('📅 Harian'!$A23="","",'📅 Harian'!$C23)</f>
        <v/>
      </c>
    </row>
    <row r="26" spans="1:5">
      <c r="A26" s="39" t="str">
        <f>IF('📅 Harian'!$A24="","",'📅 Harian'!$A24)</f>
        <v/>
      </c>
      <c r="B26" s="40" t="str">
        <f>IF('📅 Harian'!$A24="","",'📅 Harian'!$G24)</f>
        <v/>
      </c>
      <c r="D26" s="39" t="str">
        <f>IF('📅 Harian'!$A24="","",'📅 Harian'!$A24)</f>
        <v/>
      </c>
      <c r="E26" s="40" t="str">
        <f>IF('📅 Harian'!$A24="","",'📅 Harian'!$C24)</f>
        <v/>
      </c>
    </row>
    <row r="27" spans="1:5">
      <c r="A27" s="39" t="str">
        <f>IF('📅 Harian'!$A25="","",'📅 Harian'!$A25)</f>
        <v/>
      </c>
      <c r="B27" s="40" t="str">
        <f>IF('📅 Harian'!$A25="","",'📅 Harian'!$G25)</f>
        <v/>
      </c>
      <c r="D27" s="39" t="str">
        <f>IF('📅 Harian'!$A25="","",'📅 Harian'!$A25)</f>
        <v/>
      </c>
      <c r="E27" s="40" t="str">
        <f>IF('📅 Harian'!$A25="","",'📅 Harian'!$C25)</f>
        <v/>
      </c>
    </row>
    <row r="28" spans="1:5">
      <c r="A28" s="39" t="str">
        <f>IF('📅 Harian'!$A26="","",'📅 Harian'!$A26)</f>
        <v/>
      </c>
      <c r="B28" s="40" t="str">
        <f>IF('📅 Harian'!$A26="","",'📅 Harian'!$G26)</f>
        <v/>
      </c>
      <c r="D28" s="39" t="str">
        <f>IF('📅 Harian'!$A26="","",'📅 Harian'!$A26)</f>
        <v/>
      </c>
      <c r="E28" s="40" t="str">
        <f>IF('📅 Harian'!$A26="","",'📅 Harian'!$C26)</f>
        <v/>
      </c>
    </row>
    <row r="29" spans="1:5">
      <c r="A29" s="39" t="str">
        <f>IF('📅 Harian'!$A27="","",'📅 Harian'!$A27)</f>
        <v/>
      </c>
      <c r="B29" s="40" t="str">
        <f>IF('📅 Harian'!$A27="","",'📅 Harian'!$G27)</f>
        <v/>
      </c>
      <c r="D29" s="39" t="str">
        <f>IF('📅 Harian'!$A27="","",'📅 Harian'!$A27)</f>
        <v/>
      </c>
      <c r="E29" s="40" t="str">
        <f>IF('📅 Harian'!$A27="","",'📅 Harian'!$C27)</f>
        <v/>
      </c>
    </row>
    <row r="30" spans="1:5">
      <c r="A30" s="39" t="str">
        <f>IF('📅 Harian'!$A28="","",'📅 Harian'!$A28)</f>
        <v/>
      </c>
      <c r="B30" s="40" t="str">
        <f>IF('📅 Harian'!$A28="","",'📅 Harian'!$G28)</f>
        <v/>
      </c>
      <c r="D30" s="39" t="str">
        <f>IF('📅 Harian'!$A28="","",'📅 Harian'!$A28)</f>
        <v/>
      </c>
      <c r="E30" s="40" t="str">
        <f>IF('📅 Harian'!$A28="","",'📅 Harian'!$C28)</f>
        <v/>
      </c>
    </row>
    <row r="31" spans="1:5">
      <c r="A31" s="39" t="str">
        <f>IF('📅 Harian'!$A29="","",'📅 Harian'!$A29)</f>
        <v/>
      </c>
      <c r="B31" s="40" t="str">
        <f>IF('📅 Harian'!$A29="","",'📅 Harian'!$G29)</f>
        <v/>
      </c>
      <c r="D31" s="39" t="str">
        <f>IF('📅 Harian'!$A29="","",'📅 Harian'!$A29)</f>
        <v/>
      </c>
      <c r="E31" s="40" t="str">
        <f>IF('📅 Harian'!$A29="","",'📅 Harian'!$C29)</f>
        <v/>
      </c>
    </row>
    <row r="32" spans="1:5">
      <c r="A32" s="39" t="str">
        <f>IF('📅 Harian'!$A30="","",'📅 Harian'!$A30)</f>
        <v/>
      </c>
      <c r="B32" s="40" t="str">
        <f>IF('📅 Harian'!$A30="","",'📅 Harian'!$G30)</f>
        <v/>
      </c>
      <c r="D32" s="39" t="str">
        <f>IF('📅 Harian'!$A30="","",'📅 Harian'!$A30)</f>
        <v/>
      </c>
      <c r="E32" s="40" t="str">
        <f>IF('📅 Harian'!$A30="","",'📅 Harian'!$C30)</f>
        <v/>
      </c>
    </row>
    <row r="33" spans="1:5">
      <c r="A33" s="39" t="str">
        <f>IF('📅 Harian'!$A31="","",'📅 Harian'!$A31)</f>
        <v/>
      </c>
      <c r="B33" s="40" t="str">
        <f>IF('📅 Harian'!$A31="","",'📅 Harian'!$G31)</f>
        <v/>
      </c>
      <c r="D33" s="39" t="str">
        <f>IF('📅 Harian'!$A31="","",'📅 Harian'!$A31)</f>
        <v/>
      </c>
      <c r="E33" s="40" t="str">
        <f>IF('📅 Harian'!$A31="","",'📅 Harian'!$C31)</f>
        <v/>
      </c>
    </row>
    <row r="34" spans="1:5">
      <c r="A34" s="39" t="str">
        <f>IF('📅 Harian'!$A32="","",'📅 Harian'!$A32)</f>
        <v/>
      </c>
      <c r="B34" s="40" t="str">
        <f>IF('📅 Harian'!$A32="","",'📅 Harian'!$G32)</f>
        <v/>
      </c>
      <c r="D34" s="39" t="str">
        <f>IF('📅 Harian'!$A32="","",'📅 Harian'!$A32)</f>
        <v/>
      </c>
      <c r="E34" s="40" t="str">
        <f>IF('📅 Harian'!$A32="","",'📅 Harian'!$C32)</f>
        <v/>
      </c>
    </row>
    <row r="35" spans="1:5">
      <c r="A35" s="39" t="str">
        <f>IF('📅 Harian'!$A33="","",'📅 Harian'!$A33)</f>
        <v/>
      </c>
      <c r="B35" s="40" t="str">
        <f>IF('📅 Harian'!$A33="","",'📅 Harian'!$G33)</f>
        <v/>
      </c>
      <c r="D35" s="39" t="str">
        <f>IF('📅 Harian'!$A33="","",'📅 Harian'!$A33)</f>
        <v/>
      </c>
      <c r="E35" s="40" t="str">
        <f>IF('📅 Harian'!$A33="","",'📅 Harian'!$C33)</f>
        <v/>
      </c>
    </row>
    <row r="36" spans="1:5">
      <c r="A36" s="39" t="str">
        <f>IF('📅 Harian'!$A34="","",'📅 Harian'!$A34)</f>
        <v/>
      </c>
      <c r="B36" s="40" t="str">
        <f>IF('📅 Harian'!$A34="","",'📅 Harian'!$G34)</f>
        <v/>
      </c>
      <c r="D36" s="39" t="str">
        <f>IF('📅 Harian'!$A34="","",'📅 Harian'!$A34)</f>
        <v/>
      </c>
      <c r="E36" s="40" t="str">
        <f>IF('📅 Harian'!$A34="","",'📅 Harian'!$C34)</f>
        <v/>
      </c>
    </row>
    <row r="37" spans="1:5">
      <c r="A37" s="39" t="str">
        <f>IF('📅 Harian'!$A35="","",'📅 Harian'!$A35)</f>
        <v/>
      </c>
      <c r="B37" s="40" t="str">
        <f>IF('📅 Harian'!$A35="","",'📅 Harian'!$G35)</f>
        <v/>
      </c>
      <c r="D37" s="39" t="str">
        <f>IF('📅 Harian'!$A35="","",'📅 Harian'!$A35)</f>
        <v/>
      </c>
      <c r="E37" s="40" t="str">
        <f>IF('📅 Harian'!$A35="","",'📅 Harian'!$C35)</f>
        <v/>
      </c>
    </row>
    <row r="38" spans="1:5">
      <c r="A38" s="39" t="str">
        <f>IF('📅 Harian'!$A36="","",'📅 Harian'!$A36)</f>
        <v/>
      </c>
      <c r="B38" s="40" t="str">
        <f>IF('📅 Harian'!$A36="","",'📅 Harian'!$G36)</f>
        <v/>
      </c>
      <c r="D38" s="39" t="str">
        <f>IF('📅 Harian'!$A36="","",'📅 Harian'!$A36)</f>
        <v/>
      </c>
      <c r="E38" s="40" t="str">
        <f>IF('📅 Harian'!$A36="","",'📅 Harian'!$C36)</f>
        <v/>
      </c>
    </row>
    <row r="39" spans="1:5">
      <c r="A39" s="39" t="str">
        <f>IF('📅 Harian'!$A37="","",'📅 Harian'!$A37)</f>
        <v/>
      </c>
      <c r="B39" s="40" t="str">
        <f>IF('📅 Harian'!$A37="","",'📅 Harian'!$G37)</f>
        <v/>
      </c>
      <c r="D39" s="39" t="str">
        <f>IF('📅 Harian'!$A37="","",'📅 Harian'!$A37)</f>
        <v/>
      </c>
      <c r="E39" s="40" t="str">
        <f>IF('📅 Harian'!$A37="","",'📅 Harian'!$C37)</f>
        <v/>
      </c>
    </row>
    <row r="40" spans="1:5">
      <c r="A40" s="39" t="str">
        <f>IF('📅 Harian'!$A38="","",'📅 Harian'!$A38)</f>
        <v/>
      </c>
      <c r="B40" s="40" t="str">
        <f>IF('📅 Harian'!$A38="","",'📅 Harian'!$G38)</f>
        <v/>
      </c>
      <c r="D40" s="39" t="str">
        <f>IF('📅 Harian'!$A38="","",'📅 Harian'!$A38)</f>
        <v/>
      </c>
      <c r="E40" s="40" t="str">
        <f>IF('📅 Harian'!$A38="","",'📅 Harian'!$C38)</f>
        <v/>
      </c>
    </row>
    <row r="41" spans="1:5">
      <c r="A41" s="39" t="str">
        <f>IF('📅 Harian'!$A39="","",'📅 Harian'!$A39)</f>
        <v/>
      </c>
      <c r="B41" s="40" t="str">
        <f>IF('📅 Harian'!$A39="","",'📅 Harian'!$G39)</f>
        <v/>
      </c>
      <c r="D41" s="39" t="str">
        <f>IF('📅 Harian'!$A39="","",'📅 Harian'!$A39)</f>
        <v/>
      </c>
      <c r="E41" s="40" t="str">
        <f>IF('📅 Harian'!$A39="","",'📅 Harian'!$C39)</f>
        <v/>
      </c>
    </row>
    <row r="42" spans="1:5">
      <c r="A42" s="39" t="str">
        <f>IF('📅 Harian'!$A40="","",'📅 Harian'!$A40)</f>
        <v/>
      </c>
      <c r="B42" s="40" t="str">
        <f>IF('📅 Harian'!$A40="","",'📅 Harian'!$G40)</f>
        <v/>
      </c>
      <c r="D42" s="39" t="str">
        <f>IF('📅 Harian'!$A40="","",'📅 Harian'!$A40)</f>
        <v/>
      </c>
      <c r="E42" s="40" t="str">
        <f>IF('📅 Harian'!$A40="","",'📅 Harian'!$C40)</f>
        <v/>
      </c>
    </row>
    <row r="43" spans="1:5">
      <c r="A43" s="39" t="str">
        <f>IF('📅 Harian'!$A41="","",'📅 Harian'!$A41)</f>
        <v/>
      </c>
      <c r="B43" s="40" t="str">
        <f>IF('📅 Harian'!$A41="","",'📅 Harian'!$G41)</f>
        <v/>
      </c>
      <c r="D43" s="39" t="str">
        <f>IF('📅 Harian'!$A41="","",'📅 Harian'!$A41)</f>
        <v/>
      </c>
      <c r="E43" s="40" t="str">
        <f>IF('📅 Harian'!$A41="","",'📅 Harian'!$C41)</f>
        <v/>
      </c>
    </row>
    <row r="44" spans="1:5">
      <c r="A44" s="39" t="str">
        <f>IF('📅 Harian'!$A42="","",'📅 Harian'!$A42)</f>
        <v/>
      </c>
      <c r="B44" s="40" t="str">
        <f>IF('📅 Harian'!$A42="","",'📅 Harian'!$G42)</f>
        <v/>
      </c>
      <c r="D44" s="39" t="str">
        <f>IF('📅 Harian'!$A42="","",'📅 Harian'!$A42)</f>
        <v/>
      </c>
      <c r="E44" s="40" t="str">
        <f>IF('📅 Harian'!$A42="","",'📅 Harian'!$C42)</f>
        <v/>
      </c>
    </row>
    <row r="45" spans="1:5">
      <c r="A45" s="39" t="str">
        <f>IF('📅 Harian'!$A43="","",'📅 Harian'!$A43)</f>
        <v/>
      </c>
      <c r="B45" s="40" t="str">
        <f>IF('📅 Harian'!$A43="","",'📅 Harian'!$G43)</f>
        <v/>
      </c>
      <c r="D45" s="39" t="str">
        <f>IF('📅 Harian'!$A43="","",'📅 Harian'!$A43)</f>
        <v/>
      </c>
      <c r="E45" s="40" t="str">
        <f>IF('📅 Harian'!$A43="","",'📅 Harian'!$C43)</f>
        <v/>
      </c>
    </row>
    <row r="46" spans="1:5">
      <c r="A46" s="39" t="str">
        <f>IF('📅 Harian'!$A44="","",'📅 Harian'!$A44)</f>
        <v/>
      </c>
      <c r="B46" s="40" t="str">
        <f>IF('📅 Harian'!$A44="","",'📅 Harian'!$G44)</f>
        <v/>
      </c>
      <c r="D46" s="39" t="str">
        <f>IF('📅 Harian'!$A44="","",'📅 Harian'!$A44)</f>
        <v/>
      </c>
      <c r="E46" s="40" t="str">
        <f>IF('📅 Harian'!$A44="","",'📅 Harian'!$C44)</f>
        <v/>
      </c>
    </row>
    <row r="47" spans="1:5">
      <c r="A47" s="39" t="str">
        <f>IF('📅 Harian'!$A45="","",'📅 Harian'!$A45)</f>
        <v/>
      </c>
      <c r="B47" s="40" t="str">
        <f>IF('📅 Harian'!$A45="","",'📅 Harian'!$G45)</f>
        <v/>
      </c>
      <c r="D47" s="39" t="str">
        <f>IF('📅 Harian'!$A45="","",'📅 Harian'!$A45)</f>
        <v/>
      </c>
      <c r="E47" s="40" t="str">
        <f>IF('📅 Harian'!$A45="","",'📅 Harian'!$C45)</f>
        <v/>
      </c>
    </row>
    <row r="48" spans="1:5">
      <c r="A48" s="39" t="str">
        <f>IF('📅 Harian'!$A46="","",'📅 Harian'!$A46)</f>
        <v/>
      </c>
      <c r="B48" s="40" t="str">
        <f>IF('📅 Harian'!$A46="","",'📅 Harian'!$G46)</f>
        <v/>
      </c>
      <c r="D48" s="39" t="str">
        <f>IF('📅 Harian'!$A46="","",'📅 Harian'!$A46)</f>
        <v/>
      </c>
      <c r="E48" s="40" t="str">
        <f>IF('📅 Harian'!$A46="","",'📅 Harian'!$C46)</f>
        <v/>
      </c>
    </row>
    <row r="49" spans="1:5">
      <c r="A49" s="39" t="str">
        <f>IF('📅 Harian'!$A47="","",'📅 Harian'!$A47)</f>
        <v/>
      </c>
      <c r="B49" s="40" t="str">
        <f>IF('📅 Harian'!$A47="","",'📅 Harian'!$G47)</f>
        <v/>
      </c>
      <c r="D49" s="39" t="str">
        <f>IF('📅 Harian'!$A47="","",'📅 Harian'!$A47)</f>
        <v/>
      </c>
      <c r="E49" s="40" t="str">
        <f>IF('📅 Harian'!$A47="","",'📅 Harian'!$C47)</f>
        <v/>
      </c>
    </row>
    <row r="50" spans="1:5">
      <c r="A50" s="39" t="str">
        <f>IF('📅 Harian'!$A48="","",'📅 Harian'!$A48)</f>
        <v/>
      </c>
      <c r="B50" s="40" t="str">
        <f>IF('📅 Harian'!$A48="","",'📅 Harian'!$G48)</f>
        <v/>
      </c>
      <c r="D50" s="39" t="str">
        <f>IF('📅 Harian'!$A48="","",'📅 Harian'!$A48)</f>
        <v/>
      </c>
      <c r="E50" s="40" t="str">
        <f>IF('📅 Harian'!$A48="","",'📅 Harian'!$C48)</f>
        <v/>
      </c>
    </row>
    <row r="51" spans="1:5">
      <c r="A51" s="39" t="str">
        <f>IF('📅 Harian'!$A49="","",'📅 Harian'!$A49)</f>
        <v/>
      </c>
      <c r="B51" s="40" t="str">
        <f>IF('📅 Harian'!$A49="","",'📅 Harian'!$G49)</f>
        <v/>
      </c>
      <c r="D51" s="39" t="str">
        <f>IF('📅 Harian'!$A49="","",'📅 Harian'!$A49)</f>
        <v/>
      </c>
      <c r="E51" s="40" t="str">
        <f>IF('📅 Harian'!$A49="","",'📅 Harian'!$C49)</f>
        <v/>
      </c>
    </row>
    <row r="52" spans="1:5">
      <c r="A52" s="39" t="str">
        <f>IF('📅 Harian'!$A50="","",'📅 Harian'!$A50)</f>
        <v/>
      </c>
      <c r="B52" s="40" t="str">
        <f>IF('📅 Harian'!$A50="","",'📅 Harian'!$G50)</f>
        <v/>
      </c>
      <c r="D52" s="39" t="str">
        <f>IF('📅 Harian'!$A50="","",'📅 Harian'!$A50)</f>
        <v/>
      </c>
      <c r="E52" s="40" t="str">
        <f>IF('📅 Harian'!$A50="","",'📅 Harian'!$C50)</f>
        <v/>
      </c>
    </row>
    <row r="53" spans="1:5">
      <c r="A53" s="39" t="str">
        <f>IF('📅 Harian'!$A51="","",'📅 Harian'!$A51)</f>
        <v/>
      </c>
      <c r="B53" s="40" t="str">
        <f>IF('📅 Harian'!$A51="","",'📅 Harian'!$G51)</f>
        <v/>
      </c>
      <c r="D53" s="39" t="str">
        <f>IF('📅 Harian'!$A51="","",'📅 Harian'!$A51)</f>
        <v/>
      </c>
      <c r="E53" s="40" t="str">
        <f>IF('📅 Harian'!$A51="","",'📅 Harian'!$C51)</f>
        <v/>
      </c>
    </row>
    <row r="54" spans="1:5">
      <c r="A54" s="39" t="str">
        <f>IF('📅 Harian'!$A52="","",'📅 Harian'!$A52)</f>
        <v/>
      </c>
      <c r="B54" s="40" t="str">
        <f>IF('📅 Harian'!$A52="","",'📅 Harian'!$G52)</f>
        <v/>
      </c>
      <c r="D54" s="39" t="str">
        <f>IF('📅 Harian'!$A52="","",'📅 Harian'!$A52)</f>
        <v/>
      </c>
      <c r="E54" s="40" t="str">
        <f>IF('📅 Harian'!$A52="","",'📅 Harian'!$C52)</f>
        <v/>
      </c>
    </row>
    <row r="55" spans="1:5">
      <c r="A55" s="39" t="str">
        <f>IF('📅 Harian'!$A53="","",'📅 Harian'!$A53)</f>
        <v/>
      </c>
      <c r="B55" s="40" t="str">
        <f>IF('📅 Harian'!$A53="","",'📅 Harian'!$G53)</f>
        <v/>
      </c>
      <c r="D55" s="39" t="str">
        <f>IF('📅 Harian'!$A53="","",'📅 Harian'!$A53)</f>
        <v/>
      </c>
      <c r="E55" s="40" t="str">
        <f>IF('📅 Harian'!$A53="","",'📅 Harian'!$C53)</f>
        <v/>
      </c>
    </row>
    <row r="56" spans="1:5">
      <c r="A56" s="39" t="str">
        <f>IF('📅 Harian'!$A54="","",'📅 Harian'!$A54)</f>
        <v/>
      </c>
      <c r="B56" s="40" t="str">
        <f>IF('📅 Harian'!$A54="","",'📅 Harian'!$G54)</f>
        <v/>
      </c>
      <c r="D56" s="39" t="str">
        <f>IF('📅 Harian'!$A54="","",'📅 Harian'!$A54)</f>
        <v/>
      </c>
      <c r="E56" s="40" t="str">
        <f>IF('📅 Harian'!$A54="","",'📅 Harian'!$C54)</f>
        <v/>
      </c>
    </row>
    <row r="57" spans="1:5">
      <c r="A57" s="39" t="str">
        <f>IF('📅 Harian'!$A55="","",'📅 Harian'!$A55)</f>
        <v/>
      </c>
      <c r="B57" s="40" t="str">
        <f>IF('📅 Harian'!$A55="","",'📅 Harian'!$G55)</f>
        <v/>
      </c>
      <c r="D57" s="39" t="str">
        <f>IF('📅 Harian'!$A55="","",'📅 Harian'!$A55)</f>
        <v/>
      </c>
      <c r="E57" s="40" t="str">
        <f>IF('📅 Harian'!$A55="","",'📅 Harian'!$C55)</f>
        <v/>
      </c>
    </row>
    <row r="58" spans="1:5">
      <c r="A58" s="39" t="str">
        <f>IF('📅 Harian'!$A56="","",'📅 Harian'!$A56)</f>
        <v/>
      </c>
      <c r="B58" s="40" t="str">
        <f>IF('📅 Harian'!$A56="","",'📅 Harian'!$G56)</f>
        <v/>
      </c>
      <c r="D58" s="39" t="str">
        <f>IF('📅 Harian'!$A56="","",'📅 Harian'!$A56)</f>
        <v/>
      </c>
      <c r="E58" s="40" t="str">
        <f>IF('📅 Harian'!$A56="","",'📅 Harian'!$C56)</f>
        <v/>
      </c>
    </row>
    <row r="59" spans="1:5">
      <c r="A59" s="39" t="str">
        <f>IF('📅 Harian'!$A57="","",'📅 Harian'!$A57)</f>
        <v/>
      </c>
      <c r="B59" s="40" t="str">
        <f>IF('📅 Harian'!$A57="","",'📅 Harian'!$G57)</f>
        <v/>
      </c>
      <c r="D59" s="39" t="str">
        <f>IF('📅 Harian'!$A57="","",'📅 Harian'!$A57)</f>
        <v/>
      </c>
      <c r="E59" s="40" t="str">
        <f>IF('📅 Harian'!$A57="","",'📅 Harian'!$C57)</f>
        <v/>
      </c>
    </row>
    <row r="60" spans="1:5">
      <c r="A60" s="39" t="str">
        <f>IF('📅 Harian'!$A58="","",'📅 Harian'!$A58)</f>
        <v/>
      </c>
      <c r="B60" s="40" t="str">
        <f>IF('📅 Harian'!$A58="","",'📅 Harian'!$G58)</f>
        <v/>
      </c>
      <c r="D60" s="39" t="str">
        <f>IF('📅 Harian'!$A58="","",'📅 Harian'!$A58)</f>
        <v/>
      </c>
      <c r="E60" s="40" t="str">
        <f>IF('📅 Harian'!$A58="","",'📅 Harian'!$C58)</f>
        <v/>
      </c>
    </row>
    <row r="61" spans="1:5">
      <c r="A61" s="39" t="str">
        <f>IF('📅 Harian'!$A59="","",'📅 Harian'!$A59)</f>
        <v/>
      </c>
      <c r="B61" s="40" t="str">
        <f>IF('📅 Harian'!$A59="","",'📅 Harian'!$G59)</f>
        <v/>
      </c>
      <c r="D61" s="39" t="str">
        <f>IF('📅 Harian'!$A59="","",'📅 Harian'!$A59)</f>
        <v/>
      </c>
      <c r="E61" s="40" t="str">
        <f>IF('📅 Harian'!$A59="","",'📅 Harian'!$C59)</f>
        <v/>
      </c>
    </row>
    <row r="62" spans="1:5">
      <c r="A62" s="39" t="str">
        <f>IF('📅 Harian'!$A60="","",'📅 Harian'!$A60)</f>
        <v/>
      </c>
      <c r="B62" s="40" t="str">
        <f>IF('📅 Harian'!$A60="","",'📅 Harian'!$G60)</f>
        <v/>
      </c>
      <c r="D62" s="39" t="str">
        <f>IF('📅 Harian'!$A60="","",'📅 Harian'!$A60)</f>
        <v/>
      </c>
      <c r="E62" s="40" t="str">
        <f>IF('📅 Harian'!$A60="","",'📅 Harian'!$C60)</f>
        <v/>
      </c>
    </row>
    <row r="63" spans="1:5">
      <c r="A63" s="39" t="str">
        <f>IF('📅 Harian'!$A61="","",'📅 Harian'!$A61)</f>
        <v/>
      </c>
      <c r="B63" s="40" t="str">
        <f>IF('📅 Harian'!$A61="","",'📅 Harian'!$G61)</f>
        <v/>
      </c>
      <c r="D63" s="39" t="str">
        <f>IF('📅 Harian'!$A61="","",'📅 Harian'!$A61)</f>
        <v/>
      </c>
      <c r="E63" s="40" t="str">
        <f>IF('📅 Harian'!$A61="","",'📅 Harian'!$C61)</f>
        <v/>
      </c>
    </row>
    <row r="64" spans="1:5">
      <c r="A64" s="39" t="str">
        <f>IF('📅 Harian'!$A62="","",'📅 Harian'!$A62)</f>
        <v/>
      </c>
      <c r="B64" s="40" t="str">
        <f>IF('📅 Harian'!$A62="","",'📅 Harian'!$G62)</f>
        <v/>
      </c>
      <c r="D64" s="39" t="str">
        <f>IF('📅 Harian'!$A62="","",'📅 Harian'!$A62)</f>
        <v/>
      </c>
      <c r="E64" s="40" t="str">
        <f>IF('📅 Harian'!$A62="","",'📅 Harian'!$C62)</f>
        <v/>
      </c>
    </row>
    <row r="65" spans="1:5">
      <c r="A65" s="39" t="str">
        <f>IF('📅 Harian'!$A63="","",'📅 Harian'!$A63)</f>
        <v/>
      </c>
      <c r="B65" s="40" t="str">
        <f>IF('📅 Harian'!$A63="","",'📅 Harian'!$G63)</f>
        <v/>
      </c>
      <c r="D65" s="39" t="str">
        <f>IF('📅 Harian'!$A63="","",'📅 Harian'!$A63)</f>
        <v/>
      </c>
      <c r="E65" s="40" t="str">
        <f>IF('📅 Harian'!$A63="","",'📅 Harian'!$C63)</f>
        <v/>
      </c>
    </row>
    <row r="66" spans="1:5">
      <c r="A66" s="39" t="str">
        <f>IF('📅 Harian'!$A64="","",'📅 Harian'!$A64)</f>
        <v/>
      </c>
      <c r="B66" s="40" t="str">
        <f>IF('📅 Harian'!$A64="","",'📅 Harian'!$G64)</f>
        <v/>
      </c>
      <c r="D66" s="39" t="str">
        <f>IF('📅 Harian'!$A64="","",'📅 Harian'!$A64)</f>
        <v/>
      </c>
      <c r="E66" s="40" t="str">
        <f>IF('📅 Harian'!$A64="","",'📅 Harian'!$C64)</f>
        <v/>
      </c>
    </row>
    <row r="67" spans="1:5">
      <c r="A67" s="39" t="str">
        <f>IF('📅 Harian'!$A65="","",'📅 Harian'!$A65)</f>
        <v/>
      </c>
      <c r="B67" s="40" t="str">
        <f>IF('📅 Harian'!$A65="","",'📅 Harian'!$G65)</f>
        <v/>
      </c>
      <c r="D67" s="39" t="str">
        <f>IF('📅 Harian'!$A65="","",'📅 Harian'!$A65)</f>
        <v/>
      </c>
      <c r="E67" s="40" t="str">
        <f>IF('📅 Harian'!$A65="","",'📅 Harian'!$C65)</f>
        <v/>
      </c>
    </row>
    <row r="68" spans="1:5">
      <c r="A68" s="39" t="str">
        <f>IF('📅 Harian'!$A66="","",'📅 Harian'!$A66)</f>
        <v/>
      </c>
      <c r="B68" s="40" t="str">
        <f>IF('📅 Harian'!$A66="","",'📅 Harian'!$G66)</f>
        <v/>
      </c>
      <c r="D68" s="39" t="str">
        <f>IF('📅 Harian'!$A66="","",'📅 Harian'!$A66)</f>
        <v/>
      </c>
      <c r="E68" s="40" t="str">
        <f>IF('📅 Harian'!$A66="","",'📅 Harian'!$C66)</f>
        <v/>
      </c>
    </row>
    <row r="69" spans="1:5">
      <c r="A69" s="39" t="str">
        <f>IF('📅 Harian'!$A67="","",'📅 Harian'!$A67)</f>
        <v/>
      </c>
      <c r="B69" s="40" t="str">
        <f>IF('📅 Harian'!$A67="","",'📅 Harian'!$G67)</f>
        <v/>
      </c>
      <c r="D69" s="39" t="str">
        <f>IF('📅 Harian'!$A67="","",'📅 Harian'!$A67)</f>
        <v/>
      </c>
      <c r="E69" s="40" t="str">
        <f>IF('📅 Harian'!$A67="","",'📅 Harian'!$C67)</f>
        <v/>
      </c>
    </row>
    <row r="70" spans="1:5">
      <c r="A70" s="39" t="str">
        <f>IF('📅 Harian'!$A68="","",'📅 Harian'!$A68)</f>
        <v/>
      </c>
      <c r="B70" s="40" t="str">
        <f>IF('📅 Harian'!$A68="","",'📅 Harian'!$G68)</f>
        <v/>
      </c>
      <c r="D70" s="39" t="str">
        <f>IF('📅 Harian'!$A68="","",'📅 Harian'!$A68)</f>
        <v/>
      </c>
      <c r="E70" s="40" t="str">
        <f>IF('📅 Harian'!$A68="","",'📅 Harian'!$C68)</f>
        <v/>
      </c>
    </row>
    <row r="71" spans="1:5">
      <c r="A71" s="39" t="str">
        <f>IF('📅 Harian'!$A69="","",'📅 Harian'!$A69)</f>
        <v/>
      </c>
      <c r="B71" s="40" t="str">
        <f>IF('📅 Harian'!$A69="","",'📅 Harian'!$G69)</f>
        <v/>
      </c>
      <c r="D71" s="39" t="str">
        <f>IF('📅 Harian'!$A69="","",'📅 Harian'!$A69)</f>
        <v/>
      </c>
      <c r="E71" s="40" t="str">
        <f>IF('📅 Harian'!$A69="","",'📅 Harian'!$C69)</f>
        <v/>
      </c>
    </row>
    <row r="72" spans="1:5">
      <c r="A72" s="39" t="str">
        <f>IF('📅 Harian'!$A70="","",'📅 Harian'!$A70)</f>
        <v/>
      </c>
      <c r="B72" s="40" t="str">
        <f>IF('📅 Harian'!$A70="","",'📅 Harian'!$G70)</f>
        <v/>
      </c>
      <c r="D72" s="39" t="str">
        <f>IF('📅 Harian'!$A70="","",'📅 Harian'!$A70)</f>
        <v/>
      </c>
      <c r="E72" s="40" t="str">
        <f>IF('📅 Harian'!$A70="","",'📅 Harian'!$C70)</f>
        <v/>
      </c>
    </row>
    <row r="73" spans="1:5">
      <c r="A73" s="39" t="str">
        <f>IF('📅 Harian'!$A71="","",'📅 Harian'!$A71)</f>
        <v/>
      </c>
      <c r="B73" s="40" t="str">
        <f>IF('📅 Harian'!$A71="","",'📅 Harian'!$G71)</f>
        <v/>
      </c>
      <c r="D73" s="39" t="str">
        <f>IF('📅 Harian'!$A71="","",'📅 Harian'!$A71)</f>
        <v/>
      </c>
      <c r="E73" s="40" t="str">
        <f>IF('📅 Harian'!$A71="","",'📅 Harian'!$C71)</f>
        <v/>
      </c>
    </row>
    <row r="74" spans="1:5">
      <c r="A74" s="39" t="str">
        <f>IF('📅 Harian'!$A72="","",'📅 Harian'!$A72)</f>
        <v/>
      </c>
      <c r="B74" s="40" t="str">
        <f>IF('📅 Harian'!$A72="","",'📅 Harian'!$G72)</f>
        <v/>
      </c>
      <c r="D74" s="39" t="str">
        <f>IF('📅 Harian'!$A72="","",'📅 Harian'!$A72)</f>
        <v/>
      </c>
      <c r="E74" s="40" t="str">
        <f>IF('📅 Harian'!$A72="","",'📅 Harian'!$C72)</f>
        <v/>
      </c>
    </row>
    <row r="75" spans="1:5">
      <c r="A75" s="39" t="str">
        <f>IF('📅 Harian'!$A73="","",'📅 Harian'!$A73)</f>
        <v/>
      </c>
      <c r="B75" s="40" t="str">
        <f>IF('📅 Harian'!$A73="","",'📅 Harian'!$G73)</f>
        <v/>
      </c>
      <c r="D75" s="39" t="str">
        <f>IF('📅 Harian'!$A73="","",'📅 Harian'!$A73)</f>
        <v/>
      </c>
      <c r="E75" s="40" t="str">
        <f>IF('📅 Harian'!$A73="","",'📅 Harian'!$C73)</f>
        <v/>
      </c>
    </row>
    <row r="76" spans="1:5">
      <c r="A76" s="39" t="str">
        <f>IF('📅 Harian'!$A74="","",'📅 Harian'!$A74)</f>
        <v/>
      </c>
      <c r="B76" s="40" t="str">
        <f>IF('📅 Harian'!$A74="","",'📅 Harian'!$G74)</f>
        <v/>
      </c>
      <c r="D76" s="39" t="str">
        <f>IF('📅 Harian'!$A74="","",'📅 Harian'!$A74)</f>
        <v/>
      </c>
      <c r="E76" s="40" t="str">
        <f>IF('📅 Harian'!$A74="","",'📅 Harian'!$C74)</f>
        <v/>
      </c>
    </row>
    <row r="77" spans="1:5">
      <c r="A77" s="39" t="str">
        <f>IF('📅 Harian'!$A75="","",'📅 Harian'!$A75)</f>
        <v/>
      </c>
      <c r="B77" s="40" t="str">
        <f>IF('📅 Harian'!$A75="","",'📅 Harian'!$G75)</f>
        <v/>
      </c>
      <c r="D77" s="39" t="str">
        <f>IF('📅 Harian'!$A75="","",'📅 Harian'!$A75)</f>
        <v/>
      </c>
      <c r="E77" s="40" t="str">
        <f>IF('📅 Harian'!$A75="","",'📅 Harian'!$C75)</f>
        <v/>
      </c>
    </row>
    <row r="78" spans="1:5">
      <c r="A78" s="39" t="str">
        <f>IF('📅 Harian'!$A76="","",'📅 Harian'!$A76)</f>
        <v/>
      </c>
      <c r="B78" s="40" t="str">
        <f>IF('📅 Harian'!$A76="","",'📅 Harian'!$G76)</f>
        <v/>
      </c>
      <c r="D78" s="39" t="str">
        <f>IF('📅 Harian'!$A76="","",'📅 Harian'!$A76)</f>
        <v/>
      </c>
      <c r="E78" s="40" t="str">
        <f>IF('📅 Harian'!$A76="","",'📅 Harian'!$C76)</f>
        <v/>
      </c>
    </row>
    <row r="79" spans="1:5">
      <c r="A79" s="39" t="str">
        <f>IF('📅 Harian'!$A77="","",'📅 Harian'!$A77)</f>
        <v/>
      </c>
      <c r="B79" s="40" t="str">
        <f>IF('📅 Harian'!$A77="","",'📅 Harian'!$G77)</f>
        <v/>
      </c>
      <c r="D79" s="39" t="str">
        <f>IF('📅 Harian'!$A77="","",'📅 Harian'!$A77)</f>
        <v/>
      </c>
      <c r="E79" s="40" t="str">
        <f>IF('📅 Harian'!$A77="","",'📅 Harian'!$C77)</f>
        <v/>
      </c>
    </row>
    <row r="80" spans="1:5">
      <c r="A80" s="39" t="str">
        <f>IF('📅 Harian'!$A78="","",'📅 Harian'!$A78)</f>
        <v/>
      </c>
      <c r="B80" s="40" t="str">
        <f>IF('📅 Harian'!$A78="","",'📅 Harian'!$G78)</f>
        <v/>
      </c>
      <c r="D80" s="39" t="str">
        <f>IF('📅 Harian'!$A78="","",'📅 Harian'!$A78)</f>
        <v/>
      </c>
      <c r="E80" s="40" t="str">
        <f>IF('📅 Harian'!$A78="","",'📅 Harian'!$C78)</f>
        <v/>
      </c>
    </row>
    <row r="81" spans="1:5">
      <c r="A81" s="39" t="str">
        <f>IF('📅 Harian'!$A79="","",'📅 Harian'!$A79)</f>
        <v/>
      </c>
      <c r="B81" s="40" t="str">
        <f>IF('📅 Harian'!$A79="","",'📅 Harian'!$G79)</f>
        <v/>
      </c>
      <c r="D81" s="39" t="str">
        <f>IF('📅 Harian'!$A79="","",'📅 Harian'!$A79)</f>
        <v/>
      </c>
      <c r="E81" s="40" t="str">
        <f>IF('📅 Harian'!$A79="","",'📅 Harian'!$C79)</f>
        <v/>
      </c>
    </row>
    <row r="82" spans="1:5">
      <c r="A82" s="39" t="str">
        <f>IF('📅 Harian'!$A80="","",'📅 Harian'!$A80)</f>
        <v/>
      </c>
      <c r="B82" s="40" t="str">
        <f>IF('📅 Harian'!$A80="","",'📅 Harian'!$G80)</f>
        <v/>
      </c>
      <c r="D82" s="39" t="str">
        <f>IF('📅 Harian'!$A80="","",'📅 Harian'!$A80)</f>
        <v/>
      </c>
      <c r="E82" s="40" t="str">
        <f>IF('📅 Harian'!$A80="","",'📅 Harian'!$C80)</f>
        <v/>
      </c>
    </row>
    <row r="83" spans="1:5">
      <c r="A83" s="39" t="str">
        <f>IF('📅 Harian'!$A81="","",'📅 Harian'!$A81)</f>
        <v/>
      </c>
      <c r="B83" s="40" t="str">
        <f>IF('📅 Harian'!$A81="","",'📅 Harian'!$G81)</f>
        <v/>
      </c>
      <c r="D83" s="39" t="str">
        <f>IF('📅 Harian'!$A81="","",'📅 Harian'!$A81)</f>
        <v/>
      </c>
      <c r="E83" s="40" t="str">
        <f>IF('📅 Harian'!$A81="","",'📅 Harian'!$C81)</f>
        <v/>
      </c>
    </row>
    <row r="84" spans="1:5">
      <c r="A84" s="39" t="str">
        <f>IF('📅 Harian'!$A82="","",'📅 Harian'!$A82)</f>
        <v/>
      </c>
      <c r="B84" s="40" t="str">
        <f>IF('📅 Harian'!$A82="","",'📅 Harian'!$G82)</f>
        <v/>
      </c>
      <c r="D84" s="39" t="str">
        <f>IF('📅 Harian'!$A82="","",'📅 Harian'!$A82)</f>
        <v/>
      </c>
      <c r="E84" s="40" t="str">
        <f>IF('📅 Harian'!$A82="","",'📅 Harian'!$C82)</f>
        <v/>
      </c>
    </row>
    <row r="85" spans="1:5">
      <c r="A85" s="39" t="str">
        <f>IF('📅 Harian'!$A83="","",'📅 Harian'!$A83)</f>
        <v/>
      </c>
      <c r="B85" s="40" t="str">
        <f>IF('📅 Harian'!$A83="","",'📅 Harian'!$G83)</f>
        <v/>
      </c>
      <c r="D85" s="39" t="str">
        <f>IF('📅 Harian'!$A83="","",'📅 Harian'!$A83)</f>
        <v/>
      </c>
      <c r="E85" s="40" t="str">
        <f>IF('📅 Harian'!$A83="","",'📅 Harian'!$C83)</f>
        <v/>
      </c>
    </row>
    <row r="86" spans="1:5">
      <c r="A86" s="39" t="str">
        <f>IF('📅 Harian'!$A84="","",'📅 Harian'!$A84)</f>
        <v/>
      </c>
      <c r="B86" s="40" t="str">
        <f>IF('📅 Harian'!$A84="","",'📅 Harian'!$G84)</f>
        <v/>
      </c>
      <c r="D86" s="39" t="str">
        <f>IF('📅 Harian'!$A84="","",'📅 Harian'!$A84)</f>
        <v/>
      </c>
      <c r="E86" s="40" t="str">
        <f>IF('📅 Harian'!$A84="","",'📅 Harian'!$C84)</f>
        <v/>
      </c>
    </row>
    <row r="87" spans="1:5">
      <c r="A87" s="39" t="str">
        <f>IF('📅 Harian'!$A85="","",'📅 Harian'!$A85)</f>
        <v/>
      </c>
      <c r="B87" s="40" t="str">
        <f>IF('📅 Harian'!$A85="","",'📅 Harian'!$G85)</f>
        <v/>
      </c>
      <c r="D87" s="39" t="str">
        <f>IF('📅 Harian'!$A85="","",'📅 Harian'!$A85)</f>
        <v/>
      </c>
      <c r="E87" s="40" t="str">
        <f>IF('📅 Harian'!$A85="","",'📅 Harian'!$C85)</f>
        <v/>
      </c>
    </row>
    <row r="88" spans="1:5">
      <c r="A88" s="39" t="str">
        <f>IF('📅 Harian'!$A86="","",'📅 Harian'!$A86)</f>
        <v/>
      </c>
      <c r="B88" s="40" t="str">
        <f>IF('📅 Harian'!$A86="","",'📅 Harian'!$G86)</f>
        <v/>
      </c>
      <c r="D88" s="39" t="str">
        <f>IF('📅 Harian'!$A86="","",'📅 Harian'!$A86)</f>
        <v/>
      </c>
      <c r="E88" s="40" t="str">
        <f>IF('📅 Harian'!$A86="","",'📅 Harian'!$C86)</f>
        <v/>
      </c>
    </row>
    <row r="89" spans="1:5">
      <c r="A89" s="39" t="str">
        <f>IF('📅 Harian'!$A87="","",'📅 Harian'!$A87)</f>
        <v/>
      </c>
      <c r="B89" s="40" t="str">
        <f>IF('📅 Harian'!$A87="","",'📅 Harian'!$G87)</f>
        <v/>
      </c>
      <c r="D89" s="39" t="str">
        <f>IF('📅 Harian'!$A87="","",'📅 Harian'!$A87)</f>
        <v/>
      </c>
      <c r="E89" s="40" t="str">
        <f>IF('📅 Harian'!$A87="","",'📅 Harian'!$C87)</f>
        <v/>
      </c>
    </row>
    <row r="90" spans="1:5">
      <c r="A90" s="39" t="str">
        <f>IF('📅 Harian'!$A88="","",'📅 Harian'!$A88)</f>
        <v/>
      </c>
      <c r="B90" s="40" t="str">
        <f>IF('📅 Harian'!$A88="","",'📅 Harian'!$G88)</f>
        <v/>
      </c>
      <c r="D90" s="39" t="str">
        <f>IF('📅 Harian'!$A88="","",'📅 Harian'!$A88)</f>
        <v/>
      </c>
      <c r="E90" s="40" t="str">
        <f>IF('📅 Harian'!$A88="","",'📅 Harian'!$C88)</f>
        <v/>
      </c>
    </row>
    <row r="91" spans="1:5">
      <c r="A91" s="39" t="str">
        <f>IF('📅 Harian'!$A89="","",'📅 Harian'!$A89)</f>
        <v/>
      </c>
      <c r="B91" s="40" t="str">
        <f>IF('📅 Harian'!$A89="","",'📅 Harian'!$G89)</f>
        <v/>
      </c>
      <c r="D91" s="39" t="str">
        <f>IF('📅 Harian'!$A89="","",'📅 Harian'!$A89)</f>
        <v/>
      </c>
      <c r="E91" s="40" t="str">
        <f>IF('📅 Harian'!$A89="","",'📅 Harian'!$C89)</f>
        <v/>
      </c>
    </row>
    <row r="92" spans="1:5">
      <c r="A92" s="39" t="str">
        <f>IF('📅 Harian'!$A90="","",'📅 Harian'!$A90)</f>
        <v/>
      </c>
      <c r="B92" s="40" t="str">
        <f>IF('📅 Harian'!$A90="","",'📅 Harian'!$G90)</f>
        <v/>
      </c>
      <c r="D92" s="39" t="str">
        <f>IF('📅 Harian'!$A90="","",'📅 Harian'!$A90)</f>
        <v/>
      </c>
      <c r="E92" s="40" t="str">
        <f>IF('📅 Harian'!$A90="","",'📅 Harian'!$C90)</f>
        <v/>
      </c>
    </row>
    <row r="93" spans="1:5">
      <c r="A93" s="39" t="str">
        <f>IF('📅 Harian'!$A91="","",'📅 Harian'!$A91)</f>
        <v/>
      </c>
      <c r="B93" s="40" t="str">
        <f>IF('📅 Harian'!$A91="","",'📅 Harian'!$G91)</f>
        <v/>
      </c>
      <c r="D93" s="39" t="str">
        <f>IF('📅 Harian'!$A91="","",'📅 Harian'!$A91)</f>
        <v/>
      </c>
      <c r="E93" s="40" t="str">
        <f>IF('📅 Harian'!$A91="","",'📅 Harian'!$C91)</f>
        <v/>
      </c>
    </row>
    <row r="94" spans="1:5">
      <c r="A94" s="39" t="str">
        <f>IF('📅 Harian'!$A92="","",'📅 Harian'!$A92)</f>
        <v/>
      </c>
      <c r="B94" s="40" t="str">
        <f>IF('📅 Harian'!$A92="","",'📅 Harian'!$G92)</f>
        <v/>
      </c>
      <c r="D94" s="39" t="str">
        <f>IF('📅 Harian'!$A92="","",'📅 Harian'!$A92)</f>
        <v/>
      </c>
      <c r="E94" s="40" t="str">
        <f>IF('📅 Harian'!$A92="","",'📅 Harian'!$C92)</f>
        <v/>
      </c>
    </row>
    <row r="95" spans="1:5">
      <c r="A95" s="39" t="str">
        <f>IF('📅 Harian'!$A93="","",'📅 Harian'!$A93)</f>
        <v/>
      </c>
      <c r="B95" s="40" t="str">
        <f>IF('📅 Harian'!$A93="","",'📅 Harian'!$G93)</f>
        <v/>
      </c>
      <c r="D95" s="39" t="str">
        <f>IF('📅 Harian'!$A93="","",'📅 Harian'!$A93)</f>
        <v/>
      </c>
      <c r="E95" s="40" t="str">
        <f>IF('📅 Harian'!$A93="","",'📅 Harian'!$C93)</f>
        <v/>
      </c>
    </row>
    <row r="96" spans="1:5">
      <c r="A96" s="39" t="str">
        <f>IF('📅 Harian'!$A94="","",'📅 Harian'!$A94)</f>
        <v/>
      </c>
      <c r="B96" s="40" t="str">
        <f>IF('📅 Harian'!$A94="","",'📅 Harian'!$G94)</f>
        <v/>
      </c>
      <c r="D96" s="39" t="str">
        <f>IF('📅 Harian'!$A94="","",'📅 Harian'!$A94)</f>
        <v/>
      </c>
      <c r="E96" s="40" t="str">
        <f>IF('📅 Harian'!$A94="","",'📅 Harian'!$C94)</f>
        <v/>
      </c>
    </row>
    <row r="97" spans="1:5">
      <c r="A97" s="39" t="str">
        <f>IF('📅 Harian'!$A95="","",'📅 Harian'!$A95)</f>
        <v/>
      </c>
      <c r="B97" s="40" t="str">
        <f>IF('📅 Harian'!$A95="","",'📅 Harian'!$G95)</f>
        <v/>
      </c>
      <c r="D97" s="39" t="str">
        <f>IF('📅 Harian'!$A95="","",'📅 Harian'!$A95)</f>
        <v/>
      </c>
      <c r="E97" s="40" t="str">
        <f>IF('📅 Harian'!$A95="","",'📅 Harian'!$C95)</f>
        <v/>
      </c>
    </row>
    <row r="98" spans="1:5">
      <c r="A98" s="39" t="str">
        <f>IF('📅 Harian'!$A96="","",'📅 Harian'!$A96)</f>
        <v/>
      </c>
      <c r="B98" s="40" t="str">
        <f>IF('📅 Harian'!$A96="","",'📅 Harian'!$G96)</f>
        <v/>
      </c>
      <c r="D98" s="39" t="str">
        <f>IF('📅 Harian'!$A96="","",'📅 Harian'!$A96)</f>
        <v/>
      </c>
      <c r="E98" s="40" t="str">
        <f>IF('📅 Harian'!$A96="","",'📅 Harian'!$C96)</f>
        <v/>
      </c>
    </row>
    <row r="99" spans="1:5">
      <c r="A99" s="39" t="str">
        <f>IF('📅 Harian'!$A97="","",'📅 Harian'!$A97)</f>
        <v/>
      </c>
      <c r="B99" s="40" t="str">
        <f>IF('📅 Harian'!$A97="","",'📅 Harian'!$G97)</f>
        <v/>
      </c>
      <c r="D99" s="39" t="str">
        <f>IF('📅 Harian'!$A97="","",'📅 Harian'!$A97)</f>
        <v/>
      </c>
      <c r="E99" s="40" t="str">
        <f>IF('📅 Harian'!$A97="","",'📅 Harian'!$C97)</f>
        <v/>
      </c>
    </row>
    <row r="100" spans="1:5">
      <c r="A100" s="39" t="str">
        <f>IF('📅 Harian'!$A98="","",'📅 Harian'!$A98)</f>
        <v/>
      </c>
      <c r="B100" s="40" t="str">
        <f>IF('📅 Harian'!$A98="","",'📅 Harian'!$G98)</f>
        <v/>
      </c>
      <c r="D100" s="39" t="str">
        <f>IF('📅 Harian'!$A98="","",'📅 Harian'!$A98)</f>
        <v/>
      </c>
      <c r="E100" s="40" t="str">
        <f>IF('📅 Harian'!$A98="","",'📅 Harian'!$C98)</f>
        <v/>
      </c>
    </row>
    <row r="101" spans="1:5">
      <c r="A101" s="39" t="str">
        <f>IF('📅 Harian'!$A99="","",'📅 Harian'!$A99)</f>
        <v/>
      </c>
      <c r="B101" s="40" t="str">
        <f>IF('📅 Harian'!$A99="","",'📅 Harian'!$G99)</f>
        <v/>
      </c>
      <c r="D101" s="39" t="str">
        <f>IF('📅 Harian'!$A99="","",'📅 Harian'!$A99)</f>
        <v/>
      </c>
      <c r="E101" s="40" t="str">
        <f>IF('📅 Harian'!$A99="","",'📅 Harian'!$C99)</f>
        <v/>
      </c>
    </row>
    <row r="102" spans="1:5">
      <c r="A102" s="39" t="str">
        <f>IF('📅 Harian'!$A100="","",'📅 Harian'!$A100)</f>
        <v/>
      </c>
      <c r="B102" s="40" t="str">
        <f>IF('📅 Harian'!$A100="","",'📅 Harian'!$G100)</f>
        <v/>
      </c>
      <c r="D102" s="39" t="str">
        <f>IF('📅 Harian'!$A100="","",'📅 Harian'!$A100)</f>
        <v/>
      </c>
      <c r="E102" s="40" t="str">
        <f>IF('📅 Harian'!$A100="","",'📅 Harian'!$C100)</f>
        <v/>
      </c>
    </row>
    <row r="103" spans="1:5">
      <c r="A103" s="39" t="str">
        <f>IF('📅 Harian'!$A101="","",'📅 Harian'!$A101)</f>
        <v/>
      </c>
      <c r="B103" s="40" t="str">
        <f>IF('📅 Harian'!$A101="","",'📅 Harian'!$G101)</f>
        <v/>
      </c>
      <c r="D103" s="39" t="str">
        <f>IF('📅 Harian'!$A101="","",'📅 Harian'!$A101)</f>
        <v/>
      </c>
      <c r="E103" s="40" t="str">
        <f>IF('📅 Harian'!$A101="","",'📅 Harian'!$C101)</f>
        <v/>
      </c>
    </row>
    <row r="104" spans="1:5">
      <c r="A104" s="39" t="str">
        <f>IF('📅 Harian'!$A102="","",'📅 Harian'!$A102)</f>
        <v/>
      </c>
      <c r="B104" s="40" t="str">
        <f>IF('📅 Harian'!$A102="","",'📅 Harian'!$G102)</f>
        <v/>
      </c>
      <c r="D104" s="39" t="str">
        <f>IF('📅 Harian'!$A102="","",'📅 Harian'!$A102)</f>
        <v/>
      </c>
      <c r="E104" s="40" t="str">
        <f>IF('📅 Harian'!$A102="","",'📅 Harian'!$C102)</f>
        <v/>
      </c>
    </row>
    <row r="105" spans="1:5">
      <c r="A105" s="39" t="str">
        <f>IF('📅 Harian'!$A103="","",'📅 Harian'!$A103)</f>
        <v/>
      </c>
      <c r="B105" s="40" t="str">
        <f>IF('📅 Harian'!$A103="","",'📅 Harian'!$G103)</f>
        <v/>
      </c>
      <c r="D105" s="39" t="str">
        <f>IF('📅 Harian'!$A103="","",'📅 Harian'!$A103)</f>
        <v/>
      </c>
      <c r="E105" s="40" t="str">
        <f>IF('📅 Harian'!$A103="","",'📅 Harian'!$C103)</f>
        <v/>
      </c>
    </row>
    <row r="106" spans="1:5">
      <c r="A106" s="39" t="str">
        <f>IF('📅 Harian'!$A104="","",'📅 Harian'!$A104)</f>
        <v/>
      </c>
      <c r="B106" s="40" t="str">
        <f>IF('📅 Harian'!$A104="","",'📅 Harian'!$G104)</f>
        <v/>
      </c>
      <c r="D106" s="39" t="str">
        <f>IF('📅 Harian'!$A104="","",'📅 Harian'!$A104)</f>
        <v/>
      </c>
      <c r="E106" s="40" t="str">
        <f>IF('📅 Harian'!$A104="","",'📅 Harian'!$C104)</f>
        <v/>
      </c>
    </row>
    <row r="107" spans="1:5">
      <c r="A107" s="39" t="str">
        <f>IF('📅 Harian'!$A105="","",'📅 Harian'!$A105)</f>
        <v/>
      </c>
      <c r="B107" s="40" t="str">
        <f>IF('📅 Harian'!$A105="","",'📅 Harian'!$G105)</f>
        <v/>
      </c>
      <c r="D107" s="39" t="str">
        <f>IF('📅 Harian'!$A105="","",'📅 Harian'!$A105)</f>
        <v/>
      </c>
      <c r="E107" s="40" t="str">
        <f>IF('📅 Harian'!$A105="","",'📅 Harian'!$C105)</f>
        <v/>
      </c>
    </row>
    <row r="108" spans="1:5">
      <c r="A108" s="39" t="str">
        <f>IF('📅 Harian'!$A106="","",'📅 Harian'!$A106)</f>
        <v/>
      </c>
      <c r="B108" s="40" t="str">
        <f>IF('📅 Harian'!$A106="","",'📅 Harian'!$G106)</f>
        <v/>
      </c>
      <c r="D108" s="39" t="str">
        <f>IF('📅 Harian'!$A106="","",'📅 Harian'!$A106)</f>
        <v/>
      </c>
      <c r="E108" s="40" t="str">
        <f>IF('📅 Harian'!$A106="","",'📅 Harian'!$C106)</f>
        <v/>
      </c>
    </row>
    <row r="109" spans="1:5">
      <c r="A109" s="39" t="str">
        <f>IF('📅 Harian'!$A107="","",'📅 Harian'!$A107)</f>
        <v/>
      </c>
      <c r="B109" s="40" t="str">
        <f>IF('📅 Harian'!$A107="","",'📅 Harian'!$G107)</f>
        <v/>
      </c>
      <c r="D109" s="39" t="str">
        <f>IF('📅 Harian'!$A107="","",'📅 Harian'!$A107)</f>
        <v/>
      </c>
      <c r="E109" s="40" t="str">
        <f>IF('📅 Harian'!$A107="","",'📅 Harian'!$C107)</f>
        <v/>
      </c>
    </row>
    <row r="110" spans="1:5">
      <c r="A110" s="39" t="str">
        <f>IF('📅 Harian'!$A108="","",'📅 Harian'!$A108)</f>
        <v/>
      </c>
      <c r="B110" s="40" t="str">
        <f>IF('📅 Harian'!$A108="","",'📅 Harian'!$G108)</f>
        <v/>
      </c>
      <c r="D110" s="39" t="str">
        <f>IF('📅 Harian'!$A108="","",'📅 Harian'!$A108)</f>
        <v/>
      </c>
      <c r="E110" s="40" t="str">
        <f>IF('📅 Harian'!$A108="","",'📅 Harian'!$C108)</f>
        <v/>
      </c>
    </row>
    <row r="111" spans="1:5">
      <c r="A111" s="39" t="str">
        <f>IF('📅 Harian'!$A109="","",'📅 Harian'!$A109)</f>
        <v/>
      </c>
      <c r="B111" s="40" t="str">
        <f>IF('📅 Harian'!$A109="","",'📅 Harian'!$G109)</f>
        <v/>
      </c>
      <c r="D111" s="39" t="str">
        <f>IF('📅 Harian'!$A109="","",'📅 Harian'!$A109)</f>
        <v/>
      </c>
      <c r="E111" s="40" t="str">
        <f>IF('📅 Harian'!$A109="","",'📅 Harian'!$C109)</f>
        <v/>
      </c>
    </row>
    <row r="112" spans="1:5">
      <c r="A112" s="39" t="str">
        <f>IF('📅 Harian'!$A110="","",'📅 Harian'!$A110)</f>
        <v/>
      </c>
      <c r="B112" s="40" t="str">
        <f>IF('📅 Harian'!$A110="","",'📅 Harian'!$G110)</f>
        <v/>
      </c>
      <c r="D112" s="39" t="str">
        <f>IF('📅 Harian'!$A110="","",'📅 Harian'!$A110)</f>
        <v/>
      </c>
      <c r="E112" s="40" t="str">
        <f>IF('📅 Harian'!$A110="","",'📅 Harian'!$C110)</f>
        <v/>
      </c>
    </row>
    <row r="113" spans="1:5">
      <c r="A113" s="39" t="str">
        <f>IF('📅 Harian'!$A111="","",'📅 Harian'!$A111)</f>
        <v/>
      </c>
      <c r="B113" s="40" t="str">
        <f>IF('📅 Harian'!$A111="","",'📅 Harian'!$G111)</f>
        <v/>
      </c>
      <c r="D113" s="39" t="str">
        <f>IF('📅 Harian'!$A111="","",'📅 Harian'!$A111)</f>
        <v/>
      </c>
      <c r="E113" s="40" t="str">
        <f>IF('📅 Harian'!$A111="","",'📅 Harian'!$C111)</f>
        <v/>
      </c>
    </row>
    <row r="114" spans="1:5">
      <c r="A114" s="39" t="str">
        <f>IF('📅 Harian'!$A112="","",'📅 Harian'!$A112)</f>
        <v/>
      </c>
      <c r="B114" s="40" t="str">
        <f>IF('📅 Harian'!$A112="","",'📅 Harian'!$G112)</f>
        <v/>
      </c>
      <c r="D114" s="39" t="str">
        <f>IF('📅 Harian'!$A112="","",'📅 Harian'!$A112)</f>
        <v/>
      </c>
      <c r="E114" s="40" t="str">
        <f>IF('📅 Harian'!$A112="","",'📅 Harian'!$C112)</f>
        <v/>
      </c>
    </row>
    <row r="115" spans="1:5">
      <c r="A115" s="39" t="str">
        <f>IF('📅 Harian'!$A113="","",'📅 Harian'!$A113)</f>
        <v/>
      </c>
      <c r="B115" s="40" t="str">
        <f>IF('📅 Harian'!$A113="","",'📅 Harian'!$G113)</f>
        <v/>
      </c>
      <c r="D115" s="39" t="str">
        <f>IF('📅 Harian'!$A113="","",'📅 Harian'!$A113)</f>
        <v/>
      </c>
      <c r="E115" s="40" t="str">
        <f>IF('📅 Harian'!$A113="","",'📅 Harian'!$C113)</f>
        <v/>
      </c>
    </row>
    <row r="116" spans="1:5">
      <c r="A116" s="39" t="str">
        <f>IF('📅 Harian'!$A114="","",'📅 Harian'!$A114)</f>
        <v/>
      </c>
      <c r="B116" s="40" t="str">
        <f>IF('📅 Harian'!$A114="","",'📅 Harian'!$G114)</f>
        <v/>
      </c>
      <c r="D116" s="39" t="str">
        <f>IF('📅 Harian'!$A114="","",'📅 Harian'!$A114)</f>
        <v/>
      </c>
      <c r="E116" s="40" t="str">
        <f>IF('📅 Harian'!$A114="","",'📅 Harian'!$C114)</f>
        <v/>
      </c>
    </row>
    <row r="117" spans="1:5">
      <c r="A117" s="39" t="str">
        <f>IF('📅 Harian'!$A115="","",'📅 Harian'!$A115)</f>
        <v/>
      </c>
      <c r="B117" s="40" t="str">
        <f>IF('📅 Harian'!$A115="","",'📅 Harian'!$G115)</f>
        <v/>
      </c>
      <c r="D117" s="39" t="str">
        <f>IF('📅 Harian'!$A115="","",'📅 Harian'!$A115)</f>
        <v/>
      </c>
      <c r="E117" s="40" t="str">
        <f>IF('📅 Harian'!$A115="","",'📅 Harian'!$C115)</f>
        <v/>
      </c>
    </row>
    <row r="118" spans="1:5">
      <c r="A118" s="39" t="str">
        <f>IF('📅 Harian'!$A116="","",'📅 Harian'!$A116)</f>
        <v/>
      </c>
      <c r="B118" s="40" t="str">
        <f>IF('📅 Harian'!$A116="","",'📅 Harian'!$G116)</f>
        <v/>
      </c>
      <c r="D118" s="39" t="str">
        <f>IF('📅 Harian'!$A116="","",'📅 Harian'!$A116)</f>
        <v/>
      </c>
      <c r="E118" s="40" t="str">
        <f>IF('📅 Harian'!$A116="","",'📅 Harian'!$C116)</f>
        <v/>
      </c>
    </row>
    <row r="119" spans="1:5">
      <c r="A119" s="39" t="str">
        <f>IF('📅 Harian'!$A117="","",'📅 Harian'!$A117)</f>
        <v/>
      </c>
      <c r="B119" s="40" t="str">
        <f>IF('📅 Harian'!$A117="","",'📅 Harian'!$G117)</f>
        <v/>
      </c>
      <c r="D119" s="39" t="str">
        <f>IF('📅 Harian'!$A117="","",'📅 Harian'!$A117)</f>
        <v/>
      </c>
      <c r="E119" s="40" t="str">
        <f>IF('📅 Harian'!$A117="","",'📅 Harian'!$C117)</f>
        <v/>
      </c>
    </row>
    <row r="120" spans="1:5">
      <c r="A120" s="39" t="str">
        <f>IF('📅 Harian'!$A118="","",'📅 Harian'!$A118)</f>
        <v/>
      </c>
      <c r="B120" s="40" t="str">
        <f>IF('📅 Harian'!$A118="","",'📅 Harian'!$G118)</f>
        <v/>
      </c>
      <c r="D120" s="39" t="str">
        <f>IF('📅 Harian'!$A118="","",'📅 Harian'!$A118)</f>
        <v/>
      </c>
      <c r="E120" s="40" t="str">
        <f>IF('📅 Harian'!$A118="","",'📅 Harian'!$C118)</f>
        <v/>
      </c>
    </row>
    <row r="121" spans="1:5">
      <c r="A121" s="39" t="str">
        <f>IF('📅 Harian'!$A119="","",'📅 Harian'!$A119)</f>
        <v/>
      </c>
      <c r="B121" s="40" t="str">
        <f>IF('📅 Harian'!$A119="","",'📅 Harian'!$G119)</f>
        <v/>
      </c>
      <c r="D121" s="39" t="str">
        <f>IF('📅 Harian'!$A119="","",'📅 Harian'!$A119)</f>
        <v/>
      </c>
      <c r="E121" s="40" t="str">
        <f>IF('📅 Harian'!$A119="","",'📅 Harian'!$C119)</f>
        <v/>
      </c>
    </row>
    <row r="122" spans="1:5">
      <c r="A122" s="39" t="str">
        <f>IF('📅 Harian'!$A120="","",'📅 Harian'!$A120)</f>
        <v/>
      </c>
      <c r="B122" s="40" t="str">
        <f>IF('📅 Harian'!$A120="","",'📅 Harian'!$G120)</f>
        <v/>
      </c>
      <c r="D122" s="39" t="str">
        <f>IF('📅 Harian'!$A120="","",'📅 Harian'!$A120)</f>
        <v/>
      </c>
      <c r="E122" s="40" t="str">
        <f>IF('📅 Harian'!$A120="","",'📅 Harian'!$C120)</f>
        <v/>
      </c>
    </row>
    <row r="123" spans="1:5">
      <c r="A123" s="39" t="str">
        <f>IF('📅 Harian'!$A121="","",'📅 Harian'!$A121)</f>
        <v/>
      </c>
      <c r="B123" s="40" t="str">
        <f>IF('📅 Harian'!$A121="","",'📅 Harian'!$G121)</f>
        <v/>
      </c>
      <c r="D123" s="39" t="str">
        <f>IF('📅 Harian'!$A121="","",'📅 Harian'!$A121)</f>
        <v/>
      </c>
      <c r="E123" s="40" t="str">
        <f>IF('📅 Harian'!$A121="","",'📅 Harian'!$C121)</f>
        <v/>
      </c>
    </row>
    <row r="124" spans="1:5">
      <c r="A124" s="39" t="str">
        <f>IF('📅 Harian'!$A122="","",'📅 Harian'!$A122)</f>
        <v/>
      </c>
      <c r="B124" s="40" t="str">
        <f>IF('📅 Harian'!$A122="","",'📅 Harian'!$G122)</f>
        <v/>
      </c>
      <c r="D124" s="39" t="str">
        <f>IF('📅 Harian'!$A122="","",'📅 Harian'!$A122)</f>
        <v/>
      </c>
      <c r="E124" s="40" t="str">
        <f>IF('📅 Harian'!$A122="","",'📅 Harian'!$C122)</f>
        <v/>
      </c>
    </row>
    <row r="125" spans="1:5">
      <c r="A125" s="39" t="str">
        <f>IF('📅 Harian'!$A123="","",'📅 Harian'!$A123)</f>
        <v/>
      </c>
      <c r="B125" s="40" t="str">
        <f>IF('📅 Harian'!$A123="","",'📅 Harian'!$G123)</f>
        <v/>
      </c>
      <c r="D125" s="39" t="str">
        <f>IF('📅 Harian'!$A123="","",'📅 Harian'!$A123)</f>
        <v/>
      </c>
      <c r="E125" s="40" t="str">
        <f>IF('📅 Harian'!$A123="","",'📅 Harian'!$C123)</f>
        <v/>
      </c>
    </row>
    <row r="126" spans="1:5">
      <c r="A126" s="39" t="str">
        <f>IF('📅 Harian'!$A124="","",'📅 Harian'!$A124)</f>
        <v/>
      </c>
      <c r="B126" s="40" t="str">
        <f>IF('📅 Harian'!$A124="","",'📅 Harian'!$G124)</f>
        <v/>
      </c>
      <c r="D126" s="39" t="str">
        <f>IF('📅 Harian'!$A124="","",'📅 Harian'!$A124)</f>
        <v/>
      </c>
      <c r="E126" s="40" t="str">
        <f>IF('📅 Harian'!$A124="","",'📅 Harian'!$C124)</f>
        <v/>
      </c>
    </row>
    <row r="127" spans="1:5">
      <c r="A127" s="39" t="str">
        <f>IF('📅 Harian'!$A125="","",'📅 Harian'!$A125)</f>
        <v/>
      </c>
      <c r="B127" s="40" t="str">
        <f>IF('📅 Harian'!$A125="","",'📅 Harian'!$G125)</f>
        <v/>
      </c>
      <c r="D127" s="39" t="str">
        <f>IF('📅 Harian'!$A125="","",'📅 Harian'!$A125)</f>
        <v/>
      </c>
      <c r="E127" s="40" t="str">
        <f>IF('📅 Harian'!$A125="","",'📅 Harian'!$C125)</f>
        <v/>
      </c>
    </row>
    <row r="128" spans="1:5">
      <c r="A128" s="39" t="str">
        <f>IF('📅 Harian'!$A126="","",'📅 Harian'!$A126)</f>
        <v/>
      </c>
      <c r="B128" s="40" t="str">
        <f>IF('📅 Harian'!$A126="","",'📅 Harian'!$G126)</f>
        <v/>
      </c>
      <c r="D128" s="39" t="str">
        <f>IF('📅 Harian'!$A126="","",'📅 Harian'!$A126)</f>
        <v/>
      </c>
      <c r="E128" s="40" t="str">
        <f>IF('📅 Harian'!$A126="","",'📅 Harian'!$C126)</f>
        <v/>
      </c>
    </row>
    <row r="129" spans="1:5">
      <c r="A129" s="39" t="str">
        <f>IF('📅 Harian'!$A127="","",'📅 Harian'!$A127)</f>
        <v/>
      </c>
      <c r="B129" s="40" t="str">
        <f>IF('📅 Harian'!$A127="","",'📅 Harian'!$G127)</f>
        <v/>
      </c>
      <c r="D129" s="39" t="str">
        <f>IF('📅 Harian'!$A127="","",'📅 Harian'!$A127)</f>
        <v/>
      </c>
      <c r="E129" s="40" t="str">
        <f>IF('📅 Harian'!$A127="","",'📅 Harian'!$C127)</f>
        <v/>
      </c>
    </row>
    <row r="130" spans="1:5">
      <c r="A130" s="39" t="str">
        <f>IF('📅 Harian'!$A128="","",'📅 Harian'!$A128)</f>
        <v/>
      </c>
      <c r="B130" s="40" t="str">
        <f>IF('📅 Harian'!$A128="","",'📅 Harian'!$G128)</f>
        <v/>
      </c>
      <c r="D130" s="39" t="str">
        <f>IF('📅 Harian'!$A128="","",'📅 Harian'!$A128)</f>
        <v/>
      </c>
      <c r="E130" s="40" t="str">
        <f>IF('📅 Harian'!$A128="","",'📅 Harian'!$C128)</f>
        <v/>
      </c>
    </row>
    <row r="131" spans="1:5">
      <c r="A131" s="39" t="str">
        <f>IF('📅 Harian'!$A129="","",'📅 Harian'!$A129)</f>
        <v/>
      </c>
      <c r="B131" s="40" t="str">
        <f>IF('📅 Harian'!$A129="","",'📅 Harian'!$G129)</f>
        <v/>
      </c>
      <c r="D131" s="39" t="str">
        <f>IF('📅 Harian'!$A129="","",'📅 Harian'!$A129)</f>
        <v/>
      </c>
      <c r="E131" s="40" t="str">
        <f>IF('📅 Harian'!$A129="","",'📅 Harian'!$C129)</f>
        <v/>
      </c>
    </row>
    <row r="132" spans="1:5">
      <c r="A132" s="39" t="str">
        <f>IF('📅 Harian'!$A130="","",'📅 Harian'!$A130)</f>
        <v/>
      </c>
      <c r="B132" s="40" t="str">
        <f>IF('📅 Harian'!$A130="","",'📅 Harian'!$G130)</f>
        <v/>
      </c>
      <c r="D132" s="39" t="str">
        <f>IF('📅 Harian'!$A130="","",'📅 Harian'!$A130)</f>
        <v/>
      </c>
      <c r="E132" s="40" t="str">
        <f>IF('📅 Harian'!$A130="","",'📅 Harian'!$C130)</f>
        <v/>
      </c>
    </row>
    <row r="133" spans="1:5">
      <c r="A133" s="39" t="str">
        <f>IF('📅 Harian'!$A131="","",'📅 Harian'!$A131)</f>
        <v/>
      </c>
      <c r="B133" s="40" t="str">
        <f>IF('📅 Harian'!$A131="","",'📅 Harian'!$G131)</f>
        <v/>
      </c>
      <c r="D133" s="39" t="str">
        <f>IF('📅 Harian'!$A131="","",'📅 Harian'!$A131)</f>
        <v/>
      </c>
      <c r="E133" s="40" t="str">
        <f>IF('📅 Harian'!$A131="","",'📅 Harian'!$C131)</f>
        <v/>
      </c>
    </row>
    <row r="134" spans="1:5">
      <c r="A134" s="39" t="str">
        <f>IF('📅 Harian'!$A132="","",'📅 Harian'!$A132)</f>
        <v/>
      </c>
      <c r="B134" s="40" t="str">
        <f>IF('📅 Harian'!$A132="","",'📅 Harian'!$G132)</f>
        <v/>
      </c>
      <c r="D134" s="39" t="str">
        <f>IF('📅 Harian'!$A132="","",'📅 Harian'!$A132)</f>
        <v/>
      </c>
      <c r="E134" s="40" t="str">
        <f>IF('📅 Harian'!$A132="","",'📅 Harian'!$C132)</f>
        <v/>
      </c>
    </row>
    <row r="135" spans="1:5">
      <c r="A135" s="39" t="str">
        <f>IF('📅 Harian'!$A133="","",'📅 Harian'!$A133)</f>
        <v/>
      </c>
      <c r="B135" s="40" t="str">
        <f>IF('📅 Harian'!$A133="","",'📅 Harian'!$G133)</f>
        <v/>
      </c>
      <c r="D135" s="39" t="str">
        <f>IF('📅 Harian'!$A133="","",'📅 Harian'!$A133)</f>
        <v/>
      </c>
      <c r="E135" s="40" t="str">
        <f>IF('📅 Harian'!$A133="","",'📅 Harian'!$C133)</f>
        <v/>
      </c>
    </row>
    <row r="136" spans="1:5">
      <c r="A136" s="39" t="str">
        <f>IF('📅 Harian'!$A134="","",'📅 Harian'!$A134)</f>
        <v/>
      </c>
      <c r="B136" s="40" t="str">
        <f>IF('📅 Harian'!$A134="","",'📅 Harian'!$G134)</f>
        <v/>
      </c>
      <c r="D136" s="39" t="str">
        <f>IF('📅 Harian'!$A134="","",'📅 Harian'!$A134)</f>
        <v/>
      </c>
      <c r="E136" s="40" t="str">
        <f>IF('📅 Harian'!$A134="","",'📅 Harian'!$C134)</f>
        <v/>
      </c>
    </row>
    <row r="137" spans="1:5">
      <c r="A137" s="39" t="str">
        <f>IF('📅 Harian'!$A135="","",'📅 Harian'!$A135)</f>
        <v/>
      </c>
      <c r="B137" s="40" t="str">
        <f>IF('📅 Harian'!$A135="","",'📅 Harian'!$G135)</f>
        <v/>
      </c>
      <c r="D137" s="39" t="str">
        <f>IF('📅 Harian'!$A135="","",'📅 Harian'!$A135)</f>
        <v/>
      </c>
      <c r="E137" s="40" t="str">
        <f>IF('📅 Harian'!$A135="","",'📅 Harian'!$C135)</f>
        <v/>
      </c>
    </row>
    <row r="138" spans="1:5">
      <c r="A138" s="39" t="str">
        <f>IF('📅 Harian'!$A136="","",'📅 Harian'!$A136)</f>
        <v/>
      </c>
      <c r="B138" s="40" t="str">
        <f>IF('📅 Harian'!$A136="","",'📅 Harian'!$G136)</f>
        <v/>
      </c>
      <c r="D138" s="39" t="str">
        <f>IF('📅 Harian'!$A136="","",'📅 Harian'!$A136)</f>
        <v/>
      </c>
      <c r="E138" s="40" t="str">
        <f>IF('📅 Harian'!$A136="","",'📅 Harian'!$C136)</f>
        <v/>
      </c>
    </row>
    <row r="139" spans="1:5">
      <c r="A139" s="39" t="str">
        <f>IF('📅 Harian'!$A137="","",'📅 Harian'!$A137)</f>
        <v/>
      </c>
      <c r="B139" s="40" t="str">
        <f>IF('📅 Harian'!$A137="","",'📅 Harian'!$G137)</f>
        <v/>
      </c>
      <c r="D139" s="39" t="str">
        <f>IF('📅 Harian'!$A137="","",'📅 Harian'!$A137)</f>
        <v/>
      </c>
      <c r="E139" s="40" t="str">
        <f>IF('📅 Harian'!$A137="","",'📅 Harian'!$C137)</f>
        <v/>
      </c>
    </row>
    <row r="140" spans="1:5">
      <c r="A140" s="39" t="str">
        <f>IF('📅 Harian'!$A138="","",'📅 Harian'!$A138)</f>
        <v/>
      </c>
      <c r="B140" s="40" t="str">
        <f>IF('📅 Harian'!$A138="","",'📅 Harian'!$G138)</f>
        <v/>
      </c>
      <c r="D140" s="39" t="str">
        <f>IF('📅 Harian'!$A138="","",'📅 Harian'!$A138)</f>
        <v/>
      </c>
      <c r="E140" s="40" t="str">
        <f>IF('📅 Harian'!$A138="","",'📅 Harian'!$C138)</f>
        <v/>
      </c>
    </row>
    <row r="141" spans="1:5">
      <c r="A141" s="39" t="str">
        <f>IF('📅 Harian'!$A139="","",'📅 Harian'!$A139)</f>
        <v/>
      </c>
      <c r="B141" s="40" t="str">
        <f>IF('📅 Harian'!$A139="","",'📅 Harian'!$G139)</f>
        <v/>
      </c>
      <c r="D141" s="39" t="str">
        <f>IF('📅 Harian'!$A139="","",'📅 Harian'!$A139)</f>
        <v/>
      </c>
      <c r="E141" s="40" t="str">
        <f>IF('📅 Harian'!$A139="","",'📅 Harian'!$C139)</f>
        <v/>
      </c>
    </row>
    <row r="142" spans="1:5">
      <c r="A142" s="39" t="str">
        <f>IF('📅 Harian'!$A140="","",'📅 Harian'!$A140)</f>
        <v/>
      </c>
      <c r="B142" s="40" t="str">
        <f>IF('📅 Harian'!$A140="","",'📅 Harian'!$G140)</f>
        <v/>
      </c>
      <c r="D142" s="39" t="str">
        <f>IF('📅 Harian'!$A140="","",'📅 Harian'!$A140)</f>
        <v/>
      </c>
      <c r="E142" s="40" t="str">
        <f>IF('📅 Harian'!$A140="","",'📅 Harian'!$C140)</f>
        <v/>
      </c>
    </row>
    <row r="143" spans="1:5">
      <c r="A143" s="39" t="str">
        <f>IF('📅 Harian'!$A141="","",'📅 Harian'!$A141)</f>
        <v/>
      </c>
      <c r="B143" s="40" t="str">
        <f>IF('📅 Harian'!$A141="","",'📅 Harian'!$G141)</f>
        <v/>
      </c>
      <c r="D143" s="39" t="str">
        <f>IF('📅 Harian'!$A141="","",'📅 Harian'!$A141)</f>
        <v/>
      </c>
      <c r="E143" s="40" t="str">
        <f>IF('📅 Harian'!$A141="","",'📅 Harian'!$C141)</f>
        <v/>
      </c>
    </row>
    <row r="144" spans="1:5">
      <c r="A144" s="39" t="str">
        <f>IF('📅 Harian'!$A142="","",'📅 Harian'!$A142)</f>
        <v/>
      </c>
      <c r="B144" s="40" t="str">
        <f>IF('📅 Harian'!$A142="","",'📅 Harian'!$G142)</f>
        <v/>
      </c>
      <c r="D144" s="39" t="str">
        <f>IF('📅 Harian'!$A142="","",'📅 Harian'!$A142)</f>
        <v/>
      </c>
      <c r="E144" s="40" t="str">
        <f>IF('📅 Harian'!$A142="","",'📅 Harian'!$C142)</f>
        <v/>
      </c>
    </row>
    <row r="145" spans="1:5">
      <c r="A145" s="39" t="str">
        <f>IF('📅 Harian'!$A143="","",'📅 Harian'!$A143)</f>
        <v/>
      </c>
      <c r="B145" s="40" t="str">
        <f>IF('📅 Harian'!$A143="","",'📅 Harian'!$G143)</f>
        <v/>
      </c>
      <c r="D145" s="39" t="str">
        <f>IF('📅 Harian'!$A143="","",'📅 Harian'!$A143)</f>
        <v/>
      </c>
      <c r="E145" s="40" t="str">
        <f>IF('📅 Harian'!$A143="","",'📅 Harian'!$C143)</f>
        <v/>
      </c>
    </row>
    <row r="146" spans="1:5">
      <c r="A146" s="39" t="str">
        <f>IF('📅 Harian'!$A144="","",'📅 Harian'!$A144)</f>
        <v/>
      </c>
      <c r="B146" s="40" t="str">
        <f>IF('📅 Harian'!$A144="","",'📅 Harian'!$G144)</f>
        <v/>
      </c>
      <c r="D146" s="39" t="str">
        <f>IF('📅 Harian'!$A144="","",'📅 Harian'!$A144)</f>
        <v/>
      </c>
      <c r="E146" s="40" t="str">
        <f>IF('📅 Harian'!$A144="","",'📅 Harian'!$C144)</f>
        <v/>
      </c>
    </row>
    <row r="147" spans="1:5">
      <c r="A147" s="39" t="str">
        <f>IF('📅 Harian'!$A145="","",'📅 Harian'!$A145)</f>
        <v/>
      </c>
      <c r="B147" s="40" t="str">
        <f>IF('📅 Harian'!$A145="","",'📅 Harian'!$G145)</f>
        <v/>
      </c>
      <c r="D147" s="39" t="str">
        <f>IF('📅 Harian'!$A145="","",'📅 Harian'!$A145)</f>
        <v/>
      </c>
      <c r="E147" s="40" t="str">
        <f>IF('📅 Harian'!$A145="","",'📅 Harian'!$C145)</f>
        <v/>
      </c>
    </row>
    <row r="148" spans="1:5">
      <c r="A148" s="39" t="str">
        <f>IF('📅 Harian'!$A146="","",'📅 Harian'!$A146)</f>
        <v/>
      </c>
      <c r="B148" s="40" t="str">
        <f>IF('📅 Harian'!$A146="","",'📅 Harian'!$G146)</f>
        <v/>
      </c>
      <c r="D148" s="39" t="str">
        <f>IF('📅 Harian'!$A146="","",'📅 Harian'!$A146)</f>
        <v/>
      </c>
      <c r="E148" s="40" t="str">
        <f>IF('📅 Harian'!$A146="","",'📅 Harian'!$C146)</f>
        <v/>
      </c>
    </row>
    <row r="149" spans="1:5">
      <c r="A149" s="39" t="str">
        <f>IF('📅 Harian'!$A147="","",'📅 Harian'!$A147)</f>
        <v/>
      </c>
      <c r="B149" s="40" t="str">
        <f>IF('📅 Harian'!$A147="","",'📅 Harian'!$G147)</f>
        <v/>
      </c>
      <c r="D149" s="39" t="str">
        <f>IF('📅 Harian'!$A147="","",'📅 Harian'!$A147)</f>
        <v/>
      </c>
      <c r="E149" s="40" t="str">
        <f>IF('📅 Harian'!$A147="","",'📅 Harian'!$C147)</f>
        <v/>
      </c>
    </row>
    <row r="150" spans="1:5">
      <c r="A150" s="39" t="str">
        <f>IF('📅 Harian'!$A148="","",'📅 Harian'!$A148)</f>
        <v/>
      </c>
      <c r="B150" s="40" t="str">
        <f>IF('📅 Harian'!$A148="","",'📅 Harian'!$G148)</f>
        <v/>
      </c>
      <c r="D150" s="39" t="str">
        <f>IF('📅 Harian'!$A148="","",'📅 Harian'!$A148)</f>
        <v/>
      </c>
      <c r="E150" s="40" t="str">
        <f>IF('📅 Harian'!$A148="","",'📅 Harian'!$C148)</f>
        <v/>
      </c>
    </row>
    <row r="151" spans="1:5">
      <c r="A151" s="39" t="str">
        <f>IF('📅 Harian'!$A149="","",'📅 Harian'!$A149)</f>
        <v/>
      </c>
      <c r="B151" s="40" t="str">
        <f>IF('📅 Harian'!$A149="","",'📅 Harian'!$G149)</f>
        <v/>
      </c>
      <c r="D151" s="39" t="str">
        <f>IF('📅 Harian'!$A149="","",'📅 Harian'!$A149)</f>
        <v/>
      </c>
      <c r="E151" s="40" t="str">
        <f>IF('📅 Harian'!$A149="","",'📅 Harian'!$C149)</f>
        <v/>
      </c>
    </row>
    <row r="152" spans="1:5">
      <c r="A152" s="39" t="str">
        <f>IF('📅 Harian'!$A150="","",'📅 Harian'!$A150)</f>
        <v/>
      </c>
      <c r="B152" s="40" t="str">
        <f>IF('📅 Harian'!$A150="","",'📅 Harian'!$G150)</f>
        <v/>
      </c>
      <c r="D152" s="39" t="str">
        <f>IF('📅 Harian'!$A150="","",'📅 Harian'!$A150)</f>
        <v/>
      </c>
      <c r="E152" s="40" t="str">
        <f>IF('📅 Harian'!$A150="","",'📅 Harian'!$C150)</f>
        <v/>
      </c>
    </row>
    <row r="153" spans="1:5">
      <c r="A153" s="39" t="str">
        <f>IF('📅 Harian'!$A151="","",'📅 Harian'!$A151)</f>
        <v/>
      </c>
      <c r="B153" s="40" t="str">
        <f>IF('📅 Harian'!$A151="","",'📅 Harian'!$G151)</f>
        <v/>
      </c>
      <c r="D153" s="39" t="str">
        <f>IF('📅 Harian'!$A151="","",'📅 Harian'!$A151)</f>
        <v/>
      </c>
      <c r="E153" s="40" t="str">
        <f>IF('📅 Harian'!$A151="","",'📅 Harian'!$C151)</f>
        <v/>
      </c>
    </row>
    <row r="154" spans="1:5">
      <c r="A154" s="39" t="str">
        <f>IF('📅 Harian'!$A152="","",'📅 Harian'!$A152)</f>
        <v/>
      </c>
      <c r="B154" s="40" t="str">
        <f>IF('📅 Harian'!$A152="","",'📅 Harian'!$G152)</f>
        <v/>
      </c>
      <c r="D154" s="39" t="str">
        <f>IF('📅 Harian'!$A152="","",'📅 Harian'!$A152)</f>
        <v/>
      </c>
      <c r="E154" s="40" t="str">
        <f>IF('📅 Harian'!$A152="","",'📅 Harian'!$C152)</f>
        <v/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5"/>
  <sheetViews>
    <sheetView showGridLines="0" workbookViewId="0">
      <selection activeCell="B6" sqref="B6"/>
    </sheetView>
  </sheetViews>
  <sheetFormatPr defaultColWidth="9" defaultRowHeight="16.8" outlineLevelCol="5"/>
  <cols>
    <col min="1" max="1" width="26" customWidth="1"/>
    <col min="2" max="2" width="16" customWidth="1"/>
    <col min="3" max="5" width="13" customWidth="1"/>
    <col min="6" max="6" width="20" customWidth="1"/>
  </cols>
  <sheetData>
    <row r="1" ht="23.2" spans="1:5">
      <c r="A1" s="6" t="s">
        <v>176</v>
      </c>
    </row>
    <row r="2" spans="1:5">
      <c r="A2" s="2" t="s">
        <v>177</v>
      </c>
    </row>
    <row r="3" spans="1:5">
      <c r="A3" s="7" t="s">
        <v>178</v>
      </c>
    </row>
    <row r="4" spans="1:5">
      <c r="A4" s="8" t="s">
        <v>43</v>
      </c>
      <c r="B4" s="9" t="s">
        <v>179</v>
      </c>
      <c r="C4" s="2" t="s">
        <v>180</v>
      </c>
    </row>
    <row r="5" spans="1:5">
      <c r="A5" s="8" t="s">
        <v>71</v>
      </c>
      <c r="B5" s="9" t="s">
        <v>179</v>
      </c>
    </row>
    <row r="6" spans="1:5">
      <c r="A6" s="8" t="s">
        <v>69</v>
      </c>
      <c r="B6" s="9" t="s">
        <v>179</v>
      </c>
    </row>
    <row r="7" spans="1:5">
      <c r="A7" s="8" t="s">
        <v>145</v>
      </c>
      <c r="B7" s="9" t="s">
        <v>179</v>
      </c>
    </row>
    <row r="8" spans="1:5">
      <c r="A8" s="8" t="s">
        <v>96</v>
      </c>
      <c r="B8" s="9" t="s">
        <v>179</v>
      </c>
    </row>
    <row r="9" spans="1:5">
      <c r="A9" s="8" t="s">
        <v>181</v>
      </c>
      <c r="B9" s="9" t="s">
        <v>179</v>
      </c>
    </row>
    <row r="11" spans="1:5">
      <c r="A11" s="7" t="s">
        <v>182</v>
      </c>
    </row>
    <row r="12" spans="1:5">
      <c r="A12" s="8" t="s">
        <v>183</v>
      </c>
      <c r="B12" s="10">
        <f>(COUNTIFS('📒 Jurnal'!$Z$3:$Z$502,"Win",'📒 Jurnal'!$AQ$3:$AQ$502,1)+COUNTIFS('📒 Jurnal'!$Z$3:$Z$502,"Loss",'📒 Jurnal'!$AQ$3:$AQ$502,1)+COUNTIFS('📒 Jurnal'!$Z$3:$Z$502,"BE",'📒 Jurnal'!$AQ$3:$AQ$502,1))</f>
        <v>9</v>
      </c>
      <c r="D12" s="8" t="s">
        <v>184</v>
      </c>
      <c r="E12" s="11">
        <f>SUMIFS('📒 Jurnal'!$X$3:$X$502,'📒 Jurnal'!$AQ$3:$AQ$502,1)</f>
        <v>251.414999999986</v>
      </c>
    </row>
    <row r="13" spans="1:5">
      <c r="A13" s="8" t="s">
        <v>185</v>
      </c>
      <c r="B13" s="12" t="str">
        <f>COUNTIFS('📒 Jurnal'!$Z$3:$Z$502,"Win",'📒 Jurnal'!$AQ$3:$AQ$502,1)&amp;" / "&amp;COUNTIFS('📒 Jurnal'!$Z$3:$Z$502,"Loss",'📒 Jurnal'!$AQ$3:$AQ$502,1)&amp;" / "&amp;COUNTIFS('📒 Jurnal'!$Z$3:$Z$502,"BE",'📒 Jurnal'!$AQ$3:$AQ$502,1)</f>
        <v>7 / 2 / 0</v>
      </c>
      <c r="D13" s="8" t="s">
        <v>186</v>
      </c>
      <c r="E13" s="11">
        <f>SUMIFS('📒 Jurnal'!$W$3:$W$502,'📒 Jurnal'!$AQ$3:$AQ$502,1)</f>
        <v>8.68</v>
      </c>
    </row>
    <row r="14" spans="1:5">
      <c r="A14" s="8" t="s">
        <v>123</v>
      </c>
      <c r="B14" s="13">
        <f>IFERROR(COUNTIFS('📒 Jurnal'!$Z$3:$Z$502,"Win",'📒 Jurnal'!$AQ$3:$AQ$502,1)/(COUNTIFS('📒 Jurnal'!$Z$3:$Z$502,"Win",'📒 Jurnal'!$AQ$3:$AQ$502,1)+COUNTIFS('📒 Jurnal'!$Z$3:$Z$502,"Loss",'📒 Jurnal'!$AQ$3:$AQ$502,1)+COUNTIFS('📒 Jurnal'!$Z$3:$Z$502,"BE",'📒 Jurnal'!$AQ$3:$AQ$502,1)),"")</f>
        <v>0.777777777777778</v>
      </c>
      <c r="D14" s="8" t="s">
        <v>122</v>
      </c>
      <c r="E14" s="14">
        <f>SUMIFS('📒 Jurnal'!$Y$3:$Y$502,'📒 Jurnal'!$AQ$3:$AQ$502,1)</f>
        <v>1.55</v>
      </c>
    </row>
    <row r="15" spans="1:5">
      <c r="A15" s="8" t="s">
        <v>187</v>
      </c>
      <c r="B15" s="15">
        <f>IFERROR(AVERAGEIFS('📒 Jurnal'!$Y$3:$Y$502,'📒 Jurnal'!$AQ$3:$AQ$502,1),"")</f>
        <v>0.775</v>
      </c>
      <c r="D15" s="8" t="s">
        <v>188</v>
      </c>
      <c r="E15" s="14">
        <f>IFERROR(MAX('📅 Harian'!$I$3:$I$152),"")</f>
        <v>0</v>
      </c>
    </row>
    <row r="16" spans="1:5">
      <c r="A16" s="8" t="s">
        <v>189</v>
      </c>
      <c r="B16" s="14">
        <f>IFERROR(SUMIFS('📒 Jurnal'!$X$3:$X$502,'📒 Jurnal'!$AQ$3:$AQ$502,1,'📒 Jurnal'!$X$3:$X$502,"&gt;0")/ABS(SUMIFS('📒 Jurnal'!$X$3:$X$502,'📒 Jurnal'!$AQ$3:$AQ$502,1,'📒 Jurnal'!$X$3:$X$502,"&lt;0")),"")</f>
        <v>74.1282722512639</v>
      </c>
      <c r="D16" s="8" t="s">
        <v>190</v>
      </c>
      <c r="E16" s="10">
        <f>IFERROR(AVERAGEIFS('📒 Jurnal'!$AA$3:$AA$502,'📒 Jurnal'!$AQ$3:$AQ$502,1),"")</f>
        <v>2.11111111111111</v>
      </c>
    </row>
    <row r="18" spans="1:6">
      <c r="A18" s="7" t="s">
        <v>191</v>
      </c>
    </row>
    <row r="19" ht="17.6" spans="1:6">
      <c r="A19" s="16" t="s">
        <v>192</v>
      </c>
      <c r="B19" s="17">
        <f>IFERROR(SUM('📒 Jurnal'!$X$3:$X$502)/'⚙️ Setelan'!$B$7,"")</f>
        <v>0.251414999999986</v>
      </c>
      <c r="C19" s="18" t="str">
        <f>IFERROR(REPT("█",MAX(0,MIN(20,ROUND(SUM('📒 Jurnal'!$X$3:$X$502)/'⚙️ Setelan'!$B$7*20,0))))&amp;REPT("░",20-MAX(0,MIN(20,ROUND(SUM('📒 Jurnal'!$X$3:$X$502)/'⚙️ Setelan'!$B$7*20,0)))),"")</f>
        <v>█████░░░░░░░░░░░░░░░</v>
      </c>
    </row>
    <row r="20" spans="1:6">
      <c r="A20" s="16" t="s">
        <v>193</v>
      </c>
      <c r="B20" s="19">
        <f>SUM('📒 Jurnal'!$X$3:$X$502)*'⚙️ Setelan'!$B$8</f>
        <v>4022639.99999977</v>
      </c>
    </row>
    <row r="22" spans="1:6">
      <c r="A22" s="7" t="s">
        <v>194</v>
      </c>
    </row>
    <row r="23" spans="1:6">
      <c r="A23" s="2" t="s">
        <v>195</v>
      </c>
    </row>
    <row r="24" spans="1:6">
      <c r="A24" s="20" t="s">
        <v>196</v>
      </c>
      <c r="B24" s="20" t="s">
        <v>140</v>
      </c>
      <c r="C24" s="20" t="s">
        <v>141</v>
      </c>
      <c r="D24" s="20" t="s">
        <v>142</v>
      </c>
      <c r="E24" s="20" t="s">
        <v>122</v>
      </c>
      <c r="F24" s="20" t="s">
        <v>197</v>
      </c>
    </row>
    <row r="25" spans="1:6">
      <c r="A25" s="21" t="s">
        <v>147</v>
      </c>
      <c r="B25" s="22">
        <f>(COUNTIFS('📒 Jurnal'!$H$3:$H$502,$A25,'📒 Jurnal'!$Z$3:$Z$502,"Win",'📒 Jurnal'!$AQ$3:$AQ$502,1)+COUNTIFS('📒 Jurnal'!$H$3:$H$502,$A25,'📒 Jurnal'!$Z$3:$Z$502,"Loss",'📒 Jurnal'!$AQ$3:$AQ$502,1)+COUNTIFS('📒 Jurnal'!$H$3:$H$502,$A25,'📒 Jurnal'!$Z$3:$Z$502,"BE",'📒 Jurnal'!$AQ$3:$AQ$502,1))</f>
        <v>0</v>
      </c>
      <c r="C25" s="23" t="str">
        <f>IFERROR(COUNTIFS('📒 Jurnal'!$H$3:$H$502,$A25,'📒 Jurnal'!$Z$3:$Z$502,"Win",'📒 Jurnal'!$AQ$3:$AQ$502,1)/(COUNTIFS('📒 Jurnal'!$H$3:$H$502,$A25,'📒 Jurnal'!$Z$3:$Z$502,"Win",'📒 Jurnal'!$AQ$3:$AQ$502,1)+COUNTIFS('📒 Jurnal'!$H$3:$H$502,$A25,'📒 Jurnal'!$Z$3:$Z$502,"Loss",'📒 Jurnal'!$AQ$3:$AQ$502,1)+COUNTIFS('📒 Jurnal'!$H$3:$H$502,$A25,'📒 Jurnal'!$Z$3:$Z$502,"BE",'📒 Jurnal'!$AQ$3:$AQ$502,1)),"")</f>
        <v/>
      </c>
      <c r="D25" s="24" t="str">
        <f>IFERROR(AVERAGEIFS('📒 Jurnal'!$Y$3:$Y$502,'📒 Jurnal'!$H$3:$H$502,$A25,'📒 Jurnal'!$AQ$3:$AQ$502,1),"")</f>
        <v/>
      </c>
      <c r="E25" s="24">
        <f>IFERROR(SUMIFS('📒 Jurnal'!$Y$3:$Y$502,'📒 Jurnal'!$H$3:$H$502,$A25,'📒 Jurnal'!$AQ$3:$AQ$502,1),"")</f>
        <v>0</v>
      </c>
      <c r="F25" s="25" t="str">
        <f>IF($B25=0,"",IF($D25&gt;=0,REPT("▉",MIN(14,ROUND($D25*14,0))),REPT("▒",MIN(14,ROUND(-$D25*14,0)))))</f>
        <v/>
      </c>
    </row>
    <row r="26" spans="1:6">
      <c r="A26" s="21" t="s">
        <v>153</v>
      </c>
      <c r="B26" s="22">
        <f>(COUNTIFS('📒 Jurnal'!$H$3:$H$502,$A26,'📒 Jurnal'!$Z$3:$Z$502,"Win",'📒 Jurnal'!$AQ$3:$AQ$502,1)+COUNTIFS('📒 Jurnal'!$H$3:$H$502,$A26,'📒 Jurnal'!$Z$3:$Z$502,"Loss",'📒 Jurnal'!$AQ$3:$AQ$502,1)+COUNTIFS('📒 Jurnal'!$H$3:$H$502,$A26,'📒 Jurnal'!$Z$3:$Z$502,"BE",'📒 Jurnal'!$AQ$3:$AQ$502,1))</f>
        <v>0</v>
      </c>
      <c r="C26" s="23" t="str">
        <f>IFERROR(COUNTIFS('📒 Jurnal'!$H$3:$H$502,$A26,'📒 Jurnal'!$Z$3:$Z$502,"Win",'📒 Jurnal'!$AQ$3:$AQ$502,1)/(COUNTIFS('📒 Jurnal'!$H$3:$H$502,$A26,'📒 Jurnal'!$Z$3:$Z$502,"Win",'📒 Jurnal'!$AQ$3:$AQ$502,1)+COUNTIFS('📒 Jurnal'!$H$3:$H$502,$A26,'📒 Jurnal'!$Z$3:$Z$502,"Loss",'📒 Jurnal'!$AQ$3:$AQ$502,1)+COUNTIFS('📒 Jurnal'!$H$3:$H$502,$A26,'📒 Jurnal'!$Z$3:$Z$502,"BE",'📒 Jurnal'!$AQ$3:$AQ$502,1)),"")</f>
        <v/>
      </c>
      <c r="D26" s="24" t="str">
        <f>IFERROR(AVERAGEIFS('📒 Jurnal'!$Y$3:$Y$502,'📒 Jurnal'!$H$3:$H$502,$A26,'📒 Jurnal'!$AQ$3:$AQ$502,1),"")</f>
        <v/>
      </c>
      <c r="E26" s="24">
        <f>IFERROR(SUMIFS('📒 Jurnal'!$Y$3:$Y$502,'📒 Jurnal'!$H$3:$H$502,$A26,'📒 Jurnal'!$AQ$3:$AQ$502,1),"")</f>
        <v>0</v>
      </c>
      <c r="F26" s="25" t="str">
        <f>IF($B26=0,"",IF($D26&gt;=0,REPT("▉",MIN(14,ROUND($D26*14,0))),REPT("▒",MIN(14,ROUND(-$D26*14,0)))))</f>
        <v/>
      </c>
    </row>
    <row r="27" spans="1:6">
      <c r="A27" s="21" t="s">
        <v>159</v>
      </c>
      <c r="B27" s="22">
        <f>(COUNTIFS('📒 Jurnal'!$H$3:$H$502,$A27,'📒 Jurnal'!$Z$3:$Z$502,"Win",'📒 Jurnal'!$AQ$3:$AQ$502,1)+COUNTIFS('📒 Jurnal'!$H$3:$H$502,$A27,'📒 Jurnal'!$Z$3:$Z$502,"Loss",'📒 Jurnal'!$AQ$3:$AQ$502,1)+COUNTIFS('📒 Jurnal'!$H$3:$H$502,$A27,'📒 Jurnal'!$Z$3:$Z$502,"BE",'📒 Jurnal'!$AQ$3:$AQ$502,1))</f>
        <v>0</v>
      </c>
      <c r="C27" s="23" t="str">
        <f>IFERROR(COUNTIFS('📒 Jurnal'!$H$3:$H$502,$A27,'📒 Jurnal'!$Z$3:$Z$502,"Win",'📒 Jurnal'!$AQ$3:$AQ$502,1)/(COUNTIFS('📒 Jurnal'!$H$3:$H$502,$A27,'📒 Jurnal'!$Z$3:$Z$502,"Win",'📒 Jurnal'!$AQ$3:$AQ$502,1)+COUNTIFS('📒 Jurnal'!$H$3:$H$502,$A27,'📒 Jurnal'!$Z$3:$Z$502,"Loss",'📒 Jurnal'!$AQ$3:$AQ$502,1)+COUNTIFS('📒 Jurnal'!$H$3:$H$502,$A27,'📒 Jurnal'!$Z$3:$Z$502,"BE",'📒 Jurnal'!$AQ$3:$AQ$502,1)),"")</f>
        <v/>
      </c>
      <c r="D27" s="24" t="str">
        <f>IFERROR(AVERAGEIFS('📒 Jurnal'!$Y$3:$Y$502,'📒 Jurnal'!$H$3:$H$502,$A27,'📒 Jurnal'!$AQ$3:$AQ$502,1),"")</f>
        <v/>
      </c>
      <c r="E27" s="24">
        <f>IFERROR(SUMIFS('📒 Jurnal'!$Y$3:$Y$502,'📒 Jurnal'!$H$3:$H$502,$A27,'📒 Jurnal'!$AQ$3:$AQ$502,1),"")</f>
        <v>0</v>
      </c>
      <c r="F27" s="25" t="str">
        <f>IF($B27=0,"",IF($D27&gt;=0,REPT("▉",MIN(14,ROUND($D27*14,0))),REPT("▒",MIN(14,ROUND(-$D27*14,0)))))</f>
        <v/>
      </c>
    </row>
    <row r="28" spans="1:6">
      <c r="A28" s="21" t="s">
        <v>165</v>
      </c>
      <c r="B28" s="22">
        <f>(COUNTIFS('📒 Jurnal'!$H$3:$H$502,$A28,'📒 Jurnal'!$Z$3:$Z$502,"Win",'📒 Jurnal'!$AQ$3:$AQ$502,1)+COUNTIFS('📒 Jurnal'!$H$3:$H$502,$A28,'📒 Jurnal'!$Z$3:$Z$502,"Loss",'📒 Jurnal'!$AQ$3:$AQ$502,1)+COUNTIFS('📒 Jurnal'!$H$3:$H$502,$A28,'📒 Jurnal'!$Z$3:$Z$502,"BE",'📒 Jurnal'!$AQ$3:$AQ$502,1))</f>
        <v>0</v>
      </c>
      <c r="C28" s="23" t="str">
        <f>IFERROR(COUNTIFS('📒 Jurnal'!$H$3:$H$502,$A28,'📒 Jurnal'!$Z$3:$Z$502,"Win",'📒 Jurnal'!$AQ$3:$AQ$502,1)/(COUNTIFS('📒 Jurnal'!$H$3:$H$502,$A28,'📒 Jurnal'!$Z$3:$Z$502,"Win",'📒 Jurnal'!$AQ$3:$AQ$502,1)+COUNTIFS('📒 Jurnal'!$H$3:$H$502,$A28,'📒 Jurnal'!$Z$3:$Z$502,"Loss",'📒 Jurnal'!$AQ$3:$AQ$502,1)+COUNTIFS('📒 Jurnal'!$H$3:$H$502,$A28,'📒 Jurnal'!$Z$3:$Z$502,"BE",'📒 Jurnal'!$AQ$3:$AQ$502,1)),"")</f>
        <v/>
      </c>
      <c r="D28" s="24" t="str">
        <f>IFERROR(AVERAGEIFS('📒 Jurnal'!$Y$3:$Y$502,'📒 Jurnal'!$H$3:$H$502,$A28,'📒 Jurnal'!$AQ$3:$AQ$502,1),"")</f>
        <v/>
      </c>
      <c r="E28" s="24">
        <f>IFERROR(SUMIFS('📒 Jurnal'!$Y$3:$Y$502,'📒 Jurnal'!$H$3:$H$502,$A28,'📒 Jurnal'!$AQ$3:$AQ$502,1),"")</f>
        <v>0</v>
      </c>
      <c r="F28" s="25" t="str">
        <f>IF($B28=0,"",IF($D28&gt;=0,REPT("▉",MIN(14,ROUND($D28*14,0))),REPT("▒",MIN(14,ROUND(-$D28*14,0)))))</f>
        <v/>
      </c>
    </row>
    <row r="30" spans="1:6">
      <c r="A30" s="7" t="s">
        <v>198</v>
      </c>
    </row>
    <row r="31" spans="1:6">
      <c r="A31" s="2" t="s">
        <v>199</v>
      </c>
    </row>
    <row r="32" spans="1:6">
      <c r="A32" s="20" t="s">
        <v>196</v>
      </c>
      <c r="B32" s="20" t="s">
        <v>140</v>
      </c>
      <c r="C32" s="20" t="s">
        <v>141</v>
      </c>
      <c r="D32" s="20" t="s">
        <v>142</v>
      </c>
      <c r="E32" s="20" t="s">
        <v>122</v>
      </c>
      <c r="F32" s="20" t="s">
        <v>197</v>
      </c>
    </row>
    <row r="33" spans="1:6">
      <c r="A33" s="21" t="s">
        <v>150</v>
      </c>
      <c r="B33" s="22">
        <f>(COUNTIFS('📒 Jurnal'!$E$3:$E$502,$A33,'📒 Jurnal'!$Z$3:$Z$502,"Win",'📒 Jurnal'!$AQ$3:$AQ$502,1)+COUNTIFS('📒 Jurnal'!$E$3:$E$502,$A33,'📒 Jurnal'!$Z$3:$Z$502,"Loss",'📒 Jurnal'!$AQ$3:$AQ$502,1)+COUNTIFS('📒 Jurnal'!$E$3:$E$502,$A33,'📒 Jurnal'!$Z$3:$Z$502,"BE",'📒 Jurnal'!$AQ$3:$AQ$502,1))</f>
        <v>0</v>
      </c>
      <c r="C33" s="23" t="str">
        <f>IFERROR(COUNTIFS('📒 Jurnal'!$E$3:$E$502,$A33,'📒 Jurnal'!$Z$3:$Z$502,"Win",'📒 Jurnal'!$AQ$3:$AQ$502,1)/(COUNTIFS('📒 Jurnal'!$E$3:$E$502,$A33,'📒 Jurnal'!$Z$3:$Z$502,"Win",'📒 Jurnal'!$AQ$3:$AQ$502,1)+COUNTIFS('📒 Jurnal'!$E$3:$E$502,$A33,'📒 Jurnal'!$Z$3:$Z$502,"Loss",'📒 Jurnal'!$AQ$3:$AQ$502,1)+COUNTIFS('📒 Jurnal'!$E$3:$E$502,$A33,'📒 Jurnal'!$Z$3:$Z$502,"BE",'📒 Jurnal'!$AQ$3:$AQ$502,1)),"")</f>
        <v/>
      </c>
      <c r="D33" s="24" t="str">
        <f>IFERROR(AVERAGEIFS('📒 Jurnal'!$Y$3:$Y$502,'📒 Jurnal'!$E$3:$E$502,$A33,'📒 Jurnal'!$AQ$3:$AQ$502,1),"")</f>
        <v/>
      </c>
      <c r="E33" s="24">
        <f>IFERROR(SUMIFS('📒 Jurnal'!$Y$3:$Y$502,'📒 Jurnal'!$E$3:$E$502,$A33,'📒 Jurnal'!$AQ$3:$AQ$502,1),"")</f>
        <v>0</v>
      </c>
      <c r="F33" s="25" t="str">
        <f>IF($B33=0,"",IF($D33&gt;=0,REPT("▉",MIN(14,ROUND($D33*14,0))),REPT("▒",MIN(14,ROUND(-$D33*14,0)))))</f>
        <v/>
      </c>
    </row>
    <row r="34" spans="1:6">
      <c r="A34" s="21" t="s">
        <v>156</v>
      </c>
      <c r="B34" s="22">
        <f>(COUNTIFS('📒 Jurnal'!$E$3:$E$502,$A34,'📒 Jurnal'!$Z$3:$Z$502,"Win",'📒 Jurnal'!$AQ$3:$AQ$502,1)+COUNTIFS('📒 Jurnal'!$E$3:$E$502,$A34,'📒 Jurnal'!$Z$3:$Z$502,"Loss",'📒 Jurnal'!$AQ$3:$AQ$502,1)+COUNTIFS('📒 Jurnal'!$E$3:$E$502,$A34,'📒 Jurnal'!$Z$3:$Z$502,"BE",'📒 Jurnal'!$AQ$3:$AQ$502,1))</f>
        <v>0</v>
      </c>
      <c r="C34" s="23" t="str">
        <f>IFERROR(COUNTIFS('📒 Jurnal'!$E$3:$E$502,$A34,'📒 Jurnal'!$Z$3:$Z$502,"Win",'📒 Jurnal'!$AQ$3:$AQ$502,1)/(COUNTIFS('📒 Jurnal'!$E$3:$E$502,$A34,'📒 Jurnal'!$Z$3:$Z$502,"Win",'📒 Jurnal'!$AQ$3:$AQ$502,1)+COUNTIFS('📒 Jurnal'!$E$3:$E$502,$A34,'📒 Jurnal'!$Z$3:$Z$502,"Loss",'📒 Jurnal'!$AQ$3:$AQ$502,1)+COUNTIFS('📒 Jurnal'!$E$3:$E$502,$A34,'📒 Jurnal'!$Z$3:$Z$502,"BE",'📒 Jurnal'!$AQ$3:$AQ$502,1)),"")</f>
        <v/>
      </c>
      <c r="D34" s="24" t="str">
        <f>IFERROR(AVERAGEIFS('📒 Jurnal'!$Y$3:$Y$502,'📒 Jurnal'!$E$3:$E$502,$A34,'📒 Jurnal'!$AQ$3:$AQ$502,1),"")</f>
        <v/>
      </c>
      <c r="E34" s="24">
        <f>IFERROR(SUMIFS('📒 Jurnal'!$Y$3:$Y$502,'📒 Jurnal'!$E$3:$E$502,$A34,'📒 Jurnal'!$AQ$3:$AQ$502,1),"")</f>
        <v>0</v>
      </c>
      <c r="F34" s="25" t="str">
        <f>IF($B34=0,"",IF($D34&gt;=0,REPT("▉",MIN(14,ROUND($D34*14,0))),REPT("▒",MIN(14,ROUND(-$D34*14,0)))))</f>
        <v/>
      </c>
    </row>
    <row r="35" spans="1:6">
      <c r="A35" s="21" t="s">
        <v>162</v>
      </c>
      <c r="B35" s="22">
        <f>(COUNTIFS('📒 Jurnal'!$E$3:$E$502,$A35,'📒 Jurnal'!$Z$3:$Z$502,"Win",'📒 Jurnal'!$AQ$3:$AQ$502,1)+COUNTIFS('📒 Jurnal'!$E$3:$E$502,$A35,'📒 Jurnal'!$Z$3:$Z$502,"Loss",'📒 Jurnal'!$AQ$3:$AQ$502,1)+COUNTIFS('📒 Jurnal'!$E$3:$E$502,$A35,'📒 Jurnal'!$Z$3:$Z$502,"BE",'📒 Jurnal'!$AQ$3:$AQ$502,1))</f>
        <v>0</v>
      </c>
      <c r="C35" s="23" t="str">
        <f>IFERROR(COUNTIFS('📒 Jurnal'!$E$3:$E$502,$A35,'📒 Jurnal'!$Z$3:$Z$502,"Win",'📒 Jurnal'!$AQ$3:$AQ$502,1)/(COUNTIFS('📒 Jurnal'!$E$3:$E$502,$A35,'📒 Jurnal'!$Z$3:$Z$502,"Win",'📒 Jurnal'!$AQ$3:$AQ$502,1)+COUNTIFS('📒 Jurnal'!$E$3:$E$502,$A35,'📒 Jurnal'!$Z$3:$Z$502,"Loss",'📒 Jurnal'!$AQ$3:$AQ$502,1)+COUNTIFS('📒 Jurnal'!$E$3:$E$502,$A35,'📒 Jurnal'!$Z$3:$Z$502,"BE",'📒 Jurnal'!$AQ$3:$AQ$502,1)),"")</f>
        <v/>
      </c>
      <c r="D35" s="24" t="str">
        <f>IFERROR(AVERAGEIFS('📒 Jurnal'!$Y$3:$Y$502,'📒 Jurnal'!$E$3:$E$502,$A35,'📒 Jurnal'!$AQ$3:$AQ$502,1),"")</f>
        <v/>
      </c>
      <c r="E35" s="24">
        <f>IFERROR(SUMIFS('📒 Jurnal'!$Y$3:$Y$502,'📒 Jurnal'!$E$3:$E$502,$A35,'📒 Jurnal'!$AQ$3:$AQ$502,1),"")</f>
        <v>0</v>
      </c>
      <c r="F35" s="25" t="str">
        <f>IF($B35=0,"",IF($D35&gt;=0,REPT("▉",MIN(14,ROUND($D35*14,0))),REPT("▒",MIN(14,ROUND(-$D35*14,0)))))</f>
        <v/>
      </c>
    </row>
    <row r="36" spans="1:6">
      <c r="A36" s="21" t="s">
        <v>168</v>
      </c>
      <c r="B36" s="22">
        <f>(COUNTIFS('📒 Jurnal'!$E$3:$E$502,$A36,'📒 Jurnal'!$Z$3:$Z$502,"Win",'📒 Jurnal'!$AQ$3:$AQ$502,1)+COUNTIFS('📒 Jurnal'!$E$3:$E$502,$A36,'📒 Jurnal'!$Z$3:$Z$502,"Loss",'📒 Jurnal'!$AQ$3:$AQ$502,1)+COUNTIFS('📒 Jurnal'!$E$3:$E$502,$A36,'📒 Jurnal'!$Z$3:$Z$502,"BE",'📒 Jurnal'!$AQ$3:$AQ$502,1))</f>
        <v>9</v>
      </c>
      <c r="C36" s="23">
        <f>IFERROR(COUNTIFS('📒 Jurnal'!$E$3:$E$502,$A36,'📒 Jurnal'!$Z$3:$Z$502,"Win",'📒 Jurnal'!$AQ$3:$AQ$502,1)/(COUNTIFS('📒 Jurnal'!$E$3:$E$502,$A36,'📒 Jurnal'!$Z$3:$Z$502,"Win",'📒 Jurnal'!$AQ$3:$AQ$502,1)+COUNTIFS('📒 Jurnal'!$E$3:$E$502,$A36,'📒 Jurnal'!$Z$3:$Z$502,"Loss",'📒 Jurnal'!$AQ$3:$AQ$502,1)+COUNTIFS('📒 Jurnal'!$E$3:$E$502,$A36,'📒 Jurnal'!$Z$3:$Z$502,"BE",'📒 Jurnal'!$AQ$3:$AQ$502,1)),"")</f>
        <v>0.777777777777778</v>
      </c>
      <c r="D36" s="24">
        <f>IFERROR(AVERAGEIFS('📒 Jurnal'!$Y$3:$Y$502,'📒 Jurnal'!$E$3:$E$502,$A36,'📒 Jurnal'!$AQ$3:$AQ$502,1),"")</f>
        <v>0.775</v>
      </c>
      <c r="E36" s="24">
        <f>IFERROR(SUMIFS('📒 Jurnal'!$Y$3:$Y$502,'📒 Jurnal'!$E$3:$E$502,$A36,'📒 Jurnal'!$AQ$3:$AQ$502,1),"")</f>
        <v>1.55</v>
      </c>
      <c r="F36" s="25" t="str">
        <f>IF($B36=0,"",IF($D36&gt;=0,REPT("▉",MIN(14,ROUND($D36*14,0))),REPT("▒",MIN(14,ROUND(-$D36*14,0)))))</f>
        <v>▉▉▉▉▉▉▉▉▉▉▉</v>
      </c>
    </row>
    <row r="38" spans="1:6">
      <c r="A38" s="7" t="s">
        <v>200</v>
      </c>
    </row>
    <row r="39" spans="1:6">
      <c r="A39" s="2" t="s">
        <v>201</v>
      </c>
    </row>
    <row r="40" spans="1:6">
      <c r="A40" s="20" t="s">
        <v>196</v>
      </c>
      <c r="B40" s="20" t="s">
        <v>140</v>
      </c>
      <c r="C40" s="20" t="s">
        <v>141</v>
      </c>
      <c r="D40" s="20" t="s">
        <v>142</v>
      </c>
      <c r="E40" s="20" t="s">
        <v>122</v>
      </c>
      <c r="F40" s="20" t="s">
        <v>197</v>
      </c>
    </row>
    <row r="41" spans="1:6">
      <c r="A41" s="21" t="s">
        <v>149</v>
      </c>
      <c r="B41" s="22">
        <f>(COUNTIFS('📒 Jurnal'!$AF$3:$AF$502,$A41,'📒 Jurnal'!$Z$3:$Z$502,"Win",'📒 Jurnal'!$AQ$3:$AQ$502,1)+COUNTIFS('📒 Jurnal'!$AF$3:$AF$502,$A41,'📒 Jurnal'!$Z$3:$Z$502,"Loss",'📒 Jurnal'!$AQ$3:$AQ$502,1)+COUNTIFS('📒 Jurnal'!$AF$3:$AF$502,$A41,'📒 Jurnal'!$Z$3:$Z$502,"BE",'📒 Jurnal'!$AQ$3:$AQ$502,1))</f>
        <v>0</v>
      </c>
      <c r="C41" s="23" t="str">
        <f>IFERROR(COUNTIFS('📒 Jurnal'!$AF$3:$AF$502,$A41,'📒 Jurnal'!$Z$3:$Z$502,"Win",'📒 Jurnal'!$AQ$3:$AQ$502,1)/(COUNTIFS('📒 Jurnal'!$AF$3:$AF$502,$A41,'📒 Jurnal'!$Z$3:$Z$502,"Win",'📒 Jurnal'!$AQ$3:$AQ$502,1)+COUNTIFS('📒 Jurnal'!$AF$3:$AF$502,$A41,'📒 Jurnal'!$Z$3:$Z$502,"Loss",'📒 Jurnal'!$AQ$3:$AQ$502,1)+COUNTIFS('📒 Jurnal'!$AF$3:$AF$502,$A41,'📒 Jurnal'!$Z$3:$Z$502,"BE",'📒 Jurnal'!$AQ$3:$AQ$502,1)),"")</f>
        <v/>
      </c>
      <c r="D41" s="24" t="str">
        <f>IFERROR(AVERAGEIFS('📒 Jurnal'!$Y$3:$Y$502,'📒 Jurnal'!$AF$3:$AF$502,$A41,'📒 Jurnal'!$AQ$3:$AQ$502,1),"")</f>
        <v/>
      </c>
      <c r="E41" s="24">
        <f>IFERROR(SUMIFS('📒 Jurnal'!$Y$3:$Y$502,'📒 Jurnal'!$AF$3:$AF$502,$A41,'📒 Jurnal'!$AQ$3:$AQ$502,1),"")</f>
        <v>0</v>
      </c>
      <c r="F41" s="25" t="str">
        <f t="shared" ref="F41:F46" si="0">IF($B41=0,"",IF($D41&gt;=0,REPT("▉",MIN(14,ROUND($D41*14,0))),REPT("▒",MIN(14,ROUND(-$D41*14,0)))))</f>
        <v/>
      </c>
    </row>
    <row r="42" spans="1:6">
      <c r="A42" s="21" t="s">
        <v>155</v>
      </c>
      <c r="B42" s="22">
        <f>(COUNTIFS('📒 Jurnal'!$AF$3:$AF$502,$A42,'📒 Jurnal'!$Z$3:$Z$502,"Win",'📒 Jurnal'!$AQ$3:$AQ$502,1)+COUNTIFS('📒 Jurnal'!$AF$3:$AF$502,$A42,'📒 Jurnal'!$Z$3:$Z$502,"Loss",'📒 Jurnal'!$AQ$3:$AQ$502,1)+COUNTIFS('📒 Jurnal'!$AF$3:$AF$502,$A42,'📒 Jurnal'!$Z$3:$Z$502,"BE",'📒 Jurnal'!$AQ$3:$AQ$502,1))</f>
        <v>0</v>
      </c>
      <c r="C42" s="23" t="str">
        <f>IFERROR(COUNTIFS('📒 Jurnal'!$AF$3:$AF$502,$A42,'📒 Jurnal'!$Z$3:$Z$502,"Win",'📒 Jurnal'!$AQ$3:$AQ$502,1)/(COUNTIFS('📒 Jurnal'!$AF$3:$AF$502,$A42,'📒 Jurnal'!$Z$3:$Z$502,"Win",'📒 Jurnal'!$AQ$3:$AQ$502,1)+COUNTIFS('📒 Jurnal'!$AF$3:$AF$502,$A42,'📒 Jurnal'!$Z$3:$Z$502,"Loss",'📒 Jurnal'!$AQ$3:$AQ$502,1)+COUNTIFS('📒 Jurnal'!$AF$3:$AF$502,$A42,'📒 Jurnal'!$Z$3:$Z$502,"BE",'📒 Jurnal'!$AQ$3:$AQ$502,1)),"")</f>
        <v/>
      </c>
      <c r="D42" s="24" t="str">
        <f>IFERROR(AVERAGEIFS('📒 Jurnal'!$Y$3:$Y$502,'📒 Jurnal'!$AF$3:$AF$502,$A42,'📒 Jurnal'!$AQ$3:$AQ$502,1),"")</f>
        <v/>
      </c>
      <c r="E42" s="24">
        <f>IFERROR(SUMIFS('📒 Jurnal'!$Y$3:$Y$502,'📒 Jurnal'!$AF$3:$AF$502,$A42,'📒 Jurnal'!$AQ$3:$AQ$502,1),"")</f>
        <v>0</v>
      </c>
      <c r="F42" s="25" t="str">
        <f t="shared" si="0"/>
        <v/>
      </c>
    </row>
    <row r="43" spans="1:6">
      <c r="A43" s="21" t="s">
        <v>161</v>
      </c>
      <c r="B43" s="22">
        <f>(COUNTIFS('📒 Jurnal'!$AF$3:$AF$502,$A43,'📒 Jurnal'!$Z$3:$Z$502,"Win",'📒 Jurnal'!$AQ$3:$AQ$502,1)+COUNTIFS('📒 Jurnal'!$AF$3:$AF$502,$A43,'📒 Jurnal'!$Z$3:$Z$502,"Loss",'📒 Jurnal'!$AQ$3:$AQ$502,1)+COUNTIFS('📒 Jurnal'!$AF$3:$AF$502,$A43,'📒 Jurnal'!$Z$3:$Z$502,"BE",'📒 Jurnal'!$AQ$3:$AQ$502,1))</f>
        <v>0</v>
      </c>
      <c r="C43" s="23" t="str">
        <f>IFERROR(COUNTIFS('📒 Jurnal'!$AF$3:$AF$502,$A43,'📒 Jurnal'!$Z$3:$Z$502,"Win",'📒 Jurnal'!$AQ$3:$AQ$502,1)/(COUNTIFS('📒 Jurnal'!$AF$3:$AF$502,$A43,'📒 Jurnal'!$Z$3:$Z$502,"Win",'📒 Jurnal'!$AQ$3:$AQ$502,1)+COUNTIFS('📒 Jurnal'!$AF$3:$AF$502,$A43,'📒 Jurnal'!$Z$3:$Z$502,"Loss",'📒 Jurnal'!$AQ$3:$AQ$502,1)+COUNTIFS('📒 Jurnal'!$AF$3:$AF$502,$A43,'📒 Jurnal'!$Z$3:$Z$502,"BE",'📒 Jurnal'!$AQ$3:$AQ$502,1)),"")</f>
        <v/>
      </c>
      <c r="D43" s="24" t="str">
        <f>IFERROR(AVERAGEIFS('📒 Jurnal'!$Y$3:$Y$502,'📒 Jurnal'!$AF$3:$AF$502,$A43,'📒 Jurnal'!$AQ$3:$AQ$502,1),"")</f>
        <v/>
      </c>
      <c r="E43" s="24">
        <f>IFERROR(SUMIFS('📒 Jurnal'!$Y$3:$Y$502,'📒 Jurnal'!$AF$3:$AF$502,$A43,'📒 Jurnal'!$AQ$3:$AQ$502,1),"")</f>
        <v>0</v>
      </c>
      <c r="F43" s="25" t="str">
        <f t="shared" si="0"/>
        <v/>
      </c>
    </row>
    <row r="44" spans="1:6">
      <c r="A44" s="21" t="s">
        <v>167</v>
      </c>
      <c r="B44" s="22">
        <f>(COUNTIFS('📒 Jurnal'!$AF$3:$AF$502,$A44,'📒 Jurnal'!$Z$3:$Z$502,"Win",'📒 Jurnal'!$AQ$3:$AQ$502,1)+COUNTIFS('📒 Jurnal'!$AF$3:$AF$502,$A44,'📒 Jurnal'!$Z$3:$Z$502,"Loss",'📒 Jurnal'!$AQ$3:$AQ$502,1)+COUNTIFS('📒 Jurnal'!$AF$3:$AF$502,$A44,'📒 Jurnal'!$Z$3:$Z$502,"BE",'📒 Jurnal'!$AQ$3:$AQ$502,1))</f>
        <v>0</v>
      </c>
      <c r="C44" s="23" t="str">
        <f>IFERROR(COUNTIFS('📒 Jurnal'!$AF$3:$AF$502,$A44,'📒 Jurnal'!$Z$3:$Z$502,"Win",'📒 Jurnal'!$AQ$3:$AQ$502,1)/(COUNTIFS('📒 Jurnal'!$AF$3:$AF$502,$A44,'📒 Jurnal'!$Z$3:$Z$502,"Win",'📒 Jurnal'!$AQ$3:$AQ$502,1)+COUNTIFS('📒 Jurnal'!$AF$3:$AF$502,$A44,'📒 Jurnal'!$Z$3:$Z$502,"Loss",'📒 Jurnal'!$AQ$3:$AQ$502,1)+COUNTIFS('📒 Jurnal'!$AF$3:$AF$502,$A44,'📒 Jurnal'!$Z$3:$Z$502,"BE",'📒 Jurnal'!$AQ$3:$AQ$502,1)),"")</f>
        <v/>
      </c>
      <c r="D44" s="24" t="str">
        <f>IFERROR(AVERAGEIFS('📒 Jurnal'!$Y$3:$Y$502,'📒 Jurnal'!$AF$3:$AF$502,$A44,'📒 Jurnal'!$AQ$3:$AQ$502,1),"")</f>
        <v/>
      </c>
      <c r="E44" s="24">
        <f>IFERROR(SUMIFS('📒 Jurnal'!$Y$3:$Y$502,'📒 Jurnal'!$AF$3:$AF$502,$A44,'📒 Jurnal'!$AQ$3:$AQ$502,1),"")</f>
        <v>0</v>
      </c>
      <c r="F44" s="25" t="str">
        <f t="shared" si="0"/>
        <v/>
      </c>
    </row>
    <row r="45" spans="1:6">
      <c r="A45" s="21" t="s">
        <v>171</v>
      </c>
      <c r="B45" s="22">
        <f>(COUNTIFS('📒 Jurnal'!$AF$3:$AF$502,$A45,'📒 Jurnal'!$Z$3:$Z$502,"Win",'📒 Jurnal'!$AQ$3:$AQ$502,1)+COUNTIFS('📒 Jurnal'!$AF$3:$AF$502,$A45,'📒 Jurnal'!$Z$3:$Z$502,"Loss",'📒 Jurnal'!$AQ$3:$AQ$502,1)+COUNTIFS('📒 Jurnal'!$AF$3:$AF$502,$A45,'📒 Jurnal'!$Z$3:$Z$502,"BE",'📒 Jurnal'!$AQ$3:$AQ$502,1))</f>
        <v>0</v>
      </c>
      <c r="C45" s="23" t="str">
        <f>IFERROR(COUNTIFS('📒 Jurnal'!$AF$3:$AF$502,$A45,'📒 Jurnal'!$Z$3:$Z$502,"Win",'📒 Jurnal'!$AQ$3:$AQ$502,1)/(COUNTIFS('📒 Jurnal'!$AF$3:$AF$502,$A45,'📒 Jurnal'!$Z$3:$Z$502,"Win",'📒 Jurnal'!$AQ$3:$AQ$502,1)+COUNTIFS('📒 Jurnal'!$AF$3:$AF$502,$A45,'📒 Jurnal'!$Z$3:$Z$502,"Loss",'📒 Jurnal'!$AQ$3:$AQ$502,1)+COUNTIFS('📒 Jurnal'!$AF$3:$AF$502,$A45,'📒 Jurnal'!$Z$3:$Z$502,"BE",'📒 Jurnal'!$AQ$3:$AQ$502,1)),"")</f>
        <v/>
      </c>
      <c r="D45" s="24" t="str">
        <f>IFERROR(AVERAGEIFS('📒 Jurnal'!$Y$3:$Y$502,'📒 Jurnal'!$AF$3:$AF$502,$A45,'📒 Jurnal'!$AQ$3:$AQ$502,1),"")</f>
        <v/>
      </c>
      <c r="E45" s="24">
        <f>IFERROR(SUMIFS('📒 Jurnal'!$Y$3:$Y$502,'📒 Jurnal'!$AF$3:$AF$502,$A45,'📒 Jurnal'!$AQ$3:$AQ$502,1),"")</f>
        <v>0</v>
      </c>
      <c r="F45" s="25" t="str">
        <f t="shared" si="0"/>
        <v/>
      </c>
    </row>
    <row r="46" spans="1:6">
      <c r="A46" s="21" t="s">
        <v>173</v>
      </c>
      <c r="B46" s="22">
        <f>(COUNTIFS('📒 Jurnal'!$AF$3:$AF$502,$A46,'📒 Jurnal'!$Z$3:$Z$502,"Win",'📒 Jurnal'!$AQ$3:$AQ$502,1)+COUNTIFS('📒 Jurnal'!$AF$3:$AF$502,$A46,'📒 Jurnal'!$Z$3:$Z$502,"Loss",'📒 Jurnal'!$AQ$3:$AQ$502,1)+COUNTIFS('📒 Jurnal'!$AF$3:$AF$502,$A46,'📒 Jurnal'!$Z$3:$Z$502,"BE",'📒 Jurnal'!$AQ$3:$AQ$502,1))</f>
        <v>0</v>
      </c>
      <c r="C46" s="23" t="str">
        <f>IFERROR(COUNTIFS('📒 Jurnal'!$AF$3:$AF$502,$A46,'📒 Jurnal'!$Z$3:$Z$502,"Win",'📒 Jurnal'!$AQ$3:$AQ$502,1)/(COUNTIFS('📒 Jurnal'!$AF$3:$AF$502,$A46,'📒 Jurnal'!$Z$3:$Z$502,"Win",'📒 Jurnal'!$AQ$3:$AQ$502,1)+COUNTIFS('📒 Jurnal'!$AF$3:$AF$502,$A46,'📒 Jurnal'!$Z$3:$Z$502,"Loss",'📒 Jurnal'!$AQ$3:$AQ$502,1)+COUNTIFS('📒 Jurnal'!$AF$3:$AF$502,$A46,'📒 Jurnal'!$Z$3:$Z$502,"BE",'📒 Jurnal'!$AQ$3:$AQ$502,1)),"")</f>
        <v/>
      </c>
      <c r="D46" s="24" t="str">
        <f>IFERROR(AVERAGEIFS('📒 Jurnal'!$Y$3:$Y$502,'📒 Jurnal'!$AF$3:$AF$502,$A46,'📒 Jurnal'!$AQ$3:$AQ$502,1),"")</f>
        <v/>
      </c>
      <c r="E46" s="24">
        <f>IFERROR(SUMIFS('📒 Jurnal'!$Y$3:$Y$502,'📒 Jurnal'!$AF$3:$AF$502,$A46,'📒 Jurnal'!$AQ$3:$AQ$502,1),"")</f>
        <v>0</v>
      </c>
      <c r="F46" s="25" t="str">
        <f t="shared" si="0"/>
        <v/>
      </c>
    </row>
    <row r="48" spans="1:6">
      <c r="A48" s="7" t="s">
        <v>202</v>
      </c>
    </row>
    <row r="49" spans="1:6">
      <c r="A49" s="2" t="s">
        <v>203</v>
      </c>
    </row>
    <row r="50" spans="1:6">
      <c r="A50" s="20" t="s">
        <v>196</v>
      </c>
      <c r="B50" s="20" t="s">
        <v>140</v>
      </c>
      <c r="C50" s="20" t="s">
        <v>141</v>
      </c>
      <c r="D50" s="20" t="s">
        <v>142</v>
      </c>
      <c r="E50" s="20" t="s">
        <v>122</v>
      </c>
      <c r="F50" s="20" t="s">
        <v>197</v>
      </c>
    </row>
    <row r="51" spans="1:6">
      <c r="A51" s="21" t="s">
        <v>152</v>
      </c>
      <c r="B51" s="22">
        <f>(COUNTIFS('📒 Jurnal'!$AG$3:$AG$502,$A51,'📒 Jurnal'!$Z$3:$Z$502,"Win",'📒 Jurnal'!$AQ$3:$AQ$502,1)+COUNTIFS('📒 Jurnal'!$AG$3:$AG$502,$A51,'📒 Jurnal'!$Z$3:$Z$502,"Loss",'📒 Jurnal'!$AQ$3:$AQ$502,1)+COUNTIFS('📒 Jurnal'!$AG$3:$AG$502,$A51,'📒 Jurnal'!$Z$3:$Z$502,"BE",'📒 Jurnal'!$AQ$3:$AQ$502,1))</f>
        <v>0</v>
      </c>
      <c r="C51" s="23" t="str">
        <f>IFERROR(COUNTIFS('📒 Jurnal'!$AG$3:$AG$502,$A51,'📒 Jurnal'!$Z$3:$Z$502,"Win",'📒 Jurnal'!$AQ$3:$AQ$502,1)/(COUNTIFS('📒 Jurnal'!$AG$3:$AG$502,$A51,'📒 Jurnal'!$Z$3:$Z$502,"Win",'📒 Jurnal'!$AQ$3:$AQ$502,1)+COUNTIFS('📒 Jurnal'!$AG$3:$AG$502,$A51,'📒 Jurnal'!$Z$3:$Z$502,"Loss",'📒 Jurnal'!$AQ$3:$AQ$502,1)+COUNTIFS('📒 Jurnal'!$AG$3:$AG$502,$A51,'📒 Jurnal'!$Z$3:$Z$502,"BE",'📒 Jurnal'!$AQ$3:$AQ$502,1)),"")</f>
        <v/>
      </c>
      <c r="D51" s="24" t="str">
        <f>IFERROR(AVERAGEIFS('📒 Jurnal'!$Y$3:$Y$502,'📒 Jurnal'!$AG$3:$AG$502,$A51,'📒 Jurnal'!$AQ$3:$AQ$502,1),"")</f>
        <v/>
      </c>
      <c r="E51" s="24">
        <f>IFERROR(SUMIFS('📒 Jurnal'!$Y$3:$Y$502,'📒 Jurnal'!$AG$3:$AG$502,$A51,'📒 Jurnal'!$AQ$3:$AQ$502,1),"")</f>
        <v>0</v>
      </c>
      <c r="F51" s="25" t="str">
        <f>IF($B51=0,"",IF($D51&gt;=0,REPT("▉",MIN(14,ROUND($D51*14,0))),REPT("▒",MIN(14,ROUND(-$D51*14,0)))))</f>
        <v/>
      </c>
    </row>
    <row r="52" spans="1:6">
      <c r="A52" s="21" t="s">
        <v>158</v>
      </c>
      <c r="B52" s="22">
        <f>(COUNTIFS('📒 Jurnal'!$AG$3:$AG$502,$A52,'📒 Jurnal'!$Z$3:$Z$502,"Win",'📒 Jurnal'!$AQ$3:$AQ$502,1)+COUNTIFS('📒 Jurnal'!$AG$3:$AG$502,$A52,'📒 Jurnal'!$Z$3:$Z$502,"Loss",'📒 Jurnal'!$AQ$3:$AQ$502,1)+COUNTIFS('📒 Jurnal'!$AG$3:$AG$502,$A52,'📒 Jurnal'!$Z$3:$Z$502,"BE",'📒 Jurnal'!$AQ$3:$AQ$502,1))</f>
        <v>0</v>
      </c>
      <c r="C52" s="23" t="str">
        <f>IFERROR(COUNTIFS('📒 Jurnal'!$AG$3:$AG$502,$A52,'📒 Jurnal'!$Z$3:$Z$502,"Win",'📒 Jurnal'!$AQ$3:$AQ$502,1)/(COUNTIFS('📒 Jurnal'!$AG$3:$AG$502,$A52,'📒 Jurnal'!$Z$3:$Z$502,"Win",'📒 Jurnal'!$AQ$3:$AQ$502,1)+COUNTIFS('📒 Jurnal'!$AG$3:$AG$502,$A52,'📒 Jurnal'!$Z$3:$Z$502,"Loss",'📒 Jurnal'!$AQ$3:$AQ$502,1)+COUNTIFS('📒 Jurnal'!$AG$3:$AG$502,$A52,'📒 Jurnal'!$Z$3:$Z$502,"BE",'📒 Jurnal'!$AQ$3:$AQ$502,1)),"")</f>
        <v/>
      </c>
      <c r="D52" s="24" t="str">
        <f>IFERROR(AVERAGEIFS('📒 Jurnal'!$Y$3:$Y$502,'📒 Jurnal'!$AG$3:$AG$502,$A52,'📒 Jurnal'!$AQ$3:$AQ$502,1),"")</f>
        <v/>
      </c>
      <c r="E52" s="24">
        <f>IFERROR(SUMIFS('📒 Jurnal'!$Y$3:$Y$502,'📒 Jurnal'!$AG$3:$AG$502,$A52,'📒 Jurnal'!$AQ$3:$AQ$502,1),"")</f>
        <v>0</v>
      </c>
      <c r="F52" s="25" t="str">
        <f>IF($B52=0,"",IF($D52&gt;=0,REPT("▉",MIN(14,ROUND($D52*14,0))),REPT("▒",MIN(14,ROUND(-$D52*14,0)))))</f>
        <v/>
      </c>
    </row>
    <row r="53" spans="1:6">
      <c r="A53" s="21" t="s">
        <v>164</v>
      </c>
      <c r="B53" s="22">
        <f>(COUNTIFS('📒 Jurnal'!$AG$3:$AG$502,$A53,'📒 Jurnal'!$Z$3:$Z$502,"Win",'📒 Jurnal'!$AQ$3:$AQ$502,1)+COUNTIFS('📒 Jurnal'!$AG$3:$AG$502,$A53,'📒 Jurnal'!$Z$3:$Z$502,"Loss",'📒 Jurnal'!$AQ$3:$AQ$502,1)+COUNTIFS('📒 Jurnal'!$AG$3:$AG$502,$A53,'📒 Jurnal'!$Z$3:$Z$502,"BE",'📒 Jurnal'!$AQ$3:$AQ$502,1))</f>
        <v>0</v>
      </c>
      <c r="C53" s="23" t="str">
        <f>IFERROR(COUNTIFS('📒 Jurnal'!$AG$3:$AG$502,$A53,'📒 Jurnal'!$Z$3:$Z$502,"Win",'📒 Jurnal'!$AQ$3:$AQ$502,1)/(COUNTIFS('📒 Jurnal'!$AG$3:$AG$502,$A53,'📒 Jurnal'!$Z$3:$Z$502,"Win",'📒 Jurnal'!$AQ$3:$AQ$502,1)+COUNTIFS('📒 Jurnal'!$AG$3:$AG$502,$A53,'📒 Jurnal'!$Z$3:$Z$502,"Loss",'📒 Jurnal'!$AQ$3:$AQ$502,1)+COUNTIFS('📒 Jurnal'!$AG$3:$AG$502,$A53,'📒 Jurnal'!$Z$3:$Z$502,"BE",'📒 Jurnal'!$AQ$3:$AQ$502,1)),"")</f>
        <v/>
      </c>
      <c r="D53" s="24" t="str">
        <f>IFERROR(AVERAGEIFS('📒 Jurnal'!$Y$3:$Y$502,'📒 Jurnal'!$AG$3:$AG$502,$A53,'📒 Jurnal'!$AQ$3:$AQ$502,1),"")</f>
        <v/>
      </c>
      <c r="E53" s="24">
        <f>IFERROR(SUMIFS('📒 Jurnal'!$Y$3:$Y$502,'📒 Jurnal'!$AG$3:$AG$502,$A53,'📒 Jurnal'!$AQ$3:$AQ$502,1),"")</f>
        <v>0</v>
      </c>
      <c r="F53" s="25" t="str">
        <f>IF($B53=0,"",IF($D53&gt;=0,REPT("▉",MIN(14,ROUND($D53*14,0))),REPT("▒",MIN(14,ROUND(-$D53*14,0)))))</f>
        <v/>
      </c>
    </row>
    <row r="54" spans="1:6">
      <c r="A54" s="21" t="s">
        <v>169</v>
      </c>
      <c r="B54" s="22">
        <f>(COUNTIFS('📒 Jurnal'!$AG$3:$AG$502,$A54,'📒 Jurnal'!$Z$3:$Z$502,"Win",'📒 Jurnal'!$AQ$3:$AQ$502,1)+COUNTIFS('📒 Jurnal'!$AG$3:$AG$502,$A54,'📒 Jurnal'!$Z$3:$Z$502,"Loss",'📒 Jurnal'!$AQ$3:$AQ$502,1)+COUNTIFS('📒 Jurnal'!$AG$3:$AG$502,$A54,'📒 Jurnal'!$Z$3:$Z$502,"BE",'📒 Jurnal'!$AQ$3:$AQ$502,1))</f>
        <v>0</v>
      </c>
      <c r="C54" s="23" t="str">
        <f>IFERROR(COUNTIFS('📒 Jurnal'!$AG$3:$AG$502,$A54,'📒 Jurnal'!$Z$3:$Z$502,"Win",'📒 Jurnal'!$AQ$3:$AQ$502,1)/(COUNTIFS('📒 Jurnal'!$AG$3:$AG$502,$A54,'📒 Jurnal'!$Z$3:$Z$502,"Win",'📒 Jurnal'!$AQ$3:$AQ$502,1)+COUNTIFS('📒 Jurnal'!$AG$3:$AG$502,$A54,'📒 Jurnal'!$Z$3:$Z$502,"Loss",'📒 Jurnal'!$AQ$3:$AQ$502,1)+COUNTIFS('📒 Jurnal'!$AG$3:$AG$502,$A54,'📒 Jurnal'!$Z$3:$Z$502,"BE",'📒 Jurnal'!$AQ$3:$AQ$502,1)),"")</f>
        <v/>
      </c>
      <c r="D54" s="24" t="str">
        <f>IFERROR(AVERAGEIFS('📒 Jurnal'!$Y$3:$Y$502,'📒 Jurnal'!$AG$3:$AG$502,$A54,'📒 Jurnal'!$AQ$3:$AQ$502,1),"")</f>
        <v/>
      </c>
      <c r="E54" s="24">
        <f>IFERROR(SUMIFS('📒 Jurnal'!$Y$3:$Y$502,'📒 Jurnal'!$AG$3:$AG$502,$A54,'📒 Jurnal'!$AQ$3:$AQ$502,1),"")</f>
        <v>0</v>
      </c>
      <c r="F54" s="25" t="str">
        <f>IF($B54=0,"",IF($D54&gt;=0,REPT("▉",MIN(14,ROUND($D54*14,0))),REPT("▒",MIN(14,ROUND(-$D54*14,0)))))</f>
        <v/>
      </c>
    </row>
    <row r="56" spans="1:6">
      <c r="A56" s="7" t="s">
        <v>204</v>
      </c>
    </row>
    <row r="57" spans="1:6">
      <c r="A57" s="2" t="s">
        <v>205</v>
      </c>
    </row>
    <row r="58" spans="1:6">
      <c r="A58" s="20" t="s">
        <v>196</v>
      </c>
      <c r="B58" s="20" t="s">
        <v>140</v>
      </c>
      <c r="C58" s="20" t="s">
        <v>141</v>
      </c>
      <c r="D58" s="20" t="s">
        <v>142</v>
      </c>
      <c r="E58" s="20" t="s">
        <v>122</v>
      </c>
      <c r="F58" s="20" t="s">
        <v>197</v>
      </c>
    </row>
    <row r="59" spans="1:6">
      <c r="A59" s="21" t="s">
        <v>206</v>
      </c>
      <c r="B59" s="22">
        <f>(COUNTIFS('📒 Jurnal'!$K$3:$K$502,$A59,'📒 Jurnal'!$Z$3:$Z$502,"Win",'📒 Jurnal'!$AQ$3:$AQ$502,1)+COUNTIFS('📒 Jurnal'!$K$3:$K$502,$A59,'📒 Jurnal'!$Z$3:$Z$502,"Loss",'📒 Jurnal'!$AQ$3:$AQ$502,1)+COUNTIFS('📒 Jurnal'!$K$3:$K$502,$A59,'📒 Jurnal'!$Z$3:$Z$502,"BE",'📒 Jurnal'!$AQ$3:$AQ$502,1))</f>
        <v>0</v>
      </c>
      <c r="C59" s="23" t="str">
        <f>IFERROR(COUNTIFS('📒 Jurnal'!$K$3:$K$502,$A59,'📒 Jurnal'!$Z$3:$Z$502,"Win",'📒 Jurnal'!$AQ$3:$AQ$502,1)/(COUNTIFS('📒 Jurnal'!$K$3:$K$502,$A59,'📒 Jurnal'!$Z$3:$Z$502,"Win",'📒 Jurnal'!$AQ$3:$AQ$502,1)+COUNTIFS('📒 Jurnal'!$K$3:$K$502,$A59,'📒 Jurnal'!$Z$3:$Z$502,"Loss",'📒 Jurnal'!$AQ$3:$AQ$502,1)+COUNTIFS('📒 Jurnal'!$K$3:$K$502,$A59,'📒 Jurnal'!$Z$3:$Z$502,"BE",'📒 Jurnal'!$AQ$3:$AQ$502,1)),"")</f>
        <v/>
      </c>
      <c r="D59" s="24" t="str">
        <f>IFERROR(AVERAGEIFS('📒 Jurnal'!$Y$3:$Y$502,'📒 Jurnal'!$K$3:$K$502,$A59,'📒 Jurnal'!$AQ$3:$AQ$502,1),"")</f>
        <v/>
      </c>
      <c r="E59" s="24">
        <f>IFERROR(SUMIFS('📒 Jurnal'!$Y$3:$Y$502,'📒 Jurnal'!$K$3:$K$502,$A59,'📒 Jurnal'!$AQ$3:$AQ$502,1),"")</f>
        <v>0</v>
      </c>
      <c r="F59" s="25" t="str">
        <f>IF($B59=0,"",IF($D59&gt;=0,REPT("▉",MIN(14,ROUND($D59*14,0))),REPT("▒",MIN(14,ROUND(-$D59*14,0)))))</f>
        <v/>
      </c>
    </row>
    <row r="60" spans="1:6">
      <c r="A60" s="21" t="s">
        <v>207</v>
      </c>
      <c r="B60" s="22">
        <f>(COUNTIFS('📒 Jurnal'!$K$3:$K$502,$A60,'📒 Jurnal'!$Z$3:$Z$502,"Win",'📒 Jurnal'!$AQ$3:$AQ$502,1)+COUNTIFS('📒 Jurnal'!$K$3:$K$502,$A60,'📒 Jurnal'!$Z$3:$Z$502,"Loss",'📒 Jurnal'!$AQ$3:$AQ$502,1)+COUNTIFS('📒 Jurnal'!$K$3:$K$502,$A60,'📒 Jurnal'!$Z$3:$Z$502,"BE",'📒 Jurnal'!$AQ$3:$AQ$502,1))</f>
        <v>0</v>
      </c>
      <c r="C60" s="23" t="str">
        <f>IFERROR(COUNTIFS('📒 Jurnal'!$K$3:$K$502,$A60,'📒 Jurnal'!$Z$3:$Z$502,"Win",'📒 Jurnal'!$AQ$3:$AQ$502,1)/(COUNTIFS('📒 Jurnal'!$K$3:$K$502,$A60,'📒 Jurnal'!$Z$3:$Z$502,"Win",'📒 Jurnal'!$AQ$3:$AQ$502,1)+COUNTIFS('📒 Jurnal'!$K$3:$K$502,$A60,'📒 Jurnal'!$Z$3:$Z$502,"Loss",'📒 Jurnal'!$AQ$3:$AQ$502,1)+COUNTIFS('📒 Jurnal'!$K$3:$K$502,$A60,'📒 Jurnal'!$Z$3:$Z$502,"BE",'📒 Jurnal'!$AQ$3:$AQ$502,1)),"")</f>
        <v/>
      </c>
      <c r="D60" s="24" t="str">
        <f>IFERROR(AVERAGEIFS('📒 Jurnal'!$Y$3:$Y$502,'📒 Jurnal'!$K$3:$K$502,$A60,'📒 Jurnal'!$AQ$3:$AQ$502,1),"")</f>
        <v/>
      </c>
      <c r="E60" s="24">
        <f>IFERROR(SUMIFS('📒 Jurnal'!$Y$3:$Y$502,'📒 Jurnal'!$K$3:$K$502,$A60,'📒 Jurnal'!$AQ$3:$AQ$502,1),"")</f>
        <v>0</v>
      </c>
      <c r="F60" s="25" t="str">
        <f>IF($B60=0,"",IF($D60&gt;=0,REPT("▉",MIN(14,ROUND($D60*14,0))),REPT("▒",MIN(14,ROUND(-$D60*14,0)))))</f>
        <v/>
      </c>
    </row>
    <row r="62" spans="1:6">
      <c r="A62" s="7" t="s">
        <v>208</v>
      </c>
    </row>
    <row r="63" spans="1:6">
      <c r="A63" s="2" t="s">
        <v>209</v>
      </c>
    </row>
    <row r="64" spans="1:6">
      <c r="A64" s="20" t="s">
        <v>196</v>
      </c>
      <c r="B64" s="20" t="s">
        <v>140</v>
      </c>
      <c r="C64" s="20" t="s">
        <v>141</v>
      </c>
      <c r="D64" s="20" t="s">
        <v>142</v>
      </c>
      <c r="E64" s="20" t="s">
        <v>122</v>
      </c>
      <c r="F64" s="20" t="s">
        <v>197</v>
      </c>
    </row>
    <row r="65" spans="1:6">
      <c r="A65" s="21" t="s">
        <v>206</v>
      </c>
      <c r="B65" s="22">
        <f>(COUNTIFS('📒 Jurnal'!$AI$3:$AI$502,$A65,'📒 Jurnal'!$Z$3:$Z$502,"Win",'📒 Jurnal'!$AQ$3:$AQ$502,1)+COUNTIFS('📒 Jurnal'!$AI$3:$AI$502,$A65,'📒 Jurnal'!$Z$3:$Z$502,"Loss",'📒 Jurnal'!$AQ$3:$AQ$502,1)+COUNTIFS('📒 Jurnal'!$AI$3:$AI$502,$A65,'📒 Jurnal'!$Z$3:$Z$502,"BE",'📒 Jurnal'!$AQ$3:$AQ$502,1))</f>
        <v>0</v>
      </c>
      <c r="C65" s="23" t="str">
        <f>IFERROR(COUNTIFS('📒 Jurnal'!$AI$3:$AI$502,$A65,'📒 Jurnal'!$Z$3:$Z$502,"Win",'📒 Jurnal'!$AQ$3:$AQ$502,1)/(COUNTIFS('📒 Jurnal'!$AI$3:$AI$502,$A65,'📒 Jurnal'!$Z$3:$Z$502,"Win",'📒 Jurnal'!$AQ$3:$AQ$502,1)+COUNTIFS('📒 Jurnal'!$AI$3:$AI$502,$A65,'📒 Jurnal'!$Z$3:$Z$502,"Loss",'📒 Jurnal'!$AQ$3:$AQ$502,1)+COUNTIFS('📒 Jurnal'!$AI$3:$AI$502,$A65,'📒 Jurnal'!$Z$3:$Z$502,"BE",'📒 Jurnal'!$AQ$3:$AQ$502,1)),"")</f>
        <v/>
      </c>
      <c r="D65" s="24" t="str">
        <f>IFERROR(AVERAGEIFS('📒 Jurnal'!$Y$3:$Y$502,'📒 Jurnal'!$AI$3:$AI$502,$A65,'📒 Jurnal'!$AQ$3:$AQ$502,1),"")</f>
        <v/>
      </c>
      <c r="E65" s="24">
        <f>IFERROR(SUMIFS('📒 Jurnal'!$Y$3:$Y$502,'📒 Jurnal'!$AI$3:$AI$502,$A65,'📒 Jurnal'!$AQ$3:$AQ$502,1),"")</f>
        <v>0</v>
      </c>
      <c r="F65" s="25" t="str">
        <f>IF($B65=0,"",IF($D65&gt;=0,REPT("▉",MIN(14,ROUND($D65*14,0))),REPT("▒",MIN(14,ROUND(-$D65*14,0)))))</f>
        <v/>
      </c>
    </row>
    <row r="66" spans="1:6">
      <c r="A66" s="21" t="s">
        <v>207</v>
      </c>
      <c r="B66" s="22">
        <f>(COUNTIFS('📒 Jurnal'!$AI$3:$AI$502,$A66,'📒 Jurnal'!$Z$3:$Z$502,"Win",'📒 Jurnal'!$AQ$3:$AQ$502,1)+COUNTIFS('📒 Jurnal'!$AI$3:$AI$502,$A66,'📒 Jurnal'!$Z$3:$Z$502,"Loss",'📒 Jurnal'!$AQ$3:$AQ$502,1)+COUNTIFS('📒 Jurnal'!$AI$3:$AI$502,$A66,'📒 Jurnal'!$Z$3:$Z$502,"BE",'📒 Jurnal'!$AQ$3:$AQ$502,1))</f>
        <v>0</v>
      </c>
      <c r="C66" s="23" t="str">
        <f>IFERROR(COUNTIFS('📒 Jurnal'!$AI$3:$AI$502,$A66,'📒 Jurnal'!$Z$3:$Z$502,"Win",'📒 Jurnal'!$AQ$3:$AQ$502,1)/(COUNTIFS('📒 Jurnal'!$AI$3:$AI$502,$A66,'📒 Jurnal'!$Z$3:$Z$502,"Win",'📒 Jurnal'!$AQ$3:$AQ$502,1)+COUNTIFS('📒 Jurnal'!$AI$3:$AI$502,$A66,'📒 Jurnal'!$Z$3:$Z$502,"Loss",'📒 Jurnal'!$AQ$3:$AQ$502,1)+COUNTIFS('📒 Jurnal'!$AI$3:$AI$502,$A66,'📒 Jurnal'!$Z$3:$Z$502,"BE",'📒 Jurnal'!$AQ$3:$AQ$502,1)),"")</f>
        <v/>
      </c>
      <c r="D66" s="24" t="str">
        <f>IFERROR(AVERAGEIFS('📒 Jurnal'!$Y$3:$Y$502,'📒 Jurnal'!$AI$3:$AI$502,$A66,'📒 Jurnal'!$AQ$3:$AQ$502,1),"")</f>
        <v/>
      </c>
      <c r="E66" s="24">
        <f>IFERROR(SUMIFS('📒 Jurnal'!$Y$3:$Y$502,'📒 Jurnal'!$AI$3:$AI$502,$A66,'📒 Jurnal'!$AQ$3:$AQ$502,1),"")</f>
        <v>0</v>
      </c>
      <c r="F66" s="25" t="str">
        <f>IF($B66=0,"",IF($D66&gt;=0,REPT("▉",MIN(14,ROUND($D66*14,0))),REPT("▒",MIN(14,ROUND(-$D66*14,0)))))</f>
        <v/>
      </c>
    </row>
    <row r="68" spans="1:6">
      <c r="A68" s="7" t="s">
        <v>210</v>
      </c>
    </row>
    <row r="69" spans="1:6">
      <c r="A69" s="20" t="s">
        <v>196</v>
      </c>
      <c r="B69" s="20" t="s">
        <v>140</v>
      </c>
      <c r="C69" s="20" t="s">
        <v>141</v>
      </c>
      <c r="D69" s="20" t="s">
        <v>142</v>
      </c>
      <c r="E69" s="20" t="s">
        <v>122</v>
      </c>
      <c r="F69" s="20" t="s">
        <v>197</v>
      </c>
    </row>
    <row r="70" spans="1:6">
      <c r="A70" s="21" t="s">
        <v>49</v>
      </c>
      <c r="B70" s="22">
        <f>(COUNTIFS('📒 Jurnal'!$F$3:$F$502,$A70,'📒 Jurnal'!$Z$3:$Z$502,"Win",'📒 Jurnal'!$AQ$3:$AQ$502,1)+COUNTIFS('📒 Jurnal'!$F$3:$F$502,$A70,'📒 Jurnal'!$Z$3:$Z$502,"Loss",'📒 Jurnal'!$AQ$3:$AQ$502,1)+COUNTIFS('📒 Jurnal'!$F$3:$F$502,$A70,'📒 Jurnal'!$Z$3:$Z$502,"BE",'📒 Jurnal'!$AQ$3:$AQ$502,1))</f>
        <v>7</v>
      </c>
      <c r="C70" s="23">
        <f>IFERROR(COUNTIFS('📒 Jurnal'!$F$3:$F$502,$A70,'📒 Jurnal'!$Z$3:$Z$502,"Win",'📒 Jurnal'!$AQ$3:$AQ$502,1)/(COUNTIFS('📒 Jurnal'!$F$3:$F$502,$A70,'📒 Jurnal'!$Z$3:$Z$502,"Win",'📒 Jurnal'!$AQ$3:$AQ$502,1)+COUNTIFS('📒 Jurnal'!$F$3:$F$502,$A70,'📒 Jurnal'!$Z$3:$Z$502,"Loss",'📒 Jurnal'!$AQ$3:$AQ$502,1)+COUNTIFS('📒 Jurnal'!$F$3:$F$502,$A70,'📒 Jurnal'!$Z$3:$Z$502,"BE",'📒 Jurnal'!$AQ$3:$AQ$502,1)),"")</f>
        <v>1</v>
      </c>
      <c r="D70" s="24">
        <f>IFERROR(AVERAGEIFS('📒 Jurnal'!$Y$3:$Y$502,'📒 Jurnal'!$F$3:$F$502,$A70,'📒 Jurnal'!$AQ$3:$AQ$502,1),"")</f>
        <v>0.775</v>
      </c>
      <c r="E70" s="24">
        <f>IFERROR(SUMIFS('📒 Jurnal'!$Y$3:$Y$502,'📒 Jurnal'!$F$3:$F$502,$A70,'📒 Jurnal'!$AQ$3:$AQ$502,1),"")</f>
        <v>1.55</v>
      </c>
      <c r="F70" s="25" t="str">
        <f>IF($B70=0,"",IF($D70&gt;=0,REPT("▉",MIN(14,ROUND($D70*14,0))),REPT("▒",MIN(14,ROUND(-$D70*14,0)))))</f>
        <v>▉▉▉▉▉▉▉▉▉▉▉</v>
      </c>
    </row>
    <row r="71" spans="1:6">
      <c r="A71" s="21" t="s">
        <v>50</v>
      </c>
      <c r="B71" s="22">
        <f>(COUNTIFS('📒 Jurnal'!$F$3:$F$502,$A71,'📒 Jurnal'!$Z$3:$Z$502,"Win",'📒 Jurnal'!$AQ$3:$AQ$502,1)+COUNTIFS('📒 Jurnal'!$F$3:$F$502,$A71,'📒 Jurnal'!$Z$3:$Z$502,"Loss",'📒 Jurnal'!$AQ$3:$AQ$502,1)+COUNTIFS('📒 Jurnal'!$F$3:$F$502,$A71,'📒 Jurnal'!$Z$3:$Z$502,"BE",'📒 Jurnal'!$AQ$3:$AQ$502,1))</f>
        <v>2</v>
      </c>
      <c r="C71" s="23">
        <f>IFERROR(COUNTIFS('📒 Jurnal'!$F$3:$F$502,$A71,'📒 Jurnal'!$Z$3:$Z$502,"Win",'📒 Jurnal'!$AQ$3:$AQ$502,1)/(COUNTIFS('📒 Jurnal'!$F$3:$F$502,$A71,'📒 Jurnal'!$Z$3:$Z$502,"Win",'📒 Jurnal'!$AQ$3:$AQ$502,1)+COUNTIFS('📒 Jurnal'!$F$3:$F$502,$A71,'📒 Jurnal'!$Z$3:$Z$502,"Loss",'📒 Jurnal'!$AQ$3:$AQ$502,1)+COUNTIFS('📒 Jurnal'!$F$3:$F$502,$A71,'📒 Jurnal'!$Z$3:$Z$502,"BE",'📒 Jurnal'!$AQ$3:$AQ$502,1)),"")</f>
        <v>0</v>
      </c>
      <c r="D71" s="24" t="str">
        <f>IFERROR(AVERAGEIFS('📒 Jurnal'!$Y$3:$Y$502,'📒 Jurnal'!$F$3:$F$502,$A71,'📒 Jurnal'!$AQ$3:$AQ$502,1),"")</f>
        <v/>
      </c>
      <c r="E71" s="24">
        <f>IFERROR(SUMIFS('📒 Jurnal'!$Y$3:$Y$502,'📒 Jurnal'!$F$3:$F$502,$A71,'📒 Jurnal'!$AQ$3:$AQ$502,1),"")</f>
        <v>0</v>
      </c>
      <c r="F71" s="25" t="e">
        <f>IF($B71=0,"",IF($D71&gt;=0,REPT("▉",MIN(14,ROUND($D71*14,0))),REPT("▒",MIN(14,ROUND(-$D71*14,0)))))</f>
        <v>#VALUE!</v>
      </c>
    </row>
    <row r="72" spans="1:6">
      <c r="A72" s="21" t="s">
        <v>51</v>
      </c>
      <c r="B72" s="22">
        <f>(COUNTIFS('📒 Jurnal'!$F$3:$F$502,$A72,'📒 Jurnal'!$Z$3:$Z$502,"Win",'📒 Jurnal'!$AQ$3:$AQ$502,1)+COUNTIFS('📒 Jurnal'!$F$3:$F$502,$A72,'📒 Jurnal'!$Z$3:$Z$502,"Loss",'📒 Jurnal'!$AQ$3:$AQ$502,1)+COUNTIFS('📒 Jurnal'!$F$3:$F$502,$A72,'📒 Jurnal'!$Z$3:$Z$502,"BE",'📒 Jurnal'!$AQ$3:$AQ$502,1))</f>
        <v>0</v>
      </c>
      <c r="C72" s="23" t="str">
        <f>IFERROR(COUNTIFS('📒 Jurnal'!$F$3:$F$502,$A72,'📒 Jurnal'!$Z$3:$Z$502,"Win",'📒 Jurnal'!$AQ$3:$AQ$502,1)/(COUNTIFS('📒 Jurnal'!$F$3:$F$502,$A72,'📒 Jurnal'!$Z$3:$Z$502,"Win",'📒 Jurnal'!$AQ$3:$AQ$502,1)+COUNTIFS('📒 Jurnal'!$F$3:$F$502,$A72,'📒 Jurnal'!$Z$3:$Z$502,"Loss",'📒 Jurnal'!$AQ$3:$AQ$502,1)+COUNTIFS('📒 Jurnal'!$F$3:$F$502,$A72,'📒 Jurnal'!$Z$3:$Z$502,"BE",'📒 Jurnal'!$AQ$3:$AQ$502,1)),"")</f>
        <v/>
      </c>
      <c r="D72" s="24" t="str">
        <f>IFERROR(AVERAGEIFS('📒 Jurnal'!$Y$3:$Y$502,'📒 Jurnal'!$F$3:$F$502,$A72,'📒 Jurnal'!$AQ$3:$AQ$502,1),"")</f>
        <v/>
      </c>
      <c r="E72" s="24">
        <f>IFERROR(SUMIFS('📒 Jurnal'!$Y$3:$Y$502,'📒 Jurnal'!$F$3:$F$502,$A72,'📒 Jurnal'!$AQ$3:$AQ$502,1),"")</f>
        <v>0</v>
      </c>
      <c r="F72" s="25" t="str">
        <f>IF($B72=0,"",IF($D72&gt;=0,REPT("▉",MIN(14,ROUND($D72*14,0))),REPT("▒",MIN(14,ROUND(-$D72*14,0)))))</f>
        <v/>
      </c>
    </row>
    <row r="73" spans="1:6">
      <c r="A73" s="21" t="s">
        <v>52</v>
      </c>
      <c r="B73" s="22">
        <f>(COUNTIFS('📒 Jurnal'!$F$3:$F$502,$A73,'📒 Jurnal'!$Z$3:$Z$502,"Win",'📒 Jurnal'!$AQ$3:$AQ$502,1)+COUNTIFS('📒 Jurnal'!$F$3:$F$502,$A73,'📒 Jurnal'!$Z$3:$Z$502,"Loss",'📒 Jurnal'!$AQ$3:$AQ$502,1)+COUNTIFS('📒 Jurnal'!$F$3:$F$502,$A73,'📒 Jurnal'!$Z$3:$Z$502,"BE",'📒 Jurnal'!$AQ$3:$AQ$502,1))</f>
        <v>0</v>
      </c>
      <c r="C73" s="23" t="str">
        <f>IFERROR(COUNTIFS('📒 Jurnal'!$F$3:$F$502,$A73,'📒 Jurnal'!$Z$3:$Z$502,"Win",'📒 Jurnal'!$AQ$3:$AQ$502,1)/(COUNTIFS('📒 Jurnal'!$F$3:$F$502,$A73,'📒 Jurnal'!$Z$3:$Z$502,"Win",'📒 Jurnal'!$AQ$3:$AQ$502,1)+COUNTIFS('📒 Jurnal'!$F$3:$F$502,$A73,'📒 Jurnal'!$Z$3:$Z$502,"Loss",'📒 Jurnal'!$AQ$3:$AQ$502,1)+COUNTIFS('📒 Jurnal'!$F$3:$F$502,$A73,'📒 Jurnal'!$Z$3:$Z$502,"BE",'📒 Jurnal'!$AQ$3:$AQ$502,1)),"")</f>
        <v/>
      </c>
      <c r="D73" s="24" t="str">
        <f>IFERROR(AVERAGEIFS('📒 Jurnal'!$Y$3:$Y$502,'📒 Jurnal'!$F$3:$F$502,$A73,'📒 Jurnal'!$AQ$3:$AQ$502,1),"")</f>
        <v/>
      </c>
      <c r="E73" s="24">
        <f>IFERROR(SUMIFS('📒 Jurnal'!$Y$3:$Y$502,'📒 Jurnal'!$F$3:$F$502,$A73,'📒 Jurnal'!$AQ$3:$AQ$502,1),"")</f>
        <v>0</v>
      </c>
      <c r="F73" s="25" t="str">
        <f>IF($B73=0,"",IF($D73&gt;=0,REPT("▉",MIN(14,ROUND($D73*14,0))),REPT("▒",MIN(14,ROUND(-$D73*14,0)))))</f>
        <v/>
      </c>
    </row>
    <row r="74" spans="1:6">
      <c r="A74" s="21" t="s">
        <v>53</v>
      </c>
      <c r="B74" s="22">
        <f>(COUNTIFS('📒 Jurnal'!$F$3:$F$502,$A74,'📒 Jurnal'!$Z$3:$Z$502,"Win",'📒 Jurnal'!$AQ$3:$AQ$502,1)+COUNTIFS('📒 Jurnal'!$F$3:$F$502,$A74,'📒 Jurnal'!$Z$3:$Z$502,"Loss",'📒 Jurnal'!$AQ$3:$AQ$502,1)+COUNTIFS('📒 Jurnal'!$F$3:$F$502,$A74,'📒 Jurnal'!$Z$3:$Z$502,"BE",'📒 Jurnal'!$AQ$3:$AQ$502,1))</f>
        <v>0</v>
      </c>
      <c r="C74" s="23" t="str">
        <f>IFERROR(COUNTIFS('📒 Jurnal'!$F$3:$F$502,$A74,'📒 Jurnal'!$Z$3:$Z$502,"Win",'📒 Jurnal'!$AQ$3:$AQ$502,1)/(COUNTIFS('📒 Jurnal'!$F$3:$F$502,$A74,'📒 Jurnal'!$Z$3:$Z$502,"Win",'📒 Jurnal'!$AQ$3:$AQ$502,1)+COUNTIFS('📒 Jurnal'!$F$3:$F$502,$A74,'📒 Jurnal'!$Z$3:$Z$502,"Loss",'📒 Jurnal'!$AQ$3:$AQ$502,1)+COUNTIFS('📒 Jurnal'!$F$3:$F$502,$A74,'📒 Jurnal'!$Z$3:$Z$502,"BE",'📒 Jurnal'!$AQ$3:$AQ$502,1)),"")</f>
        <v/>
      </c>
      <c r="D74" s="24" t="str">
        <f>IFERROR(AVERAGEIFS('📒 Jurnal'!$Y$3:$Y$502,'📒 Jurnal'!$F$3:$F$502,$A74,'📒 Jurnal'!$AQ$3:$AQ$502,1),"")</f>
        <v/>
      </c>
      <c r="E74" s="24">
        <f>IFERROR(SUMIFS('📒 Jurnal'!$Y$3:$Y$502,'📒 Jurnal'!$F$3:$F$502,$A74,'📒 Jurnal'!$AQ$3:$AQ$502,1),"")</f>
        <v>0</v>
      </c>
      <c r="F74" s="25" t="str">
        <f>IF($B74=0,"",IF($D74&gt;=0,REPT("▉",MIN(14,ROUND($D74*14,0))),REPT("▒",MIN(14,ROUND(-$D74*14,0)))))</f>
        <v/>
      </c>
    </row>
    <row r="76" spans="1:6">
      <c r="A76" s="7" t="s">
        <v>211</v>
      </c>
    </row>
    <row r="77" spans="1:6">
      <c r="A77" s="26" t="s">
        <v>212</v>
      </c>
      <c r="B77" s="27" t="str">
        <f>IFERROR(AVERAGEIFS('📒 Jurnal'!$AD$3:$AD$502,'📒 Jurnal'!$Z$3:$Z$502,"Win",'📒 Jurnal'!$AQ$3:$AQ$502,1),"")</f>
        <v/>
      </c>
      <c r="C77" s="2" t="s">
        <v>213</v>
      </c>
    </row>
    <row r="78" spans="1:6">
      <c r="A78" s="26" t="s">
        <v>214</v>
      </c>
      <c r="B78" s="27" t="str">
        <f>IFERROR(AVERAGEIFS('📒 Jurnal'!$AD$3:$AD$502,'📒 Jurnal'!$Z$3:$Z$502,"Loss",'📒 Jurnal'!$AQ$3:$AQ$502,1),"")</f>
        <v/>
      </c>
      <c r="C78" s="2" t="s">
        <v>215</v>
      </c>
    </row>
    <row r="79" spans="1:6">
      <c r="A79" s="26" t="s">
        <v>216</v>
      </c>
      <c r="B79" s="27" t="str">
        <f>IFERROR(AVERAGEIFS('📒 Jurnal'!$AE$3:$AE$502,'📒 Jurnal'!$Z$3:$Z$502,"Win",'📒 Jurnal'!$AQ$3:$AQ$502,1),"")</f>
        <v/>
      </c>
      <c r="C79" s="2" t="s">
        <v>217</v>
      </c>
    </row>
    <row r="80" spans="1:6">
      <c r="A80" s="26" t="s">
        <v>218</v>
      </c>
      <c r="B80" s="27" t="str">
        <f>IFERROR(AVERAGEIFS('📒 Jurnal'!$AE$3:$AE$502,'📒 Jurnal'!$Z$3:$Z$502,"Loss",'📒 Jurnal'!$AQ$3:$AQ$502,1),"")</f>
        <v/>
      </c>
      <c r="C80" s="2" t="s">
        <v>219</v>
      </c>
    </row>
    <row r="82" spans="1:6">
      <c r="A82" s="7" t="s">
        <v>220</v>
      </c>
    </row>
    <row r="83" spans="1:6">
      <c r="A83" s="20" t="s">
        <v>99</v>
      </c>
      <c r="B83" s="20" t="s">
        <v>144</v>
      </c>
      <c r="D83" s="20" t="s">
        <v>122</v>
      </c>
      <c r="E83" s="20" t="s">
        <v>138</v>
      </c>
    </row>
    <row r="84" spans="1:6">
      <c r="A84" s="21" t="s">
        <v>221</v>
      </c>
      <c r="B84" s="22">
        <f>COUNTIFS('📒 Jurnal'!$AJ$3:$AJ$502,$A84,'📒 Jurnal'!$AQ$3:$AQ$502,1)</f>
        <v>0</v>
      </c>
      <c r="D84" s="24">
        <f>IFERROR(SUMIFS('📒 Jurnal'!$Y$3:$Y$502,'📒 Jurnal'!$AJ$3:$AJ$502,$A84,'📒 Jurnal'!$AQ$3:$AQ$502,1),"")</f>
        <v>0</v>
      </c>
      <c r="E84" s="28">
        <f>IFERROR(SUMIFS('📒 Jurnal'!$X$3:$X$502,'📒 Jurnal'!$AJ$3:$AJ$502,$A84,'📒 Jurnal'!$AQ$3:$AQ$502,1),"")</f>
        <v>0</v>
      </c>
    </row>
    <row r="85" spans="1:6">
      <c r="A85" s="21" t="s">
        <v>222</v>
      </c>
      <c r="B85" s="22">
        <f>COUNTIFS('📒 Jurnal'!$AJ$3:$AJ$502,$A85,'📒 Jurnal'!$AQ$3:$AQ$502,1)</f>
        <v>0</v>
      </c>
      <c r="D85" s="24">
        <f>IFERROR(SUMIFS('📒 Jurnal'!$Y$3:$Y$502,'📒 Jurnal'!$AJ$3:$AJ$502,$A85,'📒 Jurnal'!$AQ$3:$AQ$502,1),"")</f>
        <v>0</v>
      </c>
      <c r="E85" s="28">
        <f>IFERROR(SUMIFS('📒 Jurnal'!$X$3:$X$502,'📒 Jurnal'!$AJ$3:$AJ$502,$A85,'📒 Jurnal'!$AQ$3:$AQ$502,1),"")</f>
        <v>0</v>
      </c>
    </row>
    <row r="86" spans="1:6">
      <c r="A86" s="21" t="s">
        <v>223</v>
      </c>
      <c r="B86" s="22">
        <f>COUNTIFS('📒 Jurnal'!$AJ$3:$AJ$502,$A86,'📒 Jurnal'!$AQ$3:$AQ$502,1)</f>
        <v>0</v>
      </c>
      <c r="D86" s="24">
        <f>IFERROR(SUMIFS('📒 Jurnal'!$Y$3:$Y$502,'📒 Jurnal'!$AJ$3:$AJ$502,$A86,'📒 Jurnal'!$AQ$3:$AQ$502,1),"")</f>
        <v>0</v>
      </c>
      <c r="E86" s="28">
        <f>IFERROR(SUMIFS('📒 Jurnal'!$X$3:$X$502,'📒 Jurnal'!$AJ$3:$AJ$502,$A86,'📒 Jurnal'!$AQ$3:$AQ$502,1),"")</f>
        <v>0</v>
      </c>
    </row>
    <row r="87" spans="1:6">
      <c r="A87" s="21" t="s">
        <v>224</v>
      </c>
      <c r="B87" s="22">
        <f>COUNTIFS('📒 Jurnal'!$AJ$3:$AJ$502,$A87,'📒 Jurnal'!$AQ$3:$AQ$502,1)</f>
        <v>0</v>
      </c>
      <c r="D87" s="24">
        <f>IFERROR(SUMIFS('📒 Jurnal'!$Y$3:$Y$502,'📒 Jurnal'!$AJ$3:$AJ$502,$A87,'📒 Jurnal'!$AQ$3:$AQ$502,1),"")</f>
        <v>0</v>
      </c>
      <c r="E87" s="28">
        <f>IFERROR(SUMIFS('📒 Jurnal'!$X$3:$X$502,'📒 Jurnal'!$AJ$3:$AJ$502,$A87,'📒 Jurnal'!$AQ$3:$AQ$502,1),"")</f>
        <v>0</v>
      </c>
    </row>
    <row r="88" spans="1:6">
      <c r="A88" s="21" t="s">
        <v>225</v>
      </c>
      <c r="B88" s="22">
        <f>COUNTIFS('📒 Jurnal'!$AJ$3:$AJ$502,$A88,'📒 Jurnal'!$AQ$3:$AQ$502,1)</f>
        <v>0</v>
      </c>
      <c r="D88" s="24">
        <f>IFERROR(SUMIFS('📒 Jurnal'!$Y$3:$Y$502,'📒 Jurnal'!$AJ$3:$AJ$502,$A88,'📒 Jurnal'!$AQ$3:$AQ$502,1),"")</f>
        <v>0</v>
      </c>
      <c r="E88" s="28">
        <f>IFERROR(SUMIFS('📒 Jurnal'!$X$3:$X$502,'📒 Jurnal'!$AJ$3:$AJ$502,$A88,'📒 Jurnal'!$AQ$3:$AQ$502,1),"")</f>
        <v>0</v>
      </c>
    </row>
    <row r="89" spans="1:6">
      <c r="A89" s="21" t="s">
        <v>226</v>
      </c>
      <c r="B89" s="22">
        <f>COUNTIFS('📒 Jurnal'!$AJ$3:$AJ$502,$A89,'📒 Jurnal'!$AQ$3:$AQ$502,1)</f>
        <v>0</v>
      </c>
      <c r="D89" s="24">
        <f>IFERROR(SUMIFS('📒 Jurnal'!$Y$3:$Y$502,'📒 Jurnal'!$AJ$3:$AJ$502,$A89,'📒 Jurnal'!$AQ$3:$AQ$502,1),"")</f>
        <v>0</v>
      </c>
      <c r="E89" s="28">
        <f>IFERROR(SUMIFS('📒 Jurnal'!$X$3:$X$502,'📒 Jurnal'!$AJ$3:$AJ$502,$A89,'📒 Jurnal'!$AQ$3:$AQ$502,1),"")</f>
        <v>0</v>
      </c>
    </row>
    <row r="90" spans="1:6">
      <c r="A90" s="21" t="s">
        <v>227</v>
      </c>
      <c r="B90" s="22">
        <f>COUNTIFS('📒 Jurnal'!$AJ$3:$AJ$502,$A90,'📒 Jurnal'!$AQ$3:$AQ$502,1)</f>
        <v>0</v>
      </c>
      <c r="D90" s="24">
        <f>IFERROR(SUMIFS('📒 Jurnal'!$Y$3:$Y$502,'📒 Jurnal'!$AJ$3:$AJ$502,$A90,'📒 Jurnal'!$AQ$3:$AQ$502,1),"")</f>
        <v>0</v>
      </c>
      <c r="E90" s="28">
        <f>IFERROR(SUMIFS('📒 Jurnal'!$X$3:$X$502,'📒 Jurnal'!$AJ$3:$AJ$502,$A90,'📒 Jurnal'!$AQ$3:$AQ$502,1),"")</f>
        <v>0</v>
      </c>
    </row>
    <row r="91" spans="1:6">
      <c r="A91" s="21" t="s">
        <v>165</v>
      </c>
      <c r="B91" s="22">
        <f>COUNTIFS('📒 Jurnal'!$AJ$3:$AJ$502,$A91,'📒 Jurnal'!$AQ$3:$AQ$502,1)</f>
        <v>0</v>
      </c>
      <c r="D91" s="24">
        <f>IFERROR(SUMIFS('📒 Jurnal'!$Y$3:$Y$502,'📒 Jurnal'!$AJ$3:$AJ$502,$A91,'📒 Jurnal'!$AQ$3:$AQ$502,1),"")</f>
        <v>0</v>
      </c>
      <c r="E91" s="28">
        <f>IFERROR(SUMIFS('📒 Jurnal'!$X$3:$X$502,'📒 Jurnal'!$AJ$3:$AJ$502,$A91,'📒 Jurnal'!$AQ$3:$AQ$502,1),"")</f>
        <v>0</v>
      </c>
    </row>
    <row r="93" spans="1:6">
      <c r="A93" s="29" t="s">
        <v>228</v>
      </c>
      <c r="B93" s="30"/>
      <c r="C93" s="30"/>
      <c r="D93" s="30"/>
      <c r="E93" s="30"/>
      <c r="F93" s="31"/>
    </row>
    <row r="94" spans="1:6">
      <c r="A94" s="32"/>
      <c r="F94" s="33"/>
    </row>
    <row r="95" spans="1:6">
      <c r="A95" s="34"/>
      <c r="B95" s="35"/>
      <c r="C95" s="35"/>
      <c r="D95" s="35"/>
      <c r="E95" s="35"/>
      <c r="F95" s="36"/>
    </row>
  </sheetData>
  <mergeCells count="23">
    <mergeCell ref="A3:F3"/>
    <mergeCell ref="A11:F11"/>
    <mergeCell ref="A18:F18"/>
    <mergeCell ref="A22:F22"/>
    <mergeCell ref="A23:F23"/>
    <mergeCell ref="A30:F30"/>
    <mergeCell ref="A31:F31"/>
    <mergeCell ref="A38:F38"/>
    <mergeCell ref="A39:F39"/>
    <mergeCell ref="A48:F48"/>
    <mergeCell ref="A49:F49"/>
    <mergeCell ref="A56:F56"/>
    <mergeCell ref="A57:F57"/>
    <mergeCell ref="A62:F62"/>
    <mergeCell ref="A63:F63"/>
    <mergeCell ref="A68:F68"/>
    <mergeCell ref="A76:F76"/>
    <mergeCell ref="C77:F77"/>
    <mergeCell ref="C78:F78"/>
    <mergeCell ref="C79:F79"/>
    <mergeCell ref="C80:F80"/>
    <mergeCell ref="A82:F82"/>
    <mergeCell ref="A93:F95"/>
  </mergeCells>
  <conditionalFormatting sqref="D25">
    <cfRule type="expression" dxfId="1" priority="1">
      <formula>AND($B25&gt;0,$D25&gt;0)</formula>
    </cfRule>
    <cfRule type="expression" dxfId="2" priority="2">
      <formula>AND($B25&gt;0,$D25&lt;0)</formula>
    </cfRule>
  </conditionalFormatting>
  <conditionalFormatting sqref="D26">
    <cfRule type="expression" dxfId="1" priority="3">
      <formula>AND($B26&gt;0,$D26&gt;0)</formula>
    </cfRule>
    <cfRule type="expression" dxfId="2" priority="4">
      <formula>AND($B26&gt;0,$D26&lt;0)</formula>
    </cfRule>
  </conditionalFormatting>
  <conditionalFormatting sqref="D27">
    <cfRule type="expression" dxfId="1" priority="5">
      <formula>AND($B27&gt;0,$D27&gt;0)</formula>
    </cfRule>
    <cfRule type="expression" dxfId="2" priority="6">
      <formula>AND($B27&gt;0,$D27&lt;0)</formula>
    </cfRule>
  </conditionalFormatting>
  <conditionalFormatting sqref="D28">
    <cfRule type="expression" dxfId="1" priority="7">
      <formula>AND($B28&gt;0,$D28&gt;0)</formula>
    </cfRule>
    <cfRule type="expression" dxfId="2" priority="8">
      <formula>AND($B28&gt;0,$D28&lt;0)</formula>
    </cfRule>
  </conditionalFormatting>
  <conditionalFormatting sqref="D33">
    <cfRule type="expression" dxfId="1" priority="9">
      <formula>AND($B33&gt;0,$D33&gt;0)</formula>
    </cfRule>
    <cfRule type="expression" dxfId="2" priority="10">
      <formula>AND($B33&gt;0,$D33&lt;0)</formula>
    </cfRule>
  </conditionalFormatting>
  <conditionalFormatting sqref="D34">
    <cfRule type="expression" dxfId="1" priority="11">
      <formula>AND($B34&gt;0,$D34&gt;0)</formula>
    </cfRule>
    <cfRule type="expression" dxfId="2" priority="12">
      <formula>AND($B34&gt;0,$D34&lt;0)</formula>
    </cfRule>
  </conditionalFormatting>
  <conditionalFormatting sqref="D35">
    <cfRule type="expression" dxfId="1" priority="13">
      <formula>AND($B35&gt;0,$D35&gt;0)</formula>
    </cfRule>
    <cfRule type="expression" dxfId="2" priority="14">
      <formula>AND($B35&gt;0,$D35&lt;0)</formula>
    </cfRule>
  </conditionalFormatting>
  <conditionalFormatting sqref="D36">
    <cfRule type="expression" dxfId="1" priority="15">
      <formula>AND($B36&gt;0,$D36&gt;0)</formula>
    </cfRule>
    <cfRule type="expression" dxfId="2" priority="16">
      <formula>AND($B36&gt;0,$D36&lt;0)</formula>
    </cfRule>
  </conditionalFormatting>
  <conditionalFormatting sqref="D41">
    <cfRule type="expression" dxfId="1" priority="17">
      <formula>AND($B41&gt;0,$D41&gt;0)</formula>
    </cfRule>
    <cfRule type="expression" dxfId="2" priority="18">
      <formula>AND($B41&gt;0,$D41&lt;0)</formula>
    </cfRule>
  </conditionalFormatting>
  <conditionalFormatting sqref="D42">
    <cfRule type="expression" dxfId="1" priority="19">
      <formula>AND($B42&gt;0,$D42&gt;0)</formula>
    </cfRule>
    <cfRule type="expression" dxfId="2" priority="20">
      <formula>AND($B42&gt;0,$D42&lt;0)</formula>
    </cfRule>
  </conditionalFormatting>
  <conditionalFormatting sqref="D43">
    <cfRule type="expression" dxfId="1" priority="21">
      <formula>AND($B43&gt;0,$D43&gt;0)</formula>
    </cfRule>
    <cfRule type="expression" dxfId="2" priority="22">
      <formula>AND($B43&gt;0,$D43&lt;0)</formula>
    </cfRule>
  </conditionalFormatting>
  <conditionalFormatting sqref="D44">
    <cfRule type="expression" dxfId="1" priority="23">
      <formula>AND($B44&gt;0,$D44&gt;0)</formula>
    </cfRule>
    <cfRule type="expression" dxfId="2" priority="24">
      <formula>AND($B44&gt;0,$D44&lt;0)</formula>
    </cfRule>
  </conditionalFormatting>
  <conditionalFormatting sqref="D45">
    <cfRule type="expression" dxfId="1" priority="25">
      <formula>AND($B45&gt;0,$D45&gt;0)</formula>
    </cfRule>
    <cfRule type="expression" dxfId="2" priority="26">
      <formula>AND($B45&gt;0,$D45&lt;0)</formula>
    </cfRule>
  </conditionalFormatting>
  <conditionalFormatting sqref="D46">
    <cfRule type="expression" dxfId="1" priority="27">
      <formula>AND($B46&gt;0,$D46&gt;0)</formula>
    </cfRule>
    <cfRule type="expression" dxfId="2" priority="28">
      <formula>AND($B46&gt;0,$D46&lt;0)</formula>
    </cfRule>
  </conditionalFormatting>
  <conditionalFormatting sqref="D51">
    <cfRule type="expression" dxfId="1" priority="29">
      <formula>AND($B51&gt;0,$D51&gt;0)</formula>
    </cfRule>
    <cfRule type="expression" dxfId="2" priority="30">
      <formula>AND($B51&gt;0,$D51&lt;0)</formula>
    </cfRule>
  </conditionalFormatting>
  <conditionalFormatting sqref="D52">
    <cfRule type="expression" dxfId="1" priority="31">
      <formula>AND($B52&gt;0,$D52&gt;0)</formula>
    </cfRule>
    <cfRule type="expression" dxfId="2" priority="32">
      <formula>AND($B52&gt;0,$D52&lt;0)</formula>
    </cfRule>
  </conditionalFormatting>
  <conditionalFormatting sqref="D53">
    <cfRule type="expression" dxfId="1" priority="33">
      <formula>AND($B53&gt;0,$D53&gt;0)</formula>
    </cfRule>
    <cfRule type="expression" dxfId="2" priority="34">
      <formula>AND($B53&gt;0,$D53&lt;0)</formula>
    </cfRule>
  </conditionalFormatting>
  <conditionalFormatting sqref="D54">
    <cfRule type="expression" dxfId="1" priority="35">
      <formula>AND($B54&gt;0,$D54&gt;0)</formula>
    </cfRule>
    <cfRule type="expression" dxfId="2" priority="36">
      <formula>AND($B54&gt;0,$D54&lt;0)</formula>
    </cfRule>
  </conditionalFormatting>
  <conditionalFormatting sqref="D59">
    <cfRule type="expression" dxfId="1" priority="37">
      <formula>AND($B59&gt;0,$D59&gt;0)</formula>
    </cfRule>
    <cfRule type="expression" dxfId="2" priority="38">
      <formula>AND($B59&gt;0,$D59&lt;0)</formula>
    </cfRule>
  </conditionalFormatting>
  <conditionalFormatting sqref="D60">
    <cfRule type="expression" dxfId="1" priority="39">
      <formula>AND($B60&gt;0,$D60&gt;0)</formula>
    </cfRule>
    <cfRule type="expression" dxfId="2" priority="40">
      <formula>AND($B60&gt;0,$D60&lt;0)</formula>
    </cfRule>
  </conditionalFormatting>
  <conditionalFormatting sqref="D65">
    <cfRule type="expression" dxfId="1" priority="41">
      <formula>AND($B65&gt;0,$D65&gt;0)</formula>
    </cfRule>
    <cfRule type="expression" dxfId="2" priority="42">
      <formula>AND($B65&gt;0,$D65&lt;0)</formula>
    </cfRule>
  </conditionalFormatting>
  <conditionalFormatting sqref="D66">
    <cfRule type="expression" dxfId="1" priority="43">
      <formula>AND($B66&gt;0,$D66&gt;0)</formula>
    </cfRule>
    <cfRule type="expression" dxfId="2" priority="44">
      <formula>AND($B66&gt;0,$D66&lt;0)</formula>
    </cfRule>
  </conditionalFormatting>
  <conditionalFormatting sqref="D70">
    <cfRule type="expression" dxfId="1" priority="45">
      <formula>AND($B70&gt;0,$D70&gt;0)</formula>
    </cfRule>
    <cfRule type="expression" dxfId="2" priority="46">
      <formula>AND($B70&gt;0,$D70&lt;0)</formula>
    </cfRule>
  </conditionalFormatting>
  <conditionalFormatting sqref="D71">
    <cfRule type="expression" dxfId="1" priority="47">
      <formula>AND($B71&gt;0,$D71&gt;0)</formula>
    </cfRule>
    <cfRule type="expression" dxfId="2" priority="48">
      <formula>AND($B71&gt;0,$D71&lt;0)</formula>
    </cfRule>
  </conditionalFormatting>
  <conditionalFormatting sqref="D72">
    <cfRule type="expression" dxfId="1" priority="49">
      <formula>AND($B72&gt;0,$D72&gt;0)</formula>
    </cfRule>
    <cfRule type="expression" dxfId="2" priority="50">
      <formula>AND($B72&gt;0,$D72&lt;0)</formula>
    </cfRule>
  </conditionalFormatting>
  <conditionalFormatting sqref="D73">
    <cfRule type="expression" dxfId="1" priority="51">
      <formula>AND($B73&gt;0,$D73&gt;0)</formula>
    </cfRule>
    <cfRule type="expression" dxfId="2" priority="52">
      <formula>AND($B73&gt;0,$D73&lt;0)</formula>
    </cfRule>
  </conditionalFormatting>
  <conditionalFormatting sqref="D74">
    <cfRule type="expression" dxfId="1" priority="53">
      <formula>AND($B74&gt;0,$D74&gt;0)</formula>
    </cfRule>
    <cfRule type="expression" dxfId="2" priority="54">
      <formula>AND($B74&gt;0,$D74&lt;0)</formula>
    </cfRule>
  </conditionalFormatting>
  <conditionalFormatting sqref="E84">
    <cfRule type="expression" dxfId="2" priority="55">
      <formula>AND($B84&gt;0,$E84&lt;0)</formula>
    </cfRule>
  </conditionalFormatting>
  <conditionalFormatting sqref="E85">
    <cfRule type="expression" dxfId="2" priority="56">
      <formula>AND($B85&gt;0,$E85&lt;0)</formula>
    </cfRule>
  </conditionalFormatting>
  <conditionalFormatting sqref="E86">
    <cfRule type="expression" dxfId="2" priority="57">
      <formula>AND($B86&gt;0,$E86&lt;0)</formula>
    </cfRule>
  </conditionalFormatting>
  <conditionalFormatting sqref="E87">
    <cfRule type="expression" dxfId="2" priority="58">
      <formula>AND($B87&gt;0,$E87&lt;0)</formula>
    </cfRule>
  </conditionalFormatting>
  <conditionalFormatting sqref="E88">
    <cfRule type="expression" dxfId="2" priority="59">
      <formula>AND($B88&gt;0,$E88&lt;0)</formula>
    </cfRule>
  </conditionalFormatting>
  <conditionalFormatting sqref="E89">
    <cfRule type="expression" dxfId="2" priority="60">
      <formula>AND($B89&gt;0,$E89&lt;0)</formula>
    </cfRule>
  </conditionalFormatting>
  <conditionalFormatting sqref="E90">
    <cfRule type="expression" dxfId="2" priority="61">
      <formula>AND($B90&gt;0,$E90&lt;0)</formula>
    </cfRule>
  </conditionalFormatting>
  <conditionalFormatting sqref="E91">
    <cfRule type="expression" dxfId="2" priority="62">
      <formula>AND($B91&gt;0,$E91&lt;0)</formula>
    </cfRule>
  </conditionalFormatting>
  <dataValidations count="6">
    <dataValidation type="list" sqref="B4">
      <formula1>"(Semua),XAUUSD,BTCUSD,EURUSD,GBPUSD,USDJPY"</formula1>
    </dataValidation>
    <dataValidation type="list" sqref="B5">
      <formula1>"(Semua),First Touch,RBS Retest,SBR Retest,Lainnya"</formula1>
    </dataValidation>
    <dataValidation type="list" sqref="B6">
      <formula1>"(Semua),London,Overlap LDN+NY,New York,Asia"</formula1>
    </dataValidation>
    <dataValidation type="list" sqref="B7">
      <formula1>"(Semua),Tenang,FOMO,Balas dendam,Ragu,Overconfident,Bosan"</formula1>
    </dataValidation>
    <dataValidation type="list" sqref="B8">
      <formula1>"(Semua),Segar,Biasa,Capek,Ngantuk"</formula1>
    </dataValidation>
    <dataValidation type="list" sqref="B9">
      <formula1>"(Semua),Ya,Tidak"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8"/>
  <sheetViews>
    <sheetView showGridLines="0" workbookViewId="0">
      <selection activeCell="B6" sqref="B6"/>
    </sheetView>
  </sheetViews>
  <sheetFormatPr defaultColWidth="9" defaultRowHeight="16.8" outlineLevelCol="1"/>
  <cols>
    <col min="1" max="1" width="30" customWidth="1"/>
    <col min="2" max="2" width="95" customWidth="1"/>
  </cols>
  <sheetData>
    <row r="1" ht="20.4" spans="1:2">
      <c r="A1" s="1" t="s">
        <v>229</v>
      </c>
    </row>
    <row r="2" spans="1:2">
      <c r="A2" s="2" t="s">
        <v>230</v>
      </c>
    </row>
    <row r="4" ht="17.6" spans="1:2">
      <c r="A4" s="3" t="s">
        <v>231</v>
      </c>
    </row>
    <row r="5" ht="34" customHeight="1" spans="1:2">
      <c r="A5" s="4" t="s">
        <v>232</v>
      </c>
      <c r="B5" s="5"/>
    </row>
    <row r="6" ht="34" customHeight="1" spans="1:2">
      <c r="A6" s="4" t="s">
        <v>233</v>
      </c>
      <c r="B6" s="5"/>
    </row>
    <row r="7" ht="34" customHeight="1" spans="1:2">
      <c r="A7" s="4" t="s">
        <v>234</v>
      </c>
      <c r="B7" s="5"/>
    </row>
    <row r="8" ht="34" customHeight="1" spans="1:2">
      <c r="A8" s="4" t="s">
        <v>235</v>
      </c>
      <c r="B8" s="5"/>
    </row>
    <row r="9" ht="34" customHeight="1" spans="1:2">
      <c r="A9" s="4" t="s">
        <v>236</v>
      </c>
      <c r="B9" s="5"/>
    </row>
    <row r="10" ht="34" customHeight="1" spans="1:2">
      <c r="A10" s="4" t="s">
        <v>237</v>
      </c>
      <c r="B10" s="5"/>
    </row>
    <row r="12" ht="17.6" spans="1:2">
      <c r="A12" s="3" t="s">
        <v>238</v>
      </c>
    </row>
    <row r="13" ht="34" customHeight="1" spans="1:2">
      <c r="A13" s="4" t="s">
        <v>232</v>
      </c>
      <c r="B13" s="5"/>
    </row>
    <row r="14" ht="34" customHeight="1" spans="1:2">
      <c r="A14" s="4" t="s">
        <v>233</v>
      </c>
      <c r="B14" s="5"/>
    </row>
    <row r="15" ht="34" customHeight="1" spans="1:2">
      <c r="A15" s="4" t="s">
        <v>234</v>
      </c>
      <c r="B15" s="5"/>
    </row>
    <row r="16" ht="34" customHeight="1" spans="1:2">
      <c r="A16" s="4" t="s">
        <v>235</v>
      </c>
      <c r="B16" s="5"/>
    </row>
    <row r="17" ht="34" customHeight="1" spans="1:2">
      <c r="A17" s="4" t="s">
        <v>236</v>
      </c>
      <c r="B17" s="5"/>
    </row>
    <row r="18" ht="34" customHeight="1" spans="1:2">
      <c r="A18" s="4" t="s">
        <v>237</v>
      </c>
      <c r="B18" s="5"/>
    </row>
    <row r="20" ht="17.6" spans="1:2">
      <c r="A20" s="3" t="s">
        <v>239</v>
      </c>
    </row>
    <row r="21" ht="34" customHeight="1" spans="1:2">
      <c r="A21" s="4" t="s">
        <v>232</v>
      </c>
      <c r="B21" s="5"/>
    </row>
    <row r="22" ht="34" customHeight="1" spans="1:2">
      <c r="A22" s="4" t="s">
        <v>233</v>
      </c>
      <c r="B22" s="5"/>
    </row>
    <row r="23" ht="34" customHeight="1" spans="1:2">
      <c r="A23" s="4" t="s">
        <v>234</v>
      </c>
      <c r="B23" s="5"/>
    </row>
    <row r="24" ht="34" customHeight="1" spans="1:2">
      <c r="A24" s="4" t="s">
        <v>235</v>
      </c>
      <c r="B24" s="5"/>
    </row>
    <row r="25" ht="34" customHeight="1" spans="1:2">
      <c r="A25" s="4" t="s">
        <v>236</v>
      </c>
      <c r="B25" s="5"/>
    </row>
    <row r="26" ht="34" customHeight="1" spans="1:2">
      <c r="A26" s="4" t="s">
        <v>237</v>
      </c>
      <c r="B26" s="5"/>
    </row>
    <row r="28" ht="17.6" spans="1:2">
      <c r="A28" s="3" t="s">
        <v>240</v>
      </c>
    </row>
    <row r="29" ht="34" customHeight="1" spans="1:2">
      <c r="A29" s="4" t="s">
        <v>232</v>
      </c>
      <c r="B29" s="5"/>
    </row>
    <row r="30" ht="34" customHeight="1" spans="1:2">
      <c r="A30" s="4" t="s">
        <v>233</v>
      </c>
      <c r="B30" s="5"/>
    </row>
    <row r="31" ht="34" customHeight="1" spans="1:2">
      <c r="A31" s="4" t="s">
        <v>234</v>
      </c>
      <c r="B31" s="5"/>
    </row>
    <row r="32" ht="34" customHeight="1" spans="1:2">
      <c r="A32" s="4" t="s">
        <v>235</v>
      </c>
      <c r="B32" s="5"/>
    </row>
    <row r="33" ht="34" customHeight="1" spans="1:2">
      <c r="A33" s="4" t="s">
        <v>236</v>
      </c>
      <c r="B33" s="5"/>
    </row>
    <row r="34" ht="34" customHeight="1" spans="1:2">
      <c r="A34" s="4" t="s">
        <v>237</v>
      </c>
      <c r="B34" s="5"/>
    </row>
    <row r="36" ht="17.6" spans="1:2">
      <c r="A36" s="3" t="s">
        <v>241</v>
      </c>
    </row>
    <row r="37" ht="34" customHeight="1" spans="1:2">
      <c r="A37" s="4" t="s">
        <v>232</v>
      </c>
      <c r="B37" s="5"/>
    </row>
    <row r="38" ht="34" customHeight="1" spans="1:2">
      <c r="A38" s="4" t="s">
        <v>233</v>
      </c>
      <c r="B38" s="5"/>
    </row>
    <row r="39" ht="34" customHeight="1" spans="1:2">
      <c r="A39" s="4" t="s">
        <v>234</v>
      </c>
      <c r="B39" s="5"/>
    </row>
    <row r="40" ht="34" customHeight="1" spans="1:2">
      <c r="A40" s="4" t="s">
        <v>235</v>
      </c>
      <c r="B40" s="5"/>
    </row>
    <row r="41" ht="34" customHeight="1" spans="1:2">
      <c r="A41" s="4" t="s">
        <v>236</v>
      </c>
      <c r="B41" s="5"/>
    </row>
    <row r="42" ht="34" customHeight="1" spans="1:2">
      <c r="A42" s="4" t="s">
        <v>237</v>
      </c>
      <c r="B42" s="5"/>
    </row>
    <row r="44" ht="17.6" spans="1:2">
      <c r="A44" s="3" t="s">
        <v>242</v>
      </c>
    </row>
    <row r="45" ht="34" customHeight="1" spans="1:2">
      <c r="A45" s="4" t="s">
        <v>232</v>
      </c>
      <c r="B45" s="5"/>
    </row>
    <row r="46" ht="34" customHeight="1" spans="1:2">
      <c r="A46" s="4" t="s">
        <v>233</v>
      </c>
      <c r="B46" s="5"/>
    </row>
    <row r="47" ht="34" customHeight="1" spans="1:2">
      <c r="A47" s="4" t="s">
        <v>234</v>
      </c>
      <c r="B47" s="5"/>
    </row>
    <row r="48" ht="34" customHeight="1" spans="1:2">
      <c r="A48" s="4" t="s">
        <v>235</v>
      </c>
      <c r="B48" s="5"/>
    </row>
    <row r="49" ht="34" customHeight="1" spans="1:2">
      <c r="A49" s="4" t="s">
        <v>236</v>
      </c>
      <c r="B49" s="5"/>
    </row>
    <row r="50" ht="34" customHeight="1" spans="1:2">
      <c r="A50" s="4" t="s">
        <v>237</v>
      </c>
      <c r="B50" s="5"/>
    </row>
    <row r="52" ht="17.6" spans="1:2">
      <c r="A52" s="3" t="s">
        <v>243</v>
      </c>
    </row>
    <row r="53" ht="34" customHeight="1" spans="1:2">
      <c r="A53" s="4" t="s">
        <v>232</v>
      </c>
      <c r="B53" s="5"/>
    </row>
    <row r="54" ht="34" customHeight="1" spans="1:2">
      <c r="A54" s="4" t="s">
        <v>233</v>
      </c>
      <c r="B54" s="5"/>
    </row>
    <row r="55" ht="34" customHeight="1" spans="1:2">
      <c r="A55" s="4" t="s">
        <v>234</v>
      </c>
      <c r="B55" s="5"/>
    </row>
    <row r="56" ht="34" customHeight="1" spans="1:2">
      <c r="A56" s="4" t="s">
        <v>235</v>
      </c>
      <c r="B56" s="5"/>
    </row>
    <row r="57" ht="34" customHeight="1" spans="1:2">
      <c r="A57" s="4" t="s">
        <v>236</v>
      </c>
      <c r="B57" s="5"/>
    </row>
    <row r="58" ht="34" customHeight="1" spans="1:2">
      <c r="A58" s="4" t="s">
        <v>237</v>
      </c>
      <c r="B58" s="5"/>
    </row>
    <row r="60" ht="17.6" spans="1:2">
      <c r="A60" s="3" t="s">
        <v>244</v>
      </c>
    </row>
    <row r="61" ht="34" customHeight="1" spans="1:2">
      <c r="A61" s="4" t="s">
        <v>232</v>
      </c>
      <c r="B61" s="5"/>
    </row>
    <row r="62" ht="34" customHeight="1" spans="1:2">
      <c r="A62" s="4" t="s">
        <v>233</v>
      </c>
      <c r="B62" s="5"/>
    </row>
    <row r="63" ht="34" customHeight="1" spans="1:2">
      <c r="A63" s="4" t="s">
        <v>234</v>
      </c>
      <c r="B63" s="5"/>
    </row>
    <row r="64" ht="34" customHeight="1" spans="1:2">
      <c r="A64" s="4" t="s">
        <v>235</v>
      </c>
      <c r="B64" s="5"/>
    </row>
    <row r="65" ht="34" customHeight="1" spans="1:2">
      <c r="A65" s="4" t="s">
        <v>236</v>
      </c>
      <c r="B65" s="5"/>
    </row>
    <row r="66" ht="34" customHeight="1" spans="1:2">
      <c r="A66" s="4" t="s">
        <v>237</v>
      </c>
      <c r="B66" s="5"/>
    </row>
    <row r="68" ht="17.6" spans="1:2">
      <c r="A68" s="3" t="s">
        <v>245</v>
      </c>
    </row>
    <row r="69" ht="34" customHeight="1" spans="1:2">
      <c r="A69" s="4" t="s">
        <v>232</v>
      </c>
      <c r="B69" s="5"/>
    </row>
    <row r="70" ht="34" customHeight="1" spans="1:2">
      <c r="A70" s="4" t="s">
        <v>233</v>
      </c>
      <c r="B70" s="5"/>
    </row>
    <row r="71" ht="34" customHeight="1" spans="1:2">
      <c r="A71" s="4" t="s">
        <v>234</v>
      </c>
      <c r="B71" s="5"/>
    </row>
    <row r="72" ht="34" customHeight="1" spans="1:2">
      <c r="A72" s="4" t="s">
        <v>235</v>
      </c>
      <c r="B72" s="5"/>
    </row>
    <row r="73" ht="34" customHeight="1" spans="1:2">
      <c r="A73" s="4" t="s">
        <v>236</v>
      </c>
      <c r="B73" s="5"/>
    </row>
    <row r="74" ht="34" customHeight="1" spans="1:2">
      <c r="A74" s="4" t="s">
        <v>237</v>
      </c>
      <c r="B74" s="5"/>
    </row>
    <row r="76" ht="17.6" spans="1:2">
      <c r="A76" s="3" t="s">
        <v>246</v>
      </c>
    </row>
    <row r="77" ht="34" customHeight="1" spans="1:2">
      <c r="A77" s="4" t="s">
        <v>232</v>
      </c>
      <c r="B77" s="5"/>
    </row>
    <row r="78" ht="34" customHeight="1" spans="1:2">
      <c r="A78" s="4" t="s">
        <v>233</v>
      </c>
      <c r="B78" s="5"/>
    </row>
    <row r="79" ht="34" customHeight="1" spans="1:2">
      <c r="A79" s="4" t="s">
        <v>234</v>
      </c>
      <c r="B79" s="5"/>
    </row>
    <row r="80" ht="34" customHeight="1" spans="1:2">
      <c r="A80" s="4" t="s">
        <v>235</v>
      </c>
      <c r="B80" s="5"/>
    </row>
    <row r="81" ht="34" customHeight="1" spans="1:2">
      <c r="A81" s="4" t="s">
        <v>236</v>
      </c>
      <c r="B81" s="5"/>
    </row>
    <row r="82" ht="34" customHeight="1" spans="1:2">
      <c r="A82" s="4" t="s">
        <v>237</v>
      </c>
      <c r="B82" s="5"/>
    </row>
    <row r="84" ht="17.6" spans="1:2">
      <c r="A84" s="3" t="s">
        <v>247</v>
      </c>
    </row>
    <row r="85" ht="34" customHeight="1" spans="1:2">
      <c r="A85" s="4" t="s">
        <v>232</v>
      </c>
      <c r="B85" s="5"/>
    </row>
    <row r="86" ht="34" customHeight="1" spans="1:2">
      <c r="A86" s="4" t="s">
        <v>233</v>
      </c>
      <c r="B86" s="5"/>
    </row>
    <row r="87" ht="34" customHeight="1" spans="1:2">
      <c r="A87" s="4" t="s">
        <v>234</v>
      </c>
      <c r="B87" s="5"/>
    </row>
    <row r="88" ht="34" customHeight="1" spans="1:2">
      <c r="A88" s="4" t="s">
        <v>235</v>
      </c>
      <c r="B88" s="5"/>
    </row>
    <row r="89" ht="34" customHeight="1" spans="1:2">
      <c r="A89" s="4" t="s">
        <v>236</v>
      </c>
      <c r="B89" s="5"/>
    </row>
    <row r="90" ht="34" customHeight="1" spans="1:2">
      <c r="A90" s="4" t="s">
        <v>237</v>
      </c>
      <c r="B90" s="5"/>
    </row>
    <row r="92" ht="17.6" spans="1:2">
      <c r="A92" s="3" t="s">
        <v>248</v>
      </c>
    </row>
    <row r="93" ht="34" customHeight="1" spans="1:2">
      <c r="A93" s="4" t="s">
        <v>232</v>
      </c>
      <c r="B93" s="5"/>
    </row>
    <row r="94" ht="34" customHeight="1" spans="1:2">
      <c r="A94" s="4" t="s">
        <v>233</v>
      </c>
      <c r="B94" s="5"/>
    </row>
    <row r="95" ht="34" customHeight="1" spans="1:2">
      <c r="A95" s="4" t="s">
        <v>234</v>
      </c>
      <c r="B95" s="5"/>
    </row>
    <row r="96" ht="34" customHeight="1" spans="1:2">
      <c r="A96" s="4" t="s">
        <v>235</v>
      </c>
      <c r="B96" s="5"/>
    </row>
    <row r="97" ht="34" customHeight="1" spans="1:2">
      <c r="A97" s="4" t="s">
        <v>236</v>
      </c>
      <c r="B97" s="5"/>
    </row>
    <row r="98" ht="34" customHeight="1" spans="1:2">
      <c r="A98" s="4" t="s">
        <v>237</v>
      </c>
      <c r="B98" s="5"/>
    </row>
  </sheetData>
  <mergeCells count="12">
    <mergeCell ref="A4:B4"/>
    <mergeCell ref="A12:B12"/>
    <mergeCell ref="A20:B20"/>
    <mergeCell ref="A28:B28"/>
    <mergeCell ref="A36:B36"/>
    <mergeCell ref="A44:B44"/>
    <mergeCell ref="A52:B52"/>
    <mergeCell ref="A60:B60"/>
    <mergeCell ref="A68:B68"/>
    <mergeCell ref="A76:B76"/>
    <mergeCell ref="A84:B84"/>
    <mergeCell ref="A92:B9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📋 Panduan</vt:lpstr>
      <vt:lpstr>⚙️ Setelan</vt:lpstr>
      <vt:lpstr>📒 Jurnal</vt:lpstr>
      <vt:lpstr>📅 Harian</vt:lpstr>
      <vt:lpstr>📈 Data Chart</vt:lpstr>
      <vt:lpstr>📊 Dashboard</vt:lpstr>
      <vt:lpstr>🔍 Review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wahyu setiawan</cp:lastModifiedBy>
  <dcterms:created xsi:type="dcterms:W3CDTF">2026-08-31T18:57:00Z</dcterms:created>
  <dcterms:modified xsi:type="dcterms:W3CDTF">2026-09-01T14:04:32Z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13FDDC039143EB559B0C956A53B1F096_42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
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Panduan" sheetId="1" state="visible" r:id="rId1"/>
    <sheet name="⚙️ Setelan" sheetId="2" state="visible" r:id="rId2"/>
    <sheet name="📒 Jurnal" sheetId="3" state="visible" r:id="rId3"/>
    <sheet name="📅 Harian" sheetId="4" state="visible" r:id="rId4"/>
    <sheet name="📈 Data Chart" sheetId="5" state="visible" r:id="rId5"/>
    <sheet name="📊 Dashboard" sheetId="6" state="visible" r:id="rId6"/>
    <sheet name="🔍 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$#,##0"/>
    <numFmt numFmtId="165" formatCode="0.0"/>
    <numFmt numFmtId="166" formatCode="$#,##0.00"/>
    <numFmt numFmtId="167" formatCode="dd/mm/yyyy"/>
    <numFmt numFmtId="168" formatCode="hh:mm"/>
    <numFmt numFmtId="169" formatCode="0.00###"/>
    <numFmt numFmtId="170" formatCode="yyyy-mm-dd"/>
    <numFmt numFmtId="171" formatCode="ddd, dd/mm"/>
    <numFmt numFmtId="172" formatCode="dd/mm"/>
    <numFmt numFmtId="173" formatCode="0.0%"/>
    <numFmt numFmtId="174" formatCode="0.000"/>
    <numFmt numFmtId="175" formatCode="&quot;Rp&quot;#,##0"/>
  </numFmts>
  <fonts count="25">
    <font>
      <name val="Calibri"/>
      <family val="2"/>
      <color theme="1"/>
      <sz val="11"/>
      <scheme val="minor"/>
    </font>
    <font>
      <b val="1"/>
      <color rgb="001F2937"/>
      <sz val="16"/>
    </font>
    <font>
      <color rgb="001F2937"/>
      <sz val="10"/>
    </font>
    <font>
      <b val="1"/>
      <color rgb="00FFFFFF"/>
      <sz val="11"/>
    </font>
    <font>
      <b val="1"/>
      <color rgb="007C2D12"/>
      <sz val="11"/>
    </font>
    <font>
      <b val="1"/>
      <color rgb="001F2937"/>
      <sz val="14"/>
    </font>
    <font>
      <b val="1"/>
      <sz val="10"/>
    </font>
    <font>
      <b val="1"/>
      <color rgb="00065F46"/>
    </font>
    <font>
      <i val="1"/>
      <color rgb="006B7280"/>
      <sz val="9"/>
    </font>
    <font>
      <b val="1"/>
      <color rgb="001F2937"/>
      <sz val="12"/>
    </font>
    <font>
      <b val="1"/>
      <color rgb="00FFFFFF"/>
      <sz val="10"/>
    </font>
    <font>
      <b val="1"/>
    </font>
    <font>
      <i val="1"/>
      <color rgb="007C2D12"/>
      <sz val="9"/>
    </font>
    <font>
      <b val="1"/>
      <color rgb="00FFFFFF"/>
      <sz val="9"/>
    </font>
    <font>
      <color rgb="00374151"/>
      <sz val="9"/>
    </font>
    <font>
      <sz val="9"/>
    </font>
    <font>
      <b val="1"/>
      <color rgb="001F2937"/>
      <sz val="13"/>
    </font>
    <font>
      <b val="1"/>
      <color rgb="001E3A8A"/>
      <sz val="10"/>
    </font>
    <font>
      <b val="1"/>
      <color rgb="001F2937"/>
      <sz val="11"/>
    </font>
    <font>
      <b val="1"/>
      <sz val="12"/>
    </font>
    <font>
      <color rgb="00065F46"/>
      <sz val="11"/>
    </font>
    <font>
      <b val="1"/>
      <color rgb="00065F46"/>
      <sz val="11"/>
    </font>
    <font>
      <b val="1"/>
      <sz val="9"/>
    </font>
    <font>
      <b val="1"/>
      <color rgb="007C2D12"/>
      <sz val="9"/>
    </font>
    <font>
      <b val="1"/>
      <color rgb="00FFFFFF"/>
      <sz val="12"/>
    </font>
  </fonts>
  <fills count="17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1F2937"/>
      </patternFill>
    </fill>
    <fill>
      <patternFill patternType="solid">
        <fgColor rgb="004C1D95"/>
      </patternFill>
    </fill>
    <fill>
      <patternFill patternType="solid">
        <fgColor rgb="001E3A8A"/>
      </patternFill>
    </fill>
    <fill>
      <patternFill patternType="solid">
        <fgColor rgb="00065F46"/>
      </patternFill>
    </fill>
    <fill>
      <patternFill patternType="solid">
        <fgColor rgb="007C2D12"/>
      </patternFill>
    </fill>
    <fill>
      <patternFill patternType="solid">
        <fgColor rgb="00831843"/>
      </patternFill>
    </fill>
    <fill>
      <patternFill patternType="solid">
        <fgColor rgb="007F1D1D"/>
      </patternFill>
    </fill>
    <fill>
      <patternFill patternType="solid">
        <fgColor rgb="00134E4A"/>
      </patternFill>
    </fill>
    <fill>
      <patternFill patternType="solid">
        <fgColor rgb="006B7280"/>
      </patternFill>
    </fill>
    <fill>
      <patternFill patternType="solid">
        <fgColor rgb="004B5563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0" borderId="0" pivotButton="0" quotePrefix="0" xfId="0"/>
    <xf numFmtId="0" fontId="6" fillId="4" borderId="1" pivotButton="0" quotePrefix="0" xfId="0"/>
    <xf numFmtId="164" fontId="7" fillId="5" borderId="1" applyAlignment="1" pivotButton="0" quotePrefix="0" xfId="0">
      <alignment horizontal="center"/>
    </xf>
    <xf numFmtId="0" fontId="8" fillId="0" borderId="0" pivotButton="0" quotePrefix="0" xfId="0"/>
    <xf numFmtId="165" fontId="7" fillId="5" borderId="1" applyAlignment="1" pivotButton="0" quotePrefix="0" xfId="0">
      <alignment horizontal="center"/>
    </xf>
    <xf numFmtId="1" fontId="7" fillId="5" borderId="1" applyAlignment="1" pivotButton="0" quotePrefix="0" xfId="0">
      <alignment horizontal="center"/>
    </xf>
    <xf numFmtId="3" fontId="7" fillId="5" borderId="1" applyAlignment="1" pivotButton="0" quotePrefix="0" xfId="0">
      <alignment horizontal="center"/>
    </xf>
    <xf numFmtId="0" fontId="9" fillId="0" borderId="0" pivotButton="0" quotePrefix="0" xfId="0"/>
    <xf numFmtId="0" fontId="10" fillId="6" borderId="1" applyAlignment="1" pivotButton="0" quotePrefix="0" xfId="0">
      <alignment horizontal="center" vertical="center" wrapText="1"/>
    </xf>
    <xf numFmtId="0" fontId="11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0" fontId="12" fillId="0" borderId="0" pivotButton="0" quotePrefix="0" xfId="0"/>
    <xf numFmtId="0" fontId="13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/>
    </xf>
    <xf numFmtId="167" fontId="15" fillId="0" borderId="1" applyAlignment="1" pivotButton="0" quotePrefix="0" xfId="0">
      <alignment horizontal="center" vertical="center"/>
    </xf>
    <xf numFmtId="168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9" fontId="15" fillId="0" borderId="1" applyAlignment="1" pivotButton="0" quotePrefix="0" xfId="0">
      <alignment horizontal="center" vertical="center"/>
    </xf>
    <xf numFmtId="2" fontId="14" fillId="4" borderId="1" applyAlignment="1" pivotButton="0" quotePrefix="0" xfId="0">
      <alignment horizontal="center" vertical="center"/>
    </xf>
    <xf numFmtId="2" fontId="15" fillId="0" borderId="1" applyAlignment="1" pivotButton="0" quotePrefix="0" xfId="0">
      <alignment horizontal="center" vertical="center"/>
    </xf>
    <xf numFmtId="166" fontId="14" fillId="4" borderId="1" applyAlignment="1" pivotButton="0" quotePrefix="0" xfId="0">
      <alignment horizontal="center" vertical="center"/>
    </xf>
    <xf numFmtId="1" fontId="14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/>
    </xf>
    <xf numFmtId="171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166" fontId="15" fillId="0" borderId="1" applyAlignment="1" pivotButton="0" quotePrefix="0" xfId="0">
      <alignment horizontal="center"/>
    </xf>
    <xf numFmtId="2" fontId="15" fillId="0" borderId="1" applyAlignment="1" pivotButton="0" quotePrefix="0" xfId="0">
      <alignment horizontal="center"/>
    </xf>
    <xf numFmtId="9" fontId="15" fillId="0" borderId="1" applyAlignment="1" pivotButton="0" quotePrefix="0" xfId="0">
      <alignment horizontal="center"/>
    </xf>
    <xf numFmtId="2" fontId="15" fillId="4" borderId="1" applyAlignment="1" pivotButton="0" quotePrefix="0" xfId="0">
      <alignment horizontal="center"/>
    </xf>
    <xf numFmtId="0" fontId="16" fillId="0" borderId="0" pivotButton="0" quotePrefix="0" xfId="0"/>
    <xf numFmtId="0" fontId="10" fillId="2" borderId="0" pivotButton="0" quotePrefix="0" xfId="0"/>
    <xf numFmtId="0" fontId="13" fillId="15" borderId="1" applyAlignment="1" pivotButton="0" quotePrefix="0" xfId="0">
      <alignment horizontal="center" vertical="center" wrapText="1"/>
    </xf>
    <xf numFmtId="172" fontId="15" fillId="0" borderId="1" pivotButton="0" quotePrefix="0" xfId="0"/>
    <xf numFmtId="2" fontId="15" fillId="0" borderId="1" pivotButton="0" quotePrefix="0" xfId="0"/>
    <xf numFmtId="0" fontId="15" fillId="0" borderId="1" pivotButton="0" quotePrefix="0" xfId="0"/>
    <xf numFmtId="1" fontId="15" fillId="0" borderId="1" pivotButton="0" quotePrefix="0" xfId="0"/>
    <xf numFmtId="9" fontId="15" fillId="0" borderId="1" pivotButton="0" quotePrefix="0" xfId="0"/>
    <xf numFmtId="0" fontId="3" fillId="2" borderId="0" pivotButton="0" quotePrefix="0" xfId="0"/>
    <xf numFmtId="0" fontId="17" fillId="16" borderId="1" applyAlignment="1" pivotButton="0" quotePrefix="0" xfId="0">
      <alignment horizontal="center"/>
    </xf>
    <xf numFmtId="1" fontId="18" fillId="0" borderId="1" applyAlignment="1" pivotButton="0" quotePrefix="0" xfId="0">
      <alignment horizontal="center"/>
    </xf>
    <xf numFmtId="166" fontId="18" fillId="0" borderId="1" applyAlignment="1" pivotButton="0" quotePrefix="0" xfId="0">
      <alignment horizontal="center"/>
    </xf>
    <xf numFmtId="49" fontId="18" fillId="0" borderId="1" applyAlignment="1" pivotButton="0" quotePrefix="0" xfId="0">
      <alignment horizontal="center"/>
    </xf>
    <xf numFmtId="173" fontId="18" fillId="0" borderId="1" applyAlignment="1" pivotButton="0" quotePrefix="0" xfId="0">
      <alignment horizontal="center"/>
    </xf>
    <xf numFmtId="2" fontId="18" fillId="0" borderId="1" applyAlignment="1" pivotButton="0" quotePrefix="0" xfId="0">
      <alignment horizontal="center"/>
    </xf>
    <xf numFmtId="174" fontId="18" fillId="0" borderId="1" applyAlignment="1" pivotButton="0" quotePrefix="0" xfId="0">
      <alignment horizontal="center"/>
    </xf>
    <xf numFmtId="0" fontId="6" fillId="0" borderId="0" pivotButton="0" quotePrefix="0" xfId="0"/>
    <xf numFmtId="173" fontId="19" fillId="0" borderId="0" pivotButton="0" quotePrefix="0" xfId="0"/>
    <xf numFmtId="0" fontId="20" fillId="0" borderId="0" pivotButton="0" quotePrefix="0" xfId="0"/>
    <xf numFmtId="175" fontId="21" fillId="0" borderId="0" pivotButton="0" quotePrefix="0" xfId="0"/>
    <xf numFmtId="1" fontId="15" fillId="0" borderId="1" applyAlignment="1" pivotButton="0" quotePrefix="0" xfId="0">
      <alignment horizontal="center"/>
    </xf>
    <xf numFmtId="0" fontId="22" fillId="0" borderId="1" pivotButton="0" quotePrefix="0" xfId="0"/>
    <xf numFmtId="2" fontId="0" fillId="0" borderId="1" applyAlignment="1" pivotButton="0" quotePrefix="0" xfId="0">
      <alignment horizontal="center"/>
    </xf>
    <xf numFmtId="0" fontId="23" fillId="3" borderId="1" applyAlignment="1" pivotButton="0" quotePrefix="0" xfId="0">
      <alignment vertical="center" wrapText="1"/>
    </xf>
    <xf numFmtId="0" fontId="24" fillId="6" borderId="0" applyAlignment="1" pivotButton="0" quotePrefix="0" xfId="0">
      <alignment horizontal="center"/>
    </xf>
    <xf numFmtId="0" fontId="2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b val="1"/>
        <color rgb="00065F46"/>
        <sz val="9"/>
      </font>
      <fill>
        <patternFill patternType="solid">
          <fgColor rgb="00D1FAE5"/>
        </patternFill>
      </fill>
    </dxf>
    <dxf>
      <font>
        <b val="1"/>
        <color rgb="00991B1B"/>
        <sz val="9"/>
      </font>
      <fill>
        <patternFill patternType="solid">
          <fgColor rgb="00FEE2E2"/>
        </patternFill>
      </fill>
    </dxf>
    <dxf>
      <font>
        <b val="1"/>
        <color rgb="00374151"/>
        <sz val="9"/>
      </font>
      <fill>
        <patternFill patternType="solid">
          <fgColor rgb="00E5E7EB"/>
        </patternFill>
      </fill>
    </dxf>
    <dxf>
      <font>
        <b val="1"/>
        <color rgb="007C2D12"/>
        <sz val="9"/>
      </font>
      <fill>
        <patternFill patternType="solid">
          <fgColor rgb="00FEF3C7"/>
        </patternFill>
      </fill>
    </dxf>
    <dxf>
      <font>
        <color rgb="00065F46"/>
        <sz val="9"/>
      </font>
      <fill>
        <patternFill patternType="solid">
          <fgColor rgb="00D1FAE5"/>
        </patternFill>
      </fill>
    </dxf>
    <dxf>
      <font>
        <b val="1"/>
        <color rgb="00065F46"/>
        <sz val="9"/>
      </font>
    </dxf>
    <dxf>
      <font>
        <b val="1"/>
        <color rgb="00991B1B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2">
      <c r="B2" s="1" t="inlineStr">
        <is>
          <t>📋 JURNAL TRADING — PANDUAN PAKAI</t>
        </is>
      </c>
    </row>
    <row r="3">
      <c r="B3" s="2" t="inlineStr"/>
    </row>
    <row r="4">
      <c r="B4" s="3" t="inlineStr">
        <is>
          <t>① IMPORT KE GOOGLE SHEETS</t>
        </is>
      </c>
    </row>
    <row r="5">
      <c r="B5" s="2" t="inlineStr">
        <is>
          <t>sheets.google.com → File → Import → Upload → pilih "Create new spreadsheet".</t>
        </is>
      </c>
    </row>
    <row r="6">
      <c r="B6" s="2" t="inlineStr">
        <is>
          <t>Lalu set File → Settings → Locale ke Indonesia (biar tanggal dd/mm terbaca benar).</t>
        </is>
      </c>
    </row>
    <row r="7">
      <c r="B7" s="2" t="inlineStr">
        <is>
          <t>File ini dioptimalkan untuk Google Sheets. Di Excel, SPARKLINE/IMAGE/REGEXEXTRACT error #NAME?.</t>
        </is>
      </c>
    </row>
    <row r="8">
      <c r="B8" s="2" t="inlineStr"/>
    </row>
    <row r="9">
      <c r="B9" s="3" t="inlineStr">
        <is>
          <t>② PASANG GRAFIK (sekali saja, ~2 menit)</t>
        </is>
      </c>
    </row>
    <row r="10">
      <c r="B10" s="2" t="inlineStr">
        <is>
          <t>Grafik native tidak bisa ikut lewat file .xlsx, jadi dipasang lewat skrip kecil:</t>
        </is>
      </c>
    </row>
    <row r="11">
      <c r="B11" s="2" t="inlineStr">
        <is>
          <t xml:space="preserve">   1. Extensions → Apps Script</t>
        </is>
      </c>
    </row>
    <row r="12">
      <c r="B12" s="2" t="inlineStr">
        <is>
          <t xml:space="preserve">   2. Hapus isi editor, paste seluruh isi file journal-charts.gs</t>
        </is>
      </c>
    </row>
    <row r="13">
      <c r="B13" s="2" t="inlineStr">
        <is>
          <t xml:space="preserve">   3. Simpan (💾) → pilih fungsi buatGrafik → Run → Authorize akses</t>
        </is>
      </c>
    </row>
    <row r="14">
      <c r="B14" s="2" t="inlineStr">
        <is>
          <t xml:space="preserve">   4. Balik ke tab 📊 Dashboard — 6 grafik sudah terpasang</t>
        </is>
      </c>
    </row>
    <row r="15">
      <c r="B15" s="2" t="inlineStr">
        <is>
          <t>Grafik update otomatis tiap kamu isi trade. Jalankan ulang buatGrafik kalau mau reset posisi.</t>
        </is>
      </c>
    </row>
    <row r="16">
      <c r="B16" s="2" t="inlineStr"/>
    </row>
    <row r="17">
      <c r="B17" s="3" t="inlineStr">
        <is>
          <t>③ ISI TAB SETELAN DULU</t>
        </is>
      </c>
    </row>
    <row r="18">
      <c r="B18" s="2" t="inlineStr">
        <is>
          <t>Modal, risiko per trade, batas rugi harian, target bulanan, kurs USD→IDR.</t>
        </is>
      </c>
    </row>
    <row r="19">
      <c r="B19" s="2" t="inlineStr">
        <is>
          <t>Cek tabel instrumen. Kolom "Pembagi Konversi" USDJPY = harga USDJPY sekarang (default 155).</t>
        </is>
      </c>
    </row>
    <row r="20">
      <c r="B20" s="2" t="inlineStr"/>
    </row>
    <row r="21">
      <c r="B21" s="3" t="inlineStr">
        <is>
          <t>④ ALUR ISI 1 TRADE — target di bawah 60 detik</t>
        </is>
      </c>
    </row>
    <row r="22">
      <c r="B22" s="2" t="inlineStr">
        <is>
          <t>Dari 43 kolom, cuma 12 yang perlu ketik. Sisanya dropdown atau otomatis.</t>
        </is>
      </c>
    </row>
    <row r="23">
      <c r="B23" s="2" t="inlineStr">
        <is>
          <t xml:space="preserve">   Ketik   : Tanggal, Jam Masuk, Jam Keluar, Entry, SL, TP, Exit, Lot, Harga Terburuk/Terbaik</t>
        </is>
      </c>
    </row>
    <row r="24">
      <c r="B24" s="2" t="inlineStr">
        <is>
          <t xml:space="preserve">   Dropdown: Instrumen, Arah, Setup, TF, Bias M15, Bias EMA200, SVP, News, Emosi, Fisik,</t>
        </is>
      </c>
    </row>
    <row r="25">
      <c r="B25" s="2" t="inlineStr">
        <is>
          <t xml:space="preserve">             Keyakinan, Checklist, Kesalahan</t>
        </is>
      </c>
    </row>
    <row r="26">
      <c r="B26" s="2" t="inlineStr">
        <is>
          <t xml:space="preserve">   Otomatis: Sesi, Lot Saran, Risiko $, RR, PnL, Biaya, R Hasil, Hasil, Durasi, MAE, MFE</t>
        </is>
      </c>
    </row>
    <row r="27">
      <c r="B27" s="2" t="inlineStr"/>
    </row>
    <row r="28">
      <c r="B28" s="3" t="inlineStr">
        <is>
          <t>⑤ SCREENSHOT</t>
        </is>
      </c>
    </row>
    <row r="29">
      <c r="B29" s="2" t="inlineStr">
        <is>
          <t>Di TradingView tekan Alt+S → link tersalin. Paste ke kolom "Link Sebelum"/"Link Sesudah".</t>
        </is>
      </c>
    </row>
    <row r="30">
      <c r="B30" s="2" t="inlineStr">
        <is>
          <t>Gambar muncul sendiri di kolom sebelahnya. Link .png/.jpg biasa juga diterima.</t>
        </is>
      </c>
    </row>
    <row r="31">
      <c r="B31" s="2" t="inlineStr"/>
    </row>
    <row r="32">
      <c r="B32" s="3" t="inlineStr">
        <is>
          <t>⑥ FILTER INTERAKTIF DI DASHBOARD</t>
        </is>
      </c>
    </row>
    <row r="33">
      <c r="B33" s="2" t="inlineStr">
        <is>
          <t>Di atas Dashboard ada 6 dropdown: Instrumen, Setup, Sesi, Emosi, Kondisi Fisik, Bias EMA200.</t>
        </is>
      </c>
    </row>
    <row r="34">
      <c r="B34" s="2" t="inlineStr">
        <is>
          <t>Ubah salah satu → SEMUA metrik, tabel, dan grafik ikut menyesuaikan. Pilih "(Semua)" untuk reset.</t>
        </is>
      </c>
    </row>
    <row r="35">
      <c r="B35" s="2" t="inlineStr">
        <is>
          <t>Contoh: set Emosi = FOMO, lihat win rate &amp; expectancy kamu khusus saat FOMO.</t>
        </is>
      </c>
    </row>
    <row r="36">
      <c r="B36" s="2" t="inlineStr"/>
    </row>
    <row r="37">
      <c r="B37" s="3" t="inlineStr">
        <is>
          <t>⑦ KOLOM YANG PALING SERING DILEWATI — padahal paling berharga</t>
        </is>
      </c>
    </row>
    <row r="38">
      <c r="B38" s="2" t="inlineStr">
        <is>
          <t>• Harga Terburuk/Terbaik → hitung MAE/MFE. Ini yang ngasih tau SL kesempitan atau TP kecepetan.</t>
        </is>
      </c>
    </row>
    <row r="39">
      <c r="B39" s="2" t="inlineStr">
        <is>
          <t>• Emosi + Kondisi Fisik → setelah ~30 trade, kelihatan win rate saat FOMO vs tenang.</t>
        </is>
      </c>
    </row>
    <row r="40">
      <c r="B40" s="2" t="inlineStr">
        <is>
          <t>• Bias EMA200 Searah → bikin kamu bisa buktiin sendiri filter EMA200 berguna atau tidak.</t>
        </is>
      </c>
    </row>
    <row r="41">
      <c r="B41" s="2" t="inlineStr"/>
    </row>
    <row r="42">
      <c r="B42" s="4" t="inlineStr">
        <is>
          <t>⚠️ PERINGATAN JUMLAH SAMPEL</t>
        </is>
      </c>
    </row>
    <row r="43">
      <c r="B43" s="2" t="inlineStr">
        <is>
          <t>Satu bulan scalping ≈ 40–100 trade. Itu BELUM cukup untuk kesimpulan statistik.</t>
        </is>
      </c>
    </row>
    <row r="44">
      <c r="B44" s="2" t="inlineStr">
        <is>
          <t>Beda win rate 10% pada 40 trade masih sangat mungkin kebetulan. Baca angka Dashboard sebagai</t>
        </is>
      </c>
    </row>
    <row r="45">
      <c r="B45" s="2" t="inlineStr">
        <is>
          <t>PETUNJUK ARAH. Kumpulkan 3–6 bulan sebelum membuang satu jenis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6" customWidth="1" min="4" max="4"/>
    <col width="20" customWidth="1" min="5" max="5"/>
    <col width="10" customWidth="1" min="6" max="6"/>
  </cols>
  <sheetData>
    <row r="1">
      <c r="A1" s="5" t="inlineStr">
        <is>
          <t>⚙️ SETELAN — isi sekali di awal bulan</t>
        </is>
      </c>
    </row>
    <row r="3">
      <c r="A3" s="6" t="inlineStr">
        <is>
          <t>Modal Awal (USD)</t>
        </is>
      </c>
      <c r="B3" s="7" t="n">
        <v>1000</v>
      </c>
      <c r="C3" s="8" t="inlineStr">
        <is>
          <t>← ubah angka di kolom hijau sesuai akunmu</t>
        </is>
      </c>
    </row>
    <row r="4">
      <c r="A4" s="6" t="inlineStr">
        <is>
          <t>Risiko per Trade (%)</t>
        </is>
      </c>
      <c r="B4" s="9" t="n">
        <v>1</v>
      </c>
    </row>
    <row r="5">
      <c r="A5" s="6" t="inlineStr">
        <is>
          <t>Batas Rugi Harian (USD)</t>
        </is>
      </c>
      <c r="B5" s="7" t="n">
        <v>30</v>
      </c>
    </row>
    <row r="6">
      <c r="A6" s="6" t="inlineStr">
        <is>
          <t>Max Trade per Malam</t>
        </is>
      </c>
      <c r="B6" s="10" t="n">
        <v>5</v>
      </c>
    </row>
    <row r="7">
      <c r="A7" s="6" t="inlineStr">
        <is>
          <t>Target Profit Bulanan (USD)</t>
        </is>
      </c>
      <c r="B7" s="7" t="n">
        <v>1000</v>
      </c>
    </row>
    <row r="8">
      <c r="A8" s="6" t="inlineStr">
        <is>
          <t>Kurs USD → IDR</t>
        </is>
      </c>
      <c r="B8" s="11" t="n">
        <v>16000</v>
      </c>
    </row>
    <row r="9">
      <c r="A9" s="6" t="inlineStr">
        <is>
          <t>Jeda Min Setelah Loss (menit)</t>
        </is>
      </c>
      <c r="B9" s="10" t="n">
        <v>10</v>
      </c>
    </row>
    <row r="11">
      <c r="A11" s="12" t="inlineStr">
        <is>
          <t>SPESIFIKASI INSTRUMEN</t>
        </is>
      </c>
    </row>
    <row r="12">
      <c r="A12" s="8" t="inlineStr">
        <is>
          <t>Dipakai rumus PnL. Rentang VLOOKUP sampai baris 20 — ada 2 baris kosong untuk instrumen tambahan.</t>
        </is>
      </c>
    </row>
    <row r="13">
      <c r="A13" s="13" t="inlineStr">
        <is>
          <t>Instrumen</t>
        </is>
      </c>
      <c r="B13" s="13" t="inlineStr">
        <is>
          <t>Ukuran Kontrak</t>
        </is>
      </c>
      <c r="C13" s="13" t="inlineStr">
        <is>
          <t>Pembagi Konversi</t>
        </is>
      </c>
      <c r="D13" s="13" t="inlineStr">
        <is>
          <t>Nilai per 1.00 Gerak/Lot (USD)</t>
        </is>
      </c>
      <c r="E13" s="13" t="inlineStr">
        <is>
          <t>Biaya per Lot (USD)</t>
        </is>
      </c>
      <c r="F13" s="13" t="inlineStr">
        <is>
          <t>Digit</t>
        </is>
      </c>
    </row>
    <row r="14">
      <c r="A14" s="14" t="inlineStr">
        <is>
          <t>XAUUSD</t>
        </is>
      </c>
      <c r="B14" s="15" t="n">
        <v>100</v>
      </c>
      <c r="C14" s="16" t="n">
        <v>1</v>
      </c>
      <c r="D14" s="17">
        <f>B14/C14</f>
        <v/>
      </c>
      <c r="E14" s="18" t="n">
        <v>11</v>
      </c>
      <c r="F14" s="16" t="n">
        <v>2</v>
      </c>
    </row>
    <row r="15">
      <c r="A15" s="14" t="inlineStr">
        <is>
          <t>BTCUSD</t>
        </is>
      </c>
      <c r="B15" s="15" t="n">
        <v>1</v>
      </c>
      <c r="C15" s="16" t="n">
        <v>1</v>
      </c>
      <c r="D15" s="17">
        <f>B15/C15</f>
        <v/>
      </c>
      <c r="E15" s="18" t="n">
        <v>8.75</v>
      </c>
      <c r="F15" s="16" t="n">
        <v>2</v>
      </c>
    </row>
    <row r="16">
      <c r="A16" s="14" t="inlineStr">
        <is>
          <t>EURUSD</t>
        </is>
      </c>
      <c r="B16" s="15" t="n">
        <v>100000</v>
      </c>
      <c r="C16" s="16" t="n">
        <v>1</v>
      </c>
      <c r="D16" s="17">
        <f>B16/C16</f>
        <v/>
      </c>
      <c r="E16" s="18" t="n">
        <v>10</v>
      </c>
      <c r="F16" s="16" t="n">
        <v>5</v>
      </c>
    </row>
    <row r="17">
      <c r="A17" s="14" t="inlineStr">
        <is>
          <t>GBPUSD</t>
        </is>
      </c>
      <c r="B17" s="15" t="n">
        <v>100000</v>
      </c>
      <c r="C17" s="16" t="n">
        <v>1</v>
      </c>
      <c r="D17" s="17">
        <f>B17/C17</f>
        <v/>
      </c>
      <c r="E17" s="18" t="n">
        <v>15</v>
      </c>
      <c r="F17" s="16" t="n">
        <v>5</v>
      </c>
    </row>
    <row r="18">
      <c r="A18" s="14" t="inlineStr">
        <is>
          <t>USDJPY</t>
        </is>
      </c>
      <c r="B18" s="15" t="n">
        <v>100000</v>
      </c>
      <c r="C18" s="16" t="n">
        <v>155</v>
      </c>
      <c r="D18" s="17">
        <f>B18/C18</f>
        <v/>
      </c>
      <c r="E18" s="18" t="n">
        <v>6.5</v>
      </c>
      <c r="F18" s="16" t="n">
        <v>3</v>
      </c>
    </row>
    <row r="19">
      <c r="A19" s="8" t="inlineStr">
        <is>
          <t>Biaya per Lot = komisi round-turn per 1.0 lot. XAU $11 &amp; BTC $8.75 diambil dari CSV brokermu 31 Agu 2026.</t>
        </is>
      </c>
    </row>
    <row r="20">
      <c r="A20" s="19" t="inlineStr">
        <is>
          <t>Angka ini komisi saja. Kalau akunmu spread-based (bukan raw), tambahkan estimasi spread ke sini.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52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0" customWidth="1" min="4" max="4"/>
    <col width="15" customWidth="1" min="5" max="5"/>
    <col width="11" customWidth="1" min="6" max="6"/>
    <col width="8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1" customWidth="1" min="19" max="19"/>
    <col width="11" customWidth="1" min="20" max="20"/>
    <col width="11" customWidth="1" min="21" max="21"/>
    <col width="12" customWidth="1" min="22" max="22"/>
    <col width="10" customWidth="1" min="23" max="23"/>
    <col width="12" customWidth="1" min="24" max="24"/>
    <col width="9" customWidth="1" min="25" max="25"/>
    <col width="9" customWidth="1" min="26" max="26"/>
    <col width="11" customWidth="1" min="27" max="27"/>
    <col width="13" customWidth="1" min="28" max="28"/>
    <col width="13" customWidth="1" min="29" max="29"/>
    <col width="9" customWidth="1" min="30" max="30"/>
    <col width="9" customWidth="1" min="31" max="31"/>
    <col width="18" customWidth="1" min="32" max="32"/>
    <col width="13" customWidth="1" min="33" max="33"/>
    <col width="11" customWidth="1" min="34" max="34"/>
    <col width="13" customWidth="1" min="35" max="35"/>
    <col width="18" customWidth="1" min="36" max="36"/>
    <col width="40" customWidth="1" min="37" max="37"/>
    <col width="13" customWidth="1" min="38" max="38"/>
    <col width="22" customWidth="1" min="39" max="39"/>
    <col width="30" customWidth="1" min="40" max="40"/>
    <col width="22" customWidth="1" min="41" max="41"/>
    <col width="30" customWidth="1" min="42" max="42"/>
    <col width="10" customWidth="1" min="43" max="43"/>
  </cols>
  <sheetData>
    <row r="1" ht="18" customHeight="1">
      <c r="A1" s="20" t="inlineStr">
        <is>
          <t>IDENTITAS</t>
        </is>
      </c>
      <c r="H1" s="21" t="inlineStr">
        <is>
          <t>SETUP &amp; KONTEKS</t>
        </is>
      </c>
      <c r="N1" s="22" t="inlineStr">
        <is>
          <t>HARGA &amp; UKURAN</t>
        </is>
      </c>
      <c r="T1" s="23" t="inlineStr">
        <is>
          <t>HITUNGAN OTOMATIS</t>
        </is>
      </c>
      <c r="AB1" s="24" t="inlineStr">
        <is>
          <t>MAE / MFE</t>
        </is>
      </c>
      <c r="AF1" s="25" t="inlineStr">
        <is>
          <t>PSIKOLOGI &amp; EKSEKUSI</t>
        </is>
      </c>
      <c r="AL1" s="26" t="inlineStr">
        <is>
          <t>DETEKSI</t>
        </is>
      </c>
      <c r="AM1" s="27" t="inlineStr">
        <is>
          <t>BUKTI</t>
        </is>
      </c>
      <c r="AQ1" s="28" t="inlineStr">
        <is>
          <t>BANTU</t>
        </is>
      </c>
    </row>
    <row r="2" ht="34" customHeight="1">
      <c r="A2" s="29" t="inlineStr">
        <is>
          <t>No</t>
        </is>
      </c>
      <c r="B2" s="29" t="inlineStr">
        <is>
          <t>Tanggal</t>
        </is>
      </c>
      <c r="C2" s="29" t="inlineStr">
        <is>
          <t>Jam Masuk</t>
        </is>
      </c>
      <c r="D2" s="29" t="inlineStr">
        <is>
          <t>Jam Keluar</t>
        </is>
      </c>
      <c r="E2" s="29" t="inlineStr">
        <is>
          <t>Sesi</t>
        </is>
      </c>
      <c r="F2" s="29" t="inlineStr">
        <is>
          <t>Instrumen</t>
        </is>
      </c>
      <c r="G2" s="29" t="inlineStr">
        <is>
          <t>Arah</t>
        </is>
      </c>
      <c r="H2" s="29" t="inlineStr">
        <is>
          <t>Tipe Setup</t>
        </is>
      </c>
      <c r="I2" s="29" t="inlineStr">
        <is>
          <t>TF Eksekusi</t>
        </is>
      </c>
      <c r="J2" s="29" t="inlineStr">
        <is>
          <t>Bias M15 Searah?</t>
        </is>
      </c>
      <c r="K2" s="29" t="inlineStr">
        <is>
          <t>Bias EMA200 Searah?</t>
        </is>
      </c>
      <c r="L2" s="29" t="inlineStr">
        <is>
          <t>Konfluensi SVP</t>
        </is>
      </c>
      <c r="M2" s="29" t="inlineStr">
        <is>
          <t>News Besar?</t>
        </is>
      </c>
      <c r="N2" s="29" t="inlineStr">
        <is>
          <t>Entry</t>
        </is>
      </c>
      <c r="O2" s="29" t="inlineStr">
        <is>
          <t>Stop Loss</t>
        </is>
      </c>
      <c r="P2" s="29" t="inlineStr">
        <is>
          <t>TP Rencana</t>
        </is>
      </c>
      <c r="Q2" s="29" t="inlineStr">
        <is>
          <t>Exit Aktual</t>
        </is>
      </c>
      <c r="R2" s="29" t="inlineStr">
        <is>
          <t>Lot Saran</t>
        </is>
      </c>
      <c r="S2" s="29" t="inlineStr">
        <is>
          <t>Lot Dipakai</t>
        </is>
      </c>
      <c r="T2" s="29" t="inlineStr">
        <is>
          <t>Risiko $</t>
        </is>
      </c>
      <c r="U2" s="29" t="inlineStr">
        <is>
          <t>RR Rencana</t>
        </is>
      </c>
      <c r="V2" s="29" t="inlineStr">
        <is>
          <t>PnL Kotor $</t>
        </is>
      </c>
      <c r="W2" s="29" t="inlineStr">
        <is>
          <t>Biaya $</t>
        </is>
      </c>
      <c r="X2" s="29" t="inlineStr">
        <is>
          <t>PnL Bersih $</t>
        </is>
      </c>
      <c r="Y2" s="29" t="inlineStr">
        <is>
          <t>R Hasil</t>
        </is>
      </c>
      <c r="Z2" s="29" t="inlineStr">
        <is>
          <t>Hasil</t>
        </is>
      </c>
      <c r="AA2" s="29" t="inlineStr">
        <is>
          <t>Durasi (mnt)</t>
        </is>
      </c>
      <c r="AB2" s="29" t="inlineStr">
        <is>
          <t>Harga Terburuk</t>
        </is>
      </c>
      <c r="AC2" s="29" t="inlineStr">
        <is>
          <t>Harga Terbaik</t>
        </is>
      </c>
      <c r="AD2" s="29" t="inlineStr">
        <is>
          <t>MAE (R)</t>
        </is>
      </c>
      <c r="AE2" s="29" t="inlineStr">
        <is>
          <t>MFE (R)</t>
        </is>
      </c>
      <c r="AF2" s="29" t="inlineStr">
        <is>
          <t>Emosi Sebelum Entry</t>
        </is>
      </c>
      <c r="AG2" s="29" t="inlineStr">
        <is>
          <t>Kondisi Fisik</t>
        </is>
      </c>
      <c r="AH2" s="29" t="inlineStr">
        <is>
          <t>Keyakinan (1-5)</t>
        </is>
      </c>
      <c r="AI2" s="29" t="inlineStr">
        <is>
          <t>Sesuai Checklist?</t>
        </is>
      </c>
      <c r="AJ2" s="29" t="inlineStr">
        <is>
          <t>Kesalahan</t>
        </is>
      </c>
      <c r="AK2" s="29" t="inlineStr">
        <is>
          <t>Catatan</t>
        </is>
      </c>
      <c r="AL2" s="29" t="inlineStr">
        <is>
          <t>⚠️ Cek Revenge</t>
        </is>
      </c>
      <c r="AM2" s="29" t="inlineStr">
        <is>
          <t>Link Sebelum</t>
        </is>
      </c>
      <c r="AN2" s="29" t="inlineStr">
        <is>
          <t>Gambar Sebelum</t>
        </is>
      </c>
      <c r="AO2" s="29" t="inlineStr">
        <is>
          <t>Link Sesudah</t>
        </is>
      </c>
      <c r="AP2" s="29" t="inlineStr">
        <is>
          <t>Gambar Sesudah</t>
        </is>
      </c>
      <c r="AQ2" s="29" t="inlineStr">
        <is>
          <t>Lolos Filter</t>
        </is>
      </c>
    </row>
    <row r="3" ht="58" customHeight="1">
      <c r="A3" s="30">
        <f>IF($B3="","",ROW()-2)</f>
        <v/>
      </c>
      <c r="B3" s="31" t="n">
        <v>46265</v>
      </c>
      <c r="C3" s="32" t="n">
        <v>0.3324189814814815</v>
      </c>
      <c r="D3" s="32" t="n">
        <v>0.3330208333333333</v>
      </c>
      <c r="E3" s="30">
        <f>IF($C3="","",IF(AND($C3&gt;=TIME(14,0,0),$C3&lt;TIME(19,30,0)),"London",IF(AND($C3&gt;=TIME(19,30,0),$C3&lt;TIME(23,0,0)),"Overlap LDN+NY",IF(OR($C3&gt;=TIME(23,0,0),$C3&lt;TIME(4,0,0)),"New York","Asia"))))</f>
        <v/>
      </c>
      <c r="F3" s="33" t="inlineStr">
        <is>
          <t>BTCUSD</t>
        </is>
      </c>
      <c r="G3" s="33" t="inlineStr">
        <is>
          <t>Sell</t>
        </is>
      </c>
      <c r="H3" s="33" t="n"/>
      <c r="I3" s="33" t="n"/>
      <c r="J3" s="33" t="n"/>
      <c r="K3" s="33" t="n"/>
      <c r="L3" s="33" t="n"/>
      <c r="M3" s="33" t="n"/>
      <c r="N3" s="34" t="n">
        <v>77918.24000000001</v>
      </c>
      <c r="O3" s="34" t="n"/>
      <c r="P3" s="34" t="n"/>
      <c r="Q3" s="34" t="n">
        <v>77927.40000000001</v>
      </c>
      <c r="R3" s="35">
        <f>IFERROR(IF(OR($N3="",$O3="",$F3=""),"",ROUND(('⚙️ Setelan'!$B$3*'⚙️ Setelan'!$B$4/100)/(ABS($N3-$O3)*VLOOKUP($F3,'⚙️ Setelan'!$A$14:$F$20,4,FALSE)),2)),"")</f>
        <v/>
      </c>
      <c r="S3" s="36" t="n">
        <v>0.1</v>
      </c>
      <c r="T3" s="37">
        <f>IFERROR(IF(OR($N3="",$O3="",$S3=""),"",ABS($N3-$O3)*$S3*VLOOKUP($F3,'⚙️ Setelan'!$A$14:$F$20,4,FALSE)),"")</f>
        <v/>
      </c>
      <c r="U3" s="35">
        <f>IFERROR(IF(OR($N3="",$O3="",$P3=""),"",ROUND(ABS($P3-$N3)/ABS($N3-$O3),2)),"")</f>
        <v/>
      </c>
      <c r="V3" s="37">
        <f>IFERROR(IF(OR($Q3="",$N3="",$S3=""),"",($Q3-$N3)*IF($G3="Buy",1,-1)*$S3*VLOOKUP($F3,'⚙️ Setelan'!$A$14:$F$20,4,FALSE)),"")</f>
        <v/>
      </c>
      <c r="W3" s="37">
        <f>IFERROR(IF(OR($S3="",$F3=""),"",$S3*VLOOKUP($F3,'⚙️ Setelan'!$A$14:$F$20,5,FALSE)),"")</f>
        <v/>
      </c>
      <c r="X3" s="37">
        <f>IF($V3="","",$V3-IF($W3="",0,$W3))</f>
        <v/>
      </c>
      <c r="Y3" s="35">
        <f>IF(OR($X3="",$T3="",$T3=0),"",ROUND($X3/$T3,2))</f>
        <v/>
      </c>
      <c r="Z3" s="30">
        <f>IF($X3="","",IF($X3&gt;0,"Win",IF($X3&lt;0,"Loss","BE")))</f>
        <v/>
      </c>
      <c r="AA3" s="38">
        <f>IF(OR($C3="",$D3=""),"",ROUND(MOD($D3-$C3,1)*1440,0))</f>
        <v/>
      </c>
      <c r="AB3" s="34" t="n"/>
      <c r="AC3" s="34" t="n"/>
      <c r="AD3" s="35">
        <f>IFERROR(IF(OR($AB3="",$T3="",$T3=0),"",ROUND(ABS($N3-$AB3)*$S3*VLOOKUP($F3,'⚙️ Setelan'!$A$14:$F$20,4,FALSE)/$T3,2)),"")</f>
        <v/>
      </c>
      <c r="AE3" s="35">
        <f>IFERROR(IF(OR($AC3="",$T3="",$T3=0),"",ROUND(ABS($AC3-$N3)*$S3*VLOOKUP($F3,'⚙️ Setelan'!$A$14:$F$20,4,FALSE)/$T3,2)),"")</f>
        <v/>
      </c>
      <c r="AF3" s="33" t="n"/>
      <c r="AG3" s="33" t="n"/>
      <c r="AH3" s="33" t="n"/>
      <c r="AI3" s="33" t="n"/>
      <c r="AJ3" s="33" t="n"/>
      <c r="AK3" s="39" t="inlineStr">
        <is>
          <t>tiket 2313145589 · impor CSV · ⚠️ TANPA SL di broker — isi SL yang kamu niatkan biar Risiko $ dan R Hasil bisa terhitung</t>
        </is>
      </c>
      <c r="AL3" s="30">
        <f>""</f>
        <v/>
      </c>
      <c r="AM3" s="40" t="n"/>
      <c r="AN3" s="30">
        <f>IF($AM3="","",IFERROR(IMAGE(IF(REGEXMATCH($AM3,"\.(png|jpg|jpeg|gif)$"),$AM3,"https://s3.tradingview.com/snapshots/"&amp;LOWER(MID(REGEXEXTRACT($AM3,"/x/([A-Za-z0-9]+)"),1,1))&amp;"/"&amp;REGEXEXTRACT($AM3,"/x/([A-Za-z0-9]+)")&amp;".png"),1),"⚠️ link tidak dikenali"))</f>
        <v/>
      </c>
      <c r="AO3" s="40" t="n"/>
      <c r="AP3" s="30">
        <f>IF($AO3="","",IFERROR(IMAGE(IF(REGEXMATCH($AO3,"\.(png|jpg|jpeg|gif)$"),$AO3,"https://s3.tradingview.com/snapshots/"&amp;LOWER(MID(REGEXEXTRACT($AO3,"/x/([A-Za-z0-9]+)"),1,1))&amp;"/"&amp;REGEXEXTRACT($AO3,"/x/([A-Za-z0-9]+)")&amp;".png"),1),"⚠️ link tidak dikenali"))</f>
        <v/>
      </c>
      <c r="AQ3" s="38">
        <f>IF($Z3="",0,IF(AND(OR('📊 Dashboard'!$B$4="(Semua)",$F3='📊 Dashboard'!$B$4),OR('📊 Dashboard'!$B$5="(Semua)",$H3='📊 Dashboard'!$B$5),OR('📊 Dashboard'!$B$6="(Semua)",$E3='📊 Dashboard'!$B$6),OR('📊 Dashboard'!$B$7="(Semua)",$AF3='📊 Dashboard'!$B$7),OR('📊 Dashboard'!$B$8="(Semua)",$AG3='📊 Dashboard'!$B$8),OR('📊 Dashboard'!$B$9="(Semua)",$K3='📊 Dashboard'!$B$9)),1,0))</f>
        <v/>
      </c>
    </row>
    <row r="4" ht="58" customHeight="1">
      <c r="A4" s="30">
        <f>IF($B4="","",ROW()-2)</f>
        <v/>
      </c>
      <c r="B4" s="31" t="n">
        <v>46265</v>
      </c>
      <c r="C4" s="32" t="n">
        <v>0.3324421296296297</v>
      </c>
      <c r="D4" s="32" t="n">
        <v>0.3330208333333333</v>
      </c>
      <c r="E4" s="30">
        <f>IF($C4="","",IF(AND($C4&gt;=TIME(14,0,0),$C4&lt;TIME(19,30,0)),"London",IF(AND($C4&gt;=TIME(19,30,0),$C4&lt;TIME(23,0,0)),"Overlap LDN+NY",IF(OR($C4&gt;=TIME(23,0,0),$C4&lt;TIME(4,0,0)),"New York","Asia"))))</f>
        <v/>
      </c>
      <c r="F4" s="33" t="inlineStr">
        <is>
          <t>BTCUSD</t>
        </is>
      </c>
      <c r="G4" s="33" t="inlineStr">
        <is>
          <t>Sell</t>
        </is>
      </c>
      <c r="H4" s="33" t="n"/>
      <c r="I4" s="33" t="n"/>
      <c r="J4" s="33" t="n"/>
      <c r="K4" s="33" t="n"/>
      <c r="L4" s="33" t="n"/>
      <c r="M4" s="33" t="n"/>
      <c r="N4" s="34" t="n">
        <v>77919.67999999999</v>
      </c>
      <c r="O4" s="34" t="n"/>
      <c r="P4" s="34" t="n"/>
      <c r="Q4" s="34" t="n">
        <v>77927.40000000001</v>
      </c>
      <c r="R4" s="35">
        <f>IFERROR(IF(OR($N4="",$O4="",$F4=""),"",ROUND(('⚙️ Setelan'!$B$3*'⚙️ Setelan'!$B$4/100)/(ABS($N4-$O4)*VLOOKUP($F4,'⚙️ Setelan'!$A$14:$F$20,4,FALSE)),2)),"")</f>
        <v/>
      </c>
      <c r="S4" s="36" t="n">
        <v>0.1</v>
      </c>
      <c r="T4" s="37">
        <f>IFERROR(IF(OR($N4="",$O4="",$S4=""),"",ABS($N4-$O4)*$S4*VLOOKUP($F4,'⚙️ Setelan'!$A$14:$F$20,4,FALSE)),"")</f>
        <v/>
      </c>
      <c r="U4" s="35">
        <f>IFERROR(IF(OR($N4="",$O4="",$P4=""),"",ROUND(ABS($P4-$N4)/ABS($N4-$O4),2)),"")</f>
        <v/>
      </c>
      <c r="V4" s="37">
        <f>IFERROR(IF(OR($Q4="",$N4="",$S4=""),"",($Q4-$N4)*IF($G4="Buy",1,-1)*$S4*VLOOKUP($F4,'⚙️ Setelan'!$A$14:$F$20,4,FALSE)),"")</f>
        <v/>
      </c>
      <c r="W4" s="37">
        <f>IFERROR(IF(OR($S4="",$F4=""),"",$S4*VLOOKUP($F4,'⚙️ Setelan'!$A$14:$F$20,5,FALSE)),"")</f>
        <v/>
      </c>
      <c r="X4" s="37">
        <f>IF($V4="","",$V4-IF($W4="",0,$W4))</f>
        <v/>
      </c>
      <c r="Y4" s="35">
        <f>IF(OR($X4="",$T4="",$T4=0),"",ROUND($X4/$T4,2))</f>
        <v/>
      </c>
      <c r="Z4" s="30">
        <f>IF($X4="","",IF($X4&gt;0,"Win",IF($X4&lt;0,"Loss","BE")))</f>
        <v/>
      </c>
      <c r="AA4" s="38">
        <f>IF(OR($C4="",$D4=""),"",ROUND(MOD($D4-$C4,1)*1440,0))</f>
        <v/>
      </c>
      <c r="AB4" s="34" t="n"/>
      <c r="AC4" s="34" t="n"/>
      <c r="AD4" s="35">
        <f>IFERROR(IF(OR($AB4="",$T4="",$T4=0),"",ROUND(ABS($N4-$AB4)*$S4*VLOOKUP($F4,'⚙️ Setelan'!$A$14:$F$20,4,FALSE)/$T4,2)),"")</f>
        <v/>
      </c>
      <c r="AE4" s="35">
        <f>IFERROR(IF(OR($AC4="",$T4="",$T4=0),"",ROUND(ABS($AC4-$N4)*$S4*VLOOKUP($F4,'⚙️ Setelan'!$A$14:$F$20,4,FALSE)/$T4,2)),"")</f>
        <v/>
      </c>
      <c r="AF4" s="33" t="n"/>
      <c r="AG4" s="33" t="n"/>
      <c r="AH4" s="33" t="n"/>
      <c r="AI4" s="33" t="n"/>
      <c r="AJ4" s="33" t="n"/>
      <c r="AK4" s="39" t="inlineStr">
        <is>
          <t>tiket 2313145614 · impor CSV · ⚠️ TANPA SL di broker — isi SL yang kamu niatkan biar Risiko $ dan R Hasil bisa terhitung</t>
        </is>
      </c>
      <c r="AL4" s="30">
        <f>IF(OR($C4="",$B4=""),"",IF(AND($Z3="Loss",$B4=$B3,MOD($C4-$D3,1)*1440&lt;'⚙️ Setelan'!$B$9),"⚠️ Revenge",""))</f>
        <v/>
      </c>
      <c r="AM4" s="40" t="n"/>
      <c r="AN4" s="30">
        <f>IF($AM4="","",IFERROR(IMAGE(IF(REGEXMATCH($AM4,"\.(png|jpg|jpeg|gif)$"),$AM4,"https://s3.tradingview.com/snapshots/"&amp;LOWER(MID(REGEXEXTRACT($AM4,"/x/([A-Za-z0-9]+)"),1,1))&amp;"/"&amp;REGEXEXTRACT($AM4,"/x/([A-Za-z0-9]+)")&amp;".png"),1),"⚠️ link tidak dikenali"))</f>
        <v/>
      </c>
      <c r="AO4" s="40" t="n"/>
      <c r="AP4" s="30">
        <f>IF($AO4="","",IFERROR(IMAGE(IF(REGEXMATCH($AO4,"\.(png|jpg|jpeg|gif)$"),$AO4,"https://s3.tradingview.com/snapshots/"&amp;LOWER(MID(REGEXEXTRACT($AO4,"/x/([A-Za-z0-9]+)"),1,1))&amp;"/"&amp;REGEXEXTRACT($AO4,"/x/([A-Za-z0-9]+)")&amp;".png"),1),"⚠️ link tidak dikenali"))</f>
        <v/>
      </c>
      <c r="AQ4" s="38">
        <f>IF($Z4="",0,IF(AND(OR('📊 Dashboard'!$B$4="(Semua)",$F4='📊 Dashboard'!$B$4),OR('📊 Dashboard'!$B$5="(Semua)",$H4='📊 Dashboard'!$B$5),OR('📊 Dashboard'!$B$6="(Semua)",$E4='📊 Dashboard'!$B$6),OR('📊 Dashboard'!$B$7="(Semua)",$AF4='📊 Dashboard'!$B$7),OR('📊 Dashboard'!$B$8="(Semua)",$AG4='📊 Dashboard'!$B$8),OR('📊 Dashboard'!$B$9="(Semua)",$K4='📊 Dashboard'!$B$9)),1,0))</f>
        <v/>
      </c>
    </row>
    <row r="5" ht="58" customHeight="1">
      <c r="A5" s="30">
        <f>IF($B5="","",ROW()-2)</f>
        <v/>
      </c>
      <c r="B5" s="31" t="n">
        <v>46265</v>
      </c>
      <c r="C5" s="32" t="n">
        <v>0.3334027777777778</v>
      </c>
      <c r="D5" s="32" t="n">
        <v>0.3336805555555555</v>
      </c>
      <c r="E5" s="30">
        <f>IF($C5="","",IF(AND($C5&gt;=TIME(14,0,0),$C5&lt;TIME(19,30,0)),"London",IF(AND($C5&gt;=TIME(19,30,0),$C5&lt;TIME(23,0,0)),"Overlap LDN+NY",IF(OR($C5&gt;=TIME(23,0,0),$C5&lt;TIME(4,0,0)),"New York","Asia"))))</f>
        <v/>
      </c>
      <c r="F5" s="33" t="inlineStr">
        <is>
          <t>XAUUSD</t>
        </is>
      </c>
      <c r="G5" s="33" t="inlineStr">
        <is>
          <t>Sell</t>
        </is>
      </c>
      <c r="H5" s="33" t="n"/>
      <c r="I5" s="33" t="n"/>
      <c r="J5" s="33" t="n"/>
      <c r="K5" s="33" t="n"/>
      <c r="L5" s="33" t="n"/>
      <c r="M5" s="33" t="n"/>
      <c r="N5" s="34" t="n">
        <v>4453.46</v>
      </c>
      <c r="O5" s="34" t="n"/>
      <c r="P5" s="34" t="n"/>
      <c r="Q5" s="34" t="n">
        <v>4448.468</v>
      </c>
      <c r="R5" s="35">
        <f>IFERROR(IF(OR($N5="",$O5="",$F5=""),"",ROUND(('⚙️ Setelan'!$B$3*'⚙️ Setelan'!$B$4/100)/(ABS($N5-$O5)*VLOOKUP($F5,'⚙️ Setelan'!$A$14:$F$20,4,FALSE)),2)),"")</f>
        <v/>
      </c>
      <c r="S5" s="36" t="n">
        <v>0.09</v>
      </c>
      <c r="T5" s="37">
        <f>IFERROR(IF(OR($N5="",$O5="",$S5=""),"",ABS($N5-$O5)*$S5*VLOOKUP($F5,'⚙️ Setelan'!$A$14:$F$20,4,FALSE)),"")</f>
        <v/>
      </c>
      <c r="U5" s="35">
        <f>IFERROR(IF(OR($N5="",$O5="",$P5=""),"",ROUND(ABS($P5-$N5)/ABS($N5-$O5),2)),"")</f>
        <v/>
      </c>
      <c r="V5" s="37">
        <f>IFERROR(IF(OR($Q5="",$N5="",$S5=""),"",($Q5-$N5)*IF($G5="Buy",1,-1)*$S5*VLOOKUP($F5,'⚙️ Setelan'!$A$14:$F$20,4,FALSE)),"")</f>
        <v/>
      </c>
      <c r="W5" s="37">
        <f>IFERROR(IF(OR($S5="",$F5=""),"",$S5*VLOOKUP($F5,'⚙️ Setelan'!$A$14:$F$20,5,FALSE)),"")</f>
        <v/>
      </c>
      <c r="X5" s="37">
        <f>IF($V5="","",$V5-IF($W5="",0,$W5))</f>
        <v/>
      </c>
      <c r="Y5" s="35">
        <f>IF(OR($X5="",$T5="",$T5=0),"",ROUND($X5/$T5,2))</f>
        <v/>
      </c>
      <c r="Z5" s="30">
        <f>IF($X5="","",IF($X5&gt;0,"Win",IF($X5&lt;0,"Loss","BE")))</f>
        <v/>
      </c>
      <c r="AA5" s="38">
        <f>IF(OR($C5="",$D5=""),"",ROUND(MOD($D5-$C5,1)*1440,0))</f>
        <v/>
      </c>
      <c r="AB5" s="34" t="n"/>
      <c r="AC5" s="34" t="n"/>
      <c r="AD5" s="35">
        <f>IFERROR(IF(OR($AB5="",$T5="",$T5=0),"",ROUND(ABS($N5-$AB5)*$S5*VLOOKUP($F5,'⚙️ Setelan'!$A$14:$F$20,4,FALSE)/$T5,2)),"")</f>
        <v/>
      </c>
      <c r="AE5" s="35">
        <f>IFERROR(IF(OR($AC5="",$T5="",$T5=0),"",ROUND(ABS($AC5-$N5)*$S5*VLOOKUP($F5,'⚙️ Setelan'!$A$14:$F$20,4,FALSE)/$T5,2)),"")</f>
        <v/>
      </c>
      <c r="AF5" s="33" t="n"/>
      <c r="AG5" s="33" t="n"/>
      <c r="AH5" s="33" t="n"/>
      <c r="AI5" s="33" t="n"/>
      <c r="AJ5" s="33" t="n"/>
      <c r="AK5" s="39" t="inlineStr">
        <is>
          <t>tiket 2313151523 · impor CSV · ⚠️ TANPA SL di broker — isi SL yang kamu niatkan biar Risiko $ dan R Hasil bisa terhitung</t>
        </is>
      </c>
      <c r="AL5" s="30">
        <f>IF(OR($C5="",$B5=""),"",IF(AND($Z4="Loss",$B5=$B4,MOD($C5-$D4,1)*1440&lt;'⚙️ Setelan'!$B$9),"⚠️ Revenge",""))</f>
        <v/>
      </c>
      <c r="AM5" s="40" t="n"/>
      <c r="AN5" s="30">
        <f>IF($AM5="","",IFERROR(IMAGE(IF(REGEXMATCH($AM5,"\.(png|jpg|jpeg|gif)$"),$AM5,"https://s3.tradingview.com/snapshots/"&amp;LOWER(MID(REGEXEXTRACT($AM5,"/x/([A-Za-z0-9]+)"),1,1))&amp;"/"&amp;REGEXEXTRACT($AM5,"/x/([A-Za-z0-9]+)")&amp;".png"),1),"⚠️ link tidak dikenali"))</f>
        <v/>
      </c>
      <c r="AO5" s="40" t="n"/>
      <c r="AP5" s="30">
        <f>IF($AO5="","",IFERROR(IMAGE(IF(REGEXMATCH($AO5,"\.(png|jpg|jpeg|gif)$"),$AO5,"https://s3.tradingview.com/snapshots/"&amp;LOWER(MID(REGEXEXTRACT($AO5,"/x/([A-Za-z0-9]+)"),1,1))&amp;"/"&amp;REGEXEXTRACT($AO5,"/x/([A-Za-z0-9]+)")&amp;".png"),1),"⚠️ link tidak dikenali"))</f>
        <v/>
      </c>
      <c r="AQ5" s="38">
        <f>IF($Z5="",0,IF(AND(OR('📊 Dashboard'!$B$4="(Semua)",$F5='📊 Dashboard'!$B$4),OR('📊 Dashboard'!$B$5="(Semua)",$H5='📊 Dashboard'!$B$5),OR('📊 Dashboard'!$B$6="(Semua)",$E5='📊 Dashboard'!$B$6),OR('📊 Dashboard'!$B$7="(Semua)",$AF5='📊 Dashboard'!$B$7),OR('📊 Dashboard'!$B$8="(Semua)",$AG5='📊 Dashboard'!$B$8),OR('📊 Dashboard'!$B$9="(Semua)",$K5='📊 Dashboard'!$B$9)),1,0))</f>
        <v/>
      </c>
    </row>
    <row r="6" ht="58" customHeight="1">
      <c r="A6" s="30">
        <f>IF($B6="","",ROW()-2)</f>
        <v/>
      </c>
      <c r="B6" s="31" t="n">
        <v>46265</v>
      </c>
      <c r="C6" s="32" t="n">
        <v>0.3334027777777778</v>
      </c>
      <c r="D6" s="32" t="n">
        <v>0.3336805555555555</v>
      </c>
      <c r="E6" s="30">
        <f>IF($C6="","",IF(AND($C6&gt;=TIME(14,0,0),$C6&lt;TIME(19,30,0)),"London",IF(AND($C6&gt;=TIME(19,30,0),$C6&lt;TIME(23,0,0)),"Overlap LDN+NY",IF(OR($C6&gt;=TIME(23,0,0),$C6&lt;TIME(4,0,0)),"New York","Asia"))))</f>
        <v/>
      </c>
      <c r="F6" s="33" t="inlineStr">
        <is>
          <t>XAUUSD</t>
        </is>
      </c>
      <c r="G6" s="33" t="inlineStr">
        <is>
          <t>Sell</t>
        </is>
      </c>
      <c r="H6" s="33" t="n"/>
      <c r="I6" s="33" t="n"/>
      <c r="J6" s="33" t="n"/>
      <c r="K6" s="33" t="n"/>
      <c r="L6" s="33" t="n"/>
      <c r="M6" s="33" t="n"/>
      <c r="N6" s="34" t="n">
        <v>4453.46</v>
      </c>
      <c r="O6" s="34" t="n"/>
      <c r="P6" s="34" t="n"/>
      <c r="Q6" s="34" t="n">
        <v>4448.468</v>
      </c>
      <c r="R6" s="35">
        <f>IFERROR(IF(OR($N6="",$O6="",$F6=""),"",ROUND(('⚙️ Setelan'!$B$3*'⚙️ Setelan'!$B$4/100)/(ABS($N6-$O6)*VLOOKUP($F6,'⚙️ Setelan'!$A$14:$F$20,4,FALSE)),2)),"")</f>
        <v/>
      </c>
      <c r="S6" s="36" t="n">
        <v>0.09</v>
      </c>
      <c r="T6" s="37">
        <f>IFERROR(IF(OR($N6="",$O6="",$S6=""),"",ABS($N6-$O6)*$S6*VLOOKUP($F6,'⚙️ Setelan'!$A$14:$F$20,4,FALSE)),"")</f>
        <v/>
      </c>
      <c r="U6" s="35">
        <f>IFERROR(IF(OR($N6="",$O6="",$P6=""),"",ROUND(ABS($P6-$N6)/ABS($N6-$O6),2)),"")</f>
        <v/>
      </c>
      <c r="V6" s="37">
        <f>IFERROR(IF(OR($Q6="",$N6="",$S6=""),"",($Q6-$N6)*IF($G6="Buy",1,-1)*$S6*VLOOKUP($F6,'⚙️ Setelan'!$A$14:$F$20,4,FALSE)),"")</f>
        <v/>
      </c>
      <c r="W6" s="37">
        <f>IFERROR(IF(OR($S6="",$F6=""),"",$S6*VLOOKUP($F6,'⚙️ Setelan'!$A$14:$F$20,5,FALSE)),"")</f>
        <v/>
      </c>
      <c r="X6" s="37">
        <f>IF($V6="","",$V6-IF($W6="",0,$W6))</f>
        <v/>
      </c>
      <c r="Y6" s="35">
        <f>IF(OR($X6="",$T6="",$T6=0),"",ROUND($X6/$T6,2))</f>
        <v/>
      </c>
      <c r="Z6" s="30">
        <f>IF($X6="","",IF($X6&gt;0,"Win",IF($X6&lt;0,"Loss","BE")))</f>
        <v/>
      </c>
      <c r="AA6" s="38">
        <f>IF(OR($C6="",$D6=""),"",ROUND(MOD($D6-$C6,1)*1440,0))</f>
        <v/>
      </c>
      <c r="AB6" s="34" t="n"/>
      <c r="AC6" s="34" t="n"/>
      <c r="AD6" s="35">
        <f>IFERROR(IF(OR($AB6="",$T6="",$T6=0),"",ROUND(ABS($N6-$AB6)*$S6*VLOOKUP($F6,'⚙️ Setelan'!$A$14:$F$20,4,FALSE)/$T6,2)),"")</f>
        <v/>
      </c>
      <c r="AE6" s="35">
        <f>IFERROR(IF(OR($AC6="",$T6="",$T6=0),"",ROUND(ABS($AC6-$N6)*$S6*VLOOKUP($F6,'⚙️ Setelan'!$A$14:$F$20,4,FALSE)/$T6,2)),"")</f>
        <v/>
      </c>
      <c r="AF6" s="33" t="n"/>
      <c r="AG6" s="33" t="n"/>
      <c r="AH6" s="33" t="n"/>
      <c r="AI6" s="33" t="n"/>
      <c r="AJ6" s="33" t="n"/>
      <c r="AK6" s="39" t="inlineStr">
        <is>
          <t>tiket 2313151522 · impor CSV · ⚠️ TANPA SL di broker — isi SL yang kamu niatkan biar Risiko $ dan R Hasil bisa terhitung</t>
        </is>
      </c>
      <c r="AL6" s="30">
        <f>IF(OR($C6="",$B6=""),"",IF(AND($Z5="Loss",$B6=$B5,MOD($C6-$D5,1)*1440&lt;'⚙️ Setelan'!$B$9),"⚠️ Revenge",""))</f>
        <v/>
      </c>
      <c r="AM6" s="40" t="n"/>
      <c r="AN6" s="30">
        <f>IF($AM6="","",IFERROR(IMAGE(IF(REGEXMATCH($AM6,"\.(png|jpg|jpeg|gif)$"),$AM6,"https://s3.tradingview.com/snapshots/"&amp;LOWER(MID(REGEXEXTRACT($AM6,"/x/([A-Za-z0-9]+)"),1,1))&amp;"/"&amp;REGEXEXTRACT($AM6,"/x/([A-Za-z0-9]+)")&amp;".png"),1),"⚠️ link tidak dikenali"))</f>
        <v/>
      </c>
      <c r="AO6" s="40" t="n"/>
      <c r="AP6" s="30">
        <f>IF($AO6="","",IFERROR(IMAGE(IF(REGEXMATCH($AO6,"\.(png|jpg|jpeg|gif)$"),$AO6,"https://s3.tradingview.com/snapshots/"&amp;LOWER(MID(REGEXEXTRACT($AO6,"/x/([A-Za-z0-9]+)"),1,1))&amp;"/"&amp;REGEXEXTRACT($AO6,"/x/([A-Za-z0-9]+)")&amp;".png"),1),"⚠️ link tidak dikenali"))</f>
        <v/>
      </c>
      <c r="AQ6" s="38">
        <f>IF($Z6="",0,IF(AND(OR('📊 Dashboard'!$B$4="(Semua)",$F6='📊 Dashboard'!$B$4),OR('📊 Dashboard'!$B$5="(Semua)",$H6='📊 Dashboard'!$B$5),OR('📊 Dashboard'!$B$6="(Semua)",$E6='📊 Dashboard'!$B$6),OR('📊 Dashboard'!$B$7="(Semua)",$AF6='📊 Dashboard'!$B$7),OR('📊 Dashboard'!$B$8="(Semua)",$AG6='📊 Dashboard'!$B$8),OR('📊 Dashboard'!$B$9="(Semua)",$K6='📊 Dashboard'!$B$9)),1,0))</f>
        <v/>
      </c>
    </row>
    <row r="7" ht="58" customHeight="1">
      <c r="A7" s="30">
        <f>IF($B7="","",ROW()-2)</f>
        <v/>
      </c>
      <c r="B7" s="31" t="n">
        <v>46265</v>
      </c>
      <c r="C7" s="32" t="n">
        <v>0.3717824074074074</v>
      </c>
      <c r="D7" s="32" t="n">
        <v>0.3743865740740741</v>
      </c>
      <c r="E7" s="30">
        <f>IF($C7="","",IF(AND($C7&gt;=TIME(14,0,0),$C7&lt;TIME(19,30,0)),"London",IF(AND($C7&gt;=TIME(19,30,0),$C7&lt;TIME(23,0,0)),"Overlap LDN+NY",IF(OR($C7&gt;=TIME(23,0,0),$C7&lt;TIME(4,0,0)),"New York","Asia"))))</f>
        <v/>
      </c>
      <c r="F7" s="33" t="inlineStr">
        <is>
          <t>XAUUSD</t>
        </is>
      </c>
      <c r="G7" s="33" t="inlineStr">
        <is>
          <t>Sell</t>
        </is>
      </c>
      <c r="H7" s="33" t="n"/>
      <c r="I7" s="33" t="n"/>
      <c r="J7" s="33" t="n"/>
      <c r="K7" s="33" t="n"/>
      <c r="L7" s="33" t="n"/>
      <c r="M7" s="33" t="n"/>
      <c r="N7" s="34" t="n">
        <v>4442.994</v>
      </c>
      <c r="O7" s="34" t="n"/>
      <c r="P7" s="34" t="n"/>
      <c r="Q7" s="34" t="n">
        <v>4440.126</v>
      </c>
      <c r="R7" s="35">
        <f>IFERROR(IF(OR($N7="",$O7="",$F7=""),"",ROUND(('⚙️ Setelan'!$B$3*'⚙️ Setelan'!$B$4/100)/(ABS($N7-$O7)*VLOOKUP($F7,'⚙️ Setelan'!$A$14:$F$20,4,FALSE)),2)),"")</f>
        <v/>
      </c>
      <c r="S7" s="36" t="n">
        <v>0.09</v>
      </c>
      <c r="T7" s="37">
        <f>IFERROR(IF(OR($N7="",$O7="",$S7=""),"",ABS($N7-$O7)*$S7*VLOOKUP($F7,'⚙️ Setelan'!$A$14:$F$20,4,FALSE)),"")</f>
        <v/>
      </c>
      <c r="U7" s="35">
        <f>IFERROR(IF(OR($N7="",$O7="",$P7=""),"",ROUND(ABS($P7-$N7)/ABS($N7-$O7),2)),"")</f>
        <v/>
      </c>
      <c r="V7" s="37">
        <f>IFERROR(IF(OR($Q7="",$N7="",$S7=""),"",($Q7-$N7)*IF($G7="Buy",1,-1)*$S7*VLOOKUP($F7,'⚙️ Setelan'!$A$14:$F$20,4,FALSE)),"")</f>
        <v/>
      </c>
      <c r="W7" s="37">
        <f>IFERROR(IF(OR($S7="",$F7=""),"",$S7*VLOOKUP($F7,'⚙️ Setelan'!$A$14:$F$20,5,FALSE)),"")</f>
        <v/>
      </c>
      <c r="X7" s="37">
        <f>IF($V7="","",$V7-IF($W7="",0,$W7))</f>
        <v/>
      </c>
      <c r="Y7" s="35">
        <f>IF(OR($X7="",$T7="",$T7=0),"",ROUND($X7/$T7,2))</f>
        <v/>
      </c>
      <c r="Z7" s="30">
        <f>IF($X7="","",IF($X7&gt;0,"Win",IF($X7&lt;0,"Loss","BE")))</f>
        <v/>
      </c>
      <c r="AA7" s="38">
        <f>IF(OR($C7="",$D7=""),"",ROUND(MOD($D7-$C7,1)*1440,0))</f>
        <v/>
      </c>
      <c r="AB7" s="34" t="n"/>
      <c r="AC7" s="34" t="n"/>
      <c r="AD7" s="35">
        <f>IFERROR(IF(OR($AB7="",$T7="",$T7=0),"",ROUND(ABS($N7-$AB7)*$S7*VLOOKUP($F7,'⚙️ Setelan'!$A$14:$F$20,4,FALSE)/$T7,2)),"")</f>
        <v/>
      </c>
      <c r="AE7" s="35">
        <f>IFERROR(IF(OR($AC7="",$T7="",$T7=0),"",ROUND(ABS($AC7-$N7)*$S7*VLOOKUP($F7,'⚙️ Setelan'!$A$14:$F$20,4,FALSE)/$T7,2)),"")</f>
        <v/>
      </c>
      <c r="AF7" s="33" t="n"/>
      <c r="AG7" s="33" t="n"/>
      <c r="AH7" s="33" t="n"/>
      <c r="AI7" s="33" t="n"/>
      <c r="AJ7" s="33" t="n"/>
      <c r="AK7" s="39" t="inlineStr">
        <is>
          <t>tiket 2313313924 · impor CSV · ⚠️ TANPA SL di broker — isi SL yang kamu niatkan biar Risiko $ dan R Hasil bisa terhitung</t>
        </is>
      </c>
      <c r="AL7" s="30">
        <f>IF(OR($C7="",$B7=""),"",IF(AND($Z6="Loss",$B7=$B6,MOD($C7-$D6,1)*1440&lt;'⚙️ Setelan'!$B$9),"⚠️ Revenge",""))</f>
        <v/>
      </c>
      <c r="AM7" s="40" t="n"/>
      <c r="AN7" s="30">
        <f>IF($AM7="","",IFERROR(IMAGE(IF(REGEXMATCH($AM7,"\.(png|jpg|jpeg|gif)$"),$AM7,"https://s3.tradingview.com/snapshots/"&amp;LOWER(MID(REGEXEXTRACT($AM7,"/x/([A-Za-z0-9]+)"),1,1))&amp;"/"&amp;REGEXEXTRACT($AM7,"/x/([A-Za-z0-9]+)")&amp;".png"),1),"⚠️ link tidak dikenali"))</f>
        <v/>
      </c>
      <c r="AO7" s="40" t="n"/>
      <c r="AP7" s="30">
        <f>IF($AO7="","",IFERROR(IMAGE(IF(REGEXMATCH($AO7,"\.(png|jpg|jpeg|gif)$"),$AO7,"https://s3.tradingview.com/snapshots/"&amp;LOWER(MID(REGEXEXTRACT($AO7,"/x/([A-Za-z0-9]+)"),1,1))&amp;"/"&amp;REGEXEXTRACT($AO7,"/x/([A-Za-z0-9]+)")&amp;".png"),1),"⚠️ link tidak dikenali"))</f>
        <v/>
      </c>
      <c r="AQ7" s="38">
        <f>IF($Z7="",0,IF(AND(OR('📊 Dashboard'!$B$4="(Semua)",$F7='📊 Dashboard'!$B$4),OR('📊 Dashboard'!$B$5="(Semua)",$H7='📊 Dashboard'!$B$5),OR('📊 Dashboard'!$B$6="(Semua)",$E7='📊 Dashboard'!$B$6),OR('📊 Dashboard'!$B$7="(Semua)",$AF7='📊 Dashboard'!$B$7),OR('📊 Dashboard'!$B$8="(Semua)",$AG7='📊 Dashboard'!$B$8),OR('📊 Dashboard'!$B$9="(Semua)",$K7='📊 Dashboard'!$B$9)),1,0))</f>
        <v/>
      </c>
    </row>
    <row r="8" ht="58" customHeight="1">
      <c r="A8" s="30">
        <f>IF($B8="","",ROW()-2)</f>
        <v/>
      </c>
      <c r="B8" s="31" t="n">
        <v>46265</v>
      </c>
      <c r="C8" s="32" t="n">
        <v>0.3717824074074074</v>
      </c>
      <c r="D8" s="32" t="n">
        <v>0.3743865740740741</v>
      </c>
      <c r="E8" s="30">
        <f>IF($C8="","",IF(AND($C8&gt;=TIME(14,0,0),$C8&lt;TIME(19,30,0)),"London",IF(AND($C8&gt;=TIME(19,30,0),$C8&lt;TIME(23,0,0)),"Overlap LDN+NY",IF(OR($C8&gt;=TIME(23,0,0),$C8&lt;TIME(4,0,0)),"New York","Asia"))))</f>
        <v/>
      </c>
      <c r="F8" s="33" t="inlineStr">
        <is>
          <t>XAUUSD</t>
        </is>
      </c>
      <c r="G8" s="33" t="inlineStr">
        <is>
          <t>Sell</t>
        </is>
      </c>
      <c r="H8" s="33" t="n"/>
      <c r="I8" s="33" t="n"/>
      <c r="J8" s="33" t="n"/>
      <c r="K8" s="33" t="n"/>
      <c r="L8" s="33" t="n"/>
      <c r="M8" s="33" t="n"/>
      <c r="N8" s="34" t="n">
        <v>4442.994</v>
      </c>
      <c r="O8" s="34" t="n"/>
      <c r="P8" s="34" t="n"/>
      <c r="Q8" s="34" t="n">
        <v>4440.261</v>
      </c>
      <c r="R8" s="35">
        <f>IFERROR(IF(OR($N8="",$O8="",$F8=""),"",ROUND(('⚙️ Setelan'!$B$3*'⚙️ Setelan'!$B$4/100)/(ABS($N8-$O8)*VLOOKUP($F8,'⚙️ Setelan'!$A$14:$F$20,4,FALSE)),2)),"")</f>
        <v/>
      </c>
      <c r="S8" s="36" t="n">
        <v>0.09</v>
      </c>
      <c r="T8" s="37">
        <f>IFERROR(IF(OR($N8="",$O8="",$S8=""),"",ABS($N8-$O8)*$S8*VLOOKUP($F8,'⚙️ Setelan'!$A$14:$F$20,4,FALSE)),"")</f>
        <v/>
      </c>
      <c r="U8" s="35">
        <f>IFERROR(IF(OR($N8="",$O8="",$P8=""),"",ROUND(ABS($P8-$N8)/ABS($N8-$O8),2)),"")</f>
        <v/>
      </c>
      <c r="V8" s="37">
        <f>IFERROR(IF(OR($Q8="",$N8="",$S8=""),"",($Q8-$N8)*IF($G8="Buy",1,-1)*$S8*VLOOKUP($F8,'⚙️ Setelan'!$A$14:$F$20,4,FALSE)),"")</f>
        <v/>
      </c>
      <c r="W8" s="37">
        <f>IFERROR(IF(OR($S8="",$F8=""),"",$S8*VLOOKUP($F8,'⚙️ Setelan'!$A$14:$F$20,5,FALSE)),"")</f>
        <v/>
      </c>
      <c r="X8" s="37">
        <f>IF($V8="","",$V8-IF($W8="",0,$W8))</f>
        <v/>
      </c>
      <c r="Y8" s="35">
        <f>IF(OR($X8="",$T8="",$T8=0),"",ROUND($X8/$T8,2))</f>
        <v/>
      </c>
      <c r="Z8" s="30">
        <f>IF($X8="","",IF($X8&gt;0,"Win",IF($X8&lt;0,"Loss","BE")))</f>
        <v/>
      </c>
      <c r="AA8" s="38">
        <f>IF(OR($C8="",$D8=""),"",ROUND(MOD($D8-$C8,1)*1440,0))</f>
        <v/>
      </c>
      <c r="AB8" s="34" t="n"/>
      <c r="AC8" s="34" t="n"/>
      <c r="AD8" s="35">
        <f>IFERROR(IF(OR($AB8="",$T8="",$T8=0),"",ROUND(ABS($N8-$AB8)*$S8*VLOOKUP($F8,'⚙️ Setelan'!$A$14:$F$20,4,FALSE)/$T8,2)),"")</f>
        <v/>
      </c>
      <c r="AE8" s="35">
        <f>IFERROR(IF(OR($AC8="",$T8="",$T8=0),"",ROUND(ABS($AC8-$N8)*$S8*VLOOKUP($F8,'⚙️ Setelan'!$A$14:$F$20,4,FALSE)/$T8,2)),"")</f>
        <v/>
      </c>
      <c r="AF8" s="33" t="n"/>
      <c r="AG8" s="33" t="n"/>
      <c r="AH8" s="33" t="n"/>
      <c r="AI8" s="33" t="n"/>
      <c r="AJ8" s="33" t="n"/>
      <c r="AK8" s="39" t="inlineStr">
        <is>
          <t>tiket 2313313925 · impor CSV · ⚠️ TANPA SL di broker — isi SL yang kamu niatkan biar Risiko $ dan R Hasil bisa terhitung</t>
        </is>
      </c>
      <c r="AL8" s="30">
        <f>IF(OR($C8="",$B8=""),"",IF(AND($Z7="Loss",$B8=$B7,MOD($C8-$D7,1)*1440&lt;'⚙️ Setelan'!$B$9),"⚠️ Revenge",""))</f>
        <v/>
      </c>
      <c r="AM8" s="40" t="n"/>
      <c r="AN8" s="30">
        <f>IF($AM8="","",IFERROR(IMAGE(IF(REGEXMATCH($AM8,"\.(png|jpg|jpeg|gif)$"),$AM8,"https://s3.tradingview.com/snapshots/"&amp;LOWER(MID(REGEXEXTRACT($AM8,"/x/([A-Za-z0-9]+)"),1,1))&amp;"/"&amp;REGEXEXTRACT($AM8,"/x/([A-Za-z0-9]+)")&amp;".png"),1),"⚠️ link tidak dikenali"))</f>
        <v/>
      </c>
      <c r="AO8" s="40" t="n"/>
      <c r="AP8" s="30">
        <f>IF($AO8="","",IFERROR(IMAGE(IF(REGEXMATCH($AO8,"\.(png|jpg|jpeg|gif)$"),$AO8,"https://s3.tradingview.com/snapshots/"&amp;LOWER(MID(REGEXEXTRACT($AO8,"/x/([A-Za-z0-9]+)"),1,1))&amp;"/"&amp;REGEXEXTRACT($AO8,"/x/([A-Za-z0-9]+)")&amp;".png"),1),"⚠️ link tidak dikenali"))</f>
        <v/>
      </c>
      <c r="AQ8" s="38">
        <f>IF($Z8="",0,IF(AND(OR('📊 Dashboard'!$B$4="(Semua)",$F8='📊 Dashboard'!$B$4),OR('📊 Dashboard'!$B$5="(Semua)",$H8='📊 Dashboard'!$B$5),OR('📊 Dashboard'!$B$6="(Semua)",$E8='📊 Dashboard'!$B$6),OR('📊 Dashboard'!$B$7="(Semua)",$AF8='📊 Dashboard'!$B$7),OR('📊 Dashboard'!$B$8="(Semua)",$AG8='📊 Dashboard'!$B$8),OR('📊 Dashboard'!$B$9="(Semua)",$K8='📊 Dashboard'!$B$9)),1,0))</f>
        <v/>
      </c>
    </row>
    <row r="9" ht="58" customHeight="1">
      <c r="A9" s="30">
        <f>IF($B9="","",ROW()-2)</f>
        <v/>
      </c>
      <c r="B9" s="31" t="n">
        <v>46265</v>
      </c>
      <c r="C9" s="32" t="n">
        <v>0.3758564814814815</v>
      </c>
      <c r="D9" s="32" t="n">
        <v>0.3765856481481482</v>
      </c>
      <c r="E9" s="30">
        <f>IF($C9="","",IF(AND($C9&gt;=TIME(14,0,0),$C9&lt;TIME(19,30,0)),"London",IF(AND($C9&gt;=TIME(19,30,0),$C9&lt;TIME(23,0,0)),"Overlap LDN+NY",IF(OR($C9&gt;=TIME(23,0,0),$C9&lt;TIME(4,0,0)),"New York","Asia"))))</f>
        <v/>
      </c>
      <c r="F9" s="33" t="inlineStr">
        <is>
          <t>XAUUSD</t>
        </is>
      </c>
      <c r="G9" s="33" t="inlineStr">
        <is>
          <t>Sell</t>
        </is>
      </c>
      <c r="H9" s="33" t="n"/>
      <c r="I9" s="33" t="n"/>
      <c r="J9" s="33" t="n"/>
      <c r="K9" s="33" t="n"/>
      <c r="L9" s="33" t="n"/>
      <c r="M9" s="33" t="n"/>
      <c r="N9" s="34" t="n">
        <v>4434.113</v>
      </c>
      <c r="O9" s="34" t="n"/>
      <c r="P9" s="34" t="n"/>
      <c r="Q9" s="34" t="n">
        <v>4430.431</v>
      </c>
      <c r="R9" s="35">
        <f>IFERROR(IF(OR($N9="",$O9="",$F9=""),"",ROUND(('⚙️ Setelan'!$B$3*'⚙️ Setelan'!$B$4/100)/(ABS($N9-$O9)*VLOOKUP($F9,'⚙️ Setelan'!$A$14:$F$20,4,FALSE)),2)),"")</f>
        <v/>
      </c>
      <c r="S9" s="36" t="n">
        <v>0.09</v>
      </c>
      <c r="T9" s="37">
        <f>IFERROR(IF(OR($N9="",$O9="",$S9=""),"",ABS($N9-$O9)*$S9*VLOOKUP($F9,'⚙️ Setelan'!$A$14:$F$20,4,FALSE)),"")</f>
        <v/>
      </c>
      <c r="U9" s="35">
        <f>IFERROR(IF(OR($N9="",$O9="",$P9=""),"",ROUND(ABS($P9-$N9)/ABS($N9-$O9),2)),"")</f>
        <v/>
      </c>
      <c r="V9" s="37">
        <f>IFERROR(IF(OR($Q9="",$N9="",$S9=""),"",($Q9-$N9)*IF($G9="Buy",1,-1)*$S9*VLOOKUP($F9,'⚙️ Setelan'!$A$14:$F$20,4,FALSE)),"")</f>
        <v/>
      </c>
      <c r="W9" s="37">
        <f>IFERROR(IF(OR($S9="",$F9=""),"",$S9*VLOOKUP($F9,'⚙️ Setelan'!$A$14:$F$20,5,FALSE)),"")</f>
        <v/>
      </c>
      <c r="X9" s="37">
        <f>IF($V9="","",$V9-IF($W9="",0,$W9))</f>
        <v/>
      </c>
      <c r="Y9" s="35">
        <f>IF(OR($X9="",$T9="",$T9=0),"",ROUND($X9/$T9,2))</f>
        <v/>
      </c>
      <c r="Z9" s="30">
        <f>IF($X9="","",IF($X9&gt;0,"Win",IF($X9&lt;0,"Loss","BE")))</f>
        <v/>
      </c>
      <c r="AA9" s="38">
        <f>IF(OR($C9="",$D9=""),"",ROUND(MOD($D9-$C9,1)*1440,0))</f>
        <v/>
      </c>
      <c r="AB9" s="34" t="n"/>
      <c r="AC9" s="34" t="n"/>
      <c r="AD9" s="35">
        <f>IFERROR(IF(OR($AB9="",$T9="",$T9=0),"",ROUND(ABS($N9-$AB9)*$S9*VLOOKUP($F9,'⚙️ Setelan'!$A$14:$F$20,4,FALSE)/$T9,2)),"")</f>
        <v/>
      </c>
      <c r="AE9" s="35">
        <f>IFERROR(IF(OR($AC9="",$T9="",$T9=0),"",ROUND(ABS($AC9-$N9)*$S9*VLOOKUP($F9,'⚙️ Setelan'!$A$14:$F$20,4,FALSE)/$T9,2)),"")</f>
        <v/>
      </c>
      <c r="AF9" s="33" t="n"/>
      <c r="AG9" s="33" t="n"/>
      <c r="AH9" s="33" t="n"/>
      <c r="AI9" s="33" t="n"/>
      <c r="AJ9" s="33" t="n"/>
      <c r="AK9" s="39" t="inlineStr">
        <is>
          <t>tiket 2313334563 · impor CSV · ⚠️ TANPA SL di broker — isi SL yang kamu niatkan biar Risiko $ dan R Hasil bisa terhitung</t>
        </is>
      </c>
      <c r="AL9" s="30">
        <f>IF(OR($C9="",$B9=""),"",IF(AND($Z8="Loss",$B9=$B8,MOD($C9-$D8,1)*1440&lt;'⚙️ Setelan'!$B$9),"⚠️ Revenge",""))</f>
        <v/>
      </c>
      <c r="AM9" s="40" t="n"/>
      <c r="AN9" s="30">
        <f>IF($AM9="","",IFERROR(IMAGE(IF(REGEXMATCH($AM9,"\.(png|jpg|jpeg|gif)$"),$AM9,"https://s3.tradingview.com/snapshots/"&amp;LOWER(MID(REGEXEXTRACT($AM9,"/x/([A-Za-z0-9]+)"),1,1))&amp;"/"&amp;REGEXEXTRACT($AM9,"/x/([A-Za-z0-9]+)")&amp;".png"),1),"⚠️ link tidak dikenali"))</f>
        <v/>
      </c>
      <c r="AO9" s="40" t="n"/>
      <c r="AP9" s="30">
        <f>IF($AO9="","",IFERROR(IMAGE(IF(REGEXMATCH($AO9,"\.(png|jpg|jpeg|gif)$"),$AO9,"https://s3.tradingview.com/snapshots/"&amp;LOWER(MID(REGEXEXTRACT($AO9,"/x/([A-Za-z0-9]+)"),1,1))&amp;"/"&amp;REGEXEXTRACT($AO9,"/x/([A-Za-z0-9]+)")&amp;".png"),1),"⚠️ link tidak dikenali"))</f>
        <v/>
      </c>
      <c r="AQ9" s="38">
        <f>IF($Z9="",0,IF(AND(OR('📊 Dashboard'!$B$4="(Semua)",$F9='📊 Dashboard'!$B$4),OR('📊 Dashboard'!$B$5="(Semua)",$H9='📊 Dashboard'!$B$5),OR('📊 Dashboard'!$B$6="(Semua)",$E9='📊 Dashboard'!$B$6),OR('📊 Dashboard'!$B$7="(Semua)",$AF9='📊 Dashboard'!$B$7),OR('📊 Dashboard'!$B$8="(Semua)",$AG9='📊 Dashboard'!$B$8),OR('📊 Dashboard'!$B$9="(Semua)",$K9='📊 Dashboard'!$B$9)),1,0))</f>
        <v/>
      </c>
    </row>
    <row r="10" ht="58" customHeight="1">
      <c r="A10" s="30">
        <f>IF($B10="","",ROW()-2)</f>
        <v/>
      </c>
      <c r="B10" s="31" t="n">
        <v>46265</v>
      </c>
      <c r="C10" s="32" t="n">
        <v>0.3785069444444444</v>
      </c>
      <c r="D10" s="32" t="n">
        <v>0.3812152777777778</v>
      </c>
      <c r="E10" s="30">
        <f>IF($C10="","",IF(AND($C10&gt;=TIME(14,0,0),$C10&lt;TIME(19,30,0)),"London",IF(AND($C10&gt;=TIME(19,30,0),$C10&lt;TIME(23,0,0)),"Overlap LDN+NY",IF(OR($C10&gt;=TIME(23,0,0),$C10&lt;TIME(4,0,0)),"New York","Asia"))))</f>
        <v/>
      </c>
      <c r="F10" s="33" t="inlineStr">
        <is>
          <t>XAUUSD</t>
        </is>
      </c>
      <c r="G10" s="33" t="inlineStr">
        <is>
          <t>Buy</t>
        </is>
      </c>
      <c r="H10" s="33" t="n"/>
      <c r="I10" s="33" t="n"/>
      <c r="J10" s="33" t="n"/>
      <c r="K10" s="33" t="n"/>
      <c r="L10" s="33" t="n"/>
      <c r="M10" s="33" t="n"/>
      <c r="N10" s="34" t="n">
        <v>4427.774</v>
      </c>
      <c r="O10" s="34" t="n">
        <v>4421.554</v>
      </c>
      <c r="P10" s="34" t="n">
        <v>4439.986</v>
      </c>
      <c r="Q10" s="34" t="n">
        <v>4432.601</v>
      </c>
      <c r="R10" s="35">
        <f>IFERROR(IF(OR($N10="",$O10="",$F10=""),"",ROUND(('⚙️ Setelan'!$B$3*'⚙️ Setelan'!$B$4/100)/(ABS($N10-$O10)*VLOOKUP($F10,'⚙️ Setelan'!$A$14:$F$20,4,FALSE)),2)),"")</f>
        <v/>
      </c>
      <c r="S10" s="36" t="n">
        <v>0.09</v>
      </c>
      <c r="T10" s="37">
        <f>IFERROR(IF(OR($N10="",$O10="",$S10=""),"",ABS($N10-$O10)*$S10*VLOOKUP($F10,'⚙️ Setelan'!$A$14:$F$20,4,FALSE)),"")</f>
        <v/>
      </c>
      <c r="U10" s="35">
        <f>IFERROR(IF(OR($N10="",$O10="",$P10=""),"",ROUND(ABS($P10-$N10)/ABS($N10-$O10),2)),"")</f>
        <v/>
      </c>
      <c r="V10" s="37">
        <f>IFERROR(IF(OR($Q10="",$N10="",$S10=""),"",($Q10-$N10)*IF($G10="Buy",1,-1)*$S10*VLOOKUP($F10,'⚙️ Setelan'!$A$14:$F$20,4,FALSE)),"")</f>
        <v/>
      </c>
      <c r="W10" s="37">
        <f>IFERROR(IF(OR($S10="",$F10=""),"",$S10*VLOOKUP($F10,'⚙️ Setelan'!$A$14:$F$20,5,FALSE)),"")</f>
        <v/>
      </c>
      <c r="X10" s="37">
        <f>IF($V10="","",$V10-IF($W10="",0,$W10))</f>
        <v/>
      </c>
      <c r="Y10" s="35">
        <f>IF(OR($X10="",$T10="",$T10=0),"",ROUND($X10/$T10,2))</f>
        <v/>
      </c>
      <c r="Z10" s="30">
        <f>IF($X10="","",IF($X10&gt;0,"Win",IF($X10&lt;0,"Loss","BE")))</f>
        <v/>
      </c>
      <c r="AA10" s="38">
        <f>IF(OR($C10="",$D10=""),"",ROUND(MOD($D10-$C10,1)*1440,0))</f>
        <v/>
      </c>
      <c r="AB10" s="34" t="n"/>
      <c r="AC10" s="34" t="n"/>
      <c r="AD10" s="35">
        <f>IFERROR(IF(OR($AB10="",$T10="",$T10=0),"",ROUND(ABS($N10-$AB10)*$S10*VLOOKUP($F10,'⚙️ Setelan'!$A$14:$F$20,4,FALSE)/$T10,2)),"")</f>
        <v/>
      </c>
      <c r="AE10" s="35">
        <f>IFERROR(IF(OR($AC10="",$T10="",$T10=0),"",ROUND(ABS($AC10-$N10)*$S10*VLOOKUP($F10,'⚙️ Setelan'!$A$14:$F$20,4,FALSE)/$T10,2)),"")</f>
        <v/>
      </c>
      <c r="AF10" s="33" t="n"/>
      <c r="AG10" s="33" t="n"/>
      <c r="AH10" s="33" t="n"/>
      <c r="AI10" s="33" t="n"/>
      <c r="AJ10" s="33" t="n"/>
      <c r="AK10" s="39" t="inlineStr">
        <is>
          <t>tiket 2313357536 · impor otomatis dari CSV broker</t>
        </is>
      </c>
      <c r="AL10" s="30">
        <f>IF(OR($C10="",$B10=""),"",IF(AND($Z9="Loss",$B10=$B9,MOD($C10-$D9,1)*1440&lt;'⚙️ Setelan'!$B$9),"⚠️ Revenge",""))</f>
        <v/>
      </c>
      <c r="AM10" s="40" t="n"/>
      <c r="AN10" s="30">
        <f>IF($AM10="","",IFERROR(IMAGE(IF(REGEXMATCH($AM10,"\.(png|jpg|jpeg|gif)$"),$AM10,"https://s3.tradingview.com/snapshots/"&amp;LOWER(MID(REGEXEXTRACT($AM10,"/x/([A-Za-z0-9]+)"),1,1))&amp;"/"&amp;REGEXEXTRACT($AM10,"/x/([A-Za-z0-9]+)")&amp;".png"),1),"⚠️ link tidak dikenali"))</f>
        <v/>
      </c>
      <c r="AO10" s="40" t="n"/>
      <c r="AP10" s="30">
        <f>IF($AO10="","",IFERROR(IMAGE(IF(REGEXMATCH($AO10,"\.(png|jpg|jpeg|gif)$"),$AO10,"https://s3.tradingview.com/snapshots/"&amp;LOWER(MID(REGEXEXTRACT($AO10,"/x/([A-Za-z0-9]+)"),1,1))&amp;"/"&amp;REGEXEXTRACT($AO10,"/x/([A-Za-z0-9]+)")&amp;".png"),1),"⚠️ link tidak dikenali"))</f>
        <v/>
      </c>
      <c r="AQ10" s="38">
        <f>IF($Z10="",0,IF(AND(OR('📊 Dashboard'!$B$4="(Semua)",$F10='📊 Dashboard'!$B$4),OR('📊 Dashboard'!$B$5="(Semua)",$H10='📊 Dashboard'!$B$5),OR('📊 Dashboard'!$B$6="(Semua)",$E10='📊 Dashboard'!$B$6),OR('📊 Dashboard'!$B$7="(Semua)",$AF10='📊 Dashboard'!$B$7),OR('📊 Dashboard'!$B$8="(Semua)",$AG10='📊 Dashboard'!$B$8),OR('📊 Dashboard'!$B$9="(Semua)",$K10='📊 Dashboard'!$B$9)),1,0))</f>
        <v/>
      </c>
    </row>
    <row r="11" ht="58" customHeight="1">
      <c r="A11" s="30">
        <f>IF($B11="","",ROW()-2)</f>
        <v/>
      </c>
      <c r="B11" s="31" t="n">
        <v>46265</v>
      </c>
      <c r="C11" s="32" t="n">
        <v>0.3785185185185185</v>
      </c>
      <c r="D11" s="32" t="n">
        <v>0.3812152777777778</v>
      </c>
      <c r="E11" s="30">
        <f>IF($C11="","",IF(AND($C11&gt;=TIME(14,0,0),$C11&lt;TIME(19,30,0)),"London",IF(AND($C11&gt;=TIME(19,30,0),$C11&lt;TIME(23,0,0)),"Overlap LDN+NY",IF(OR($C11&gt;=TIME(23,0,0),$C11&lt;TIME(4,0,0)),"New York","Asia"))))</f>
        <v/>
      </c>
      <c r="F11" s="33" t="inlineStr">
        <is>
          <t>XAUUSD</t>
        </is>
      </c>
      <c r="G11" s="33" t="inlineStr">
        <is>
          <t>Buy</t>
        </is>
      </c>
      <c r="H11" s="33" t="n"/>
      <c r="I11" s="33" t="n"/>
      <c r="J11" s="33" t="n"/>
      <c r="K11" s="33" t="n"/>
      <c r="L11" s="33" t="n"/>
      <c r="M11" s="33" t="n"/>
      <c r="N11" s="34" t="n">
        <v>4427.608</v>
      </c>
      <c r="O11" s="34" t="n">
        <v>4421.388</v>
      </c>
      <c r="P11" s="34" t="n">
        <v>4439.906</v>
      </c>
      <c r="Q11" s="34" t="n">
        <v>4432.601</v>
      </c>
      <c r="R11" s="35">
        <f>IFERROR(IF(OR($N11="",$O11="",$F11=""),"",ROUND(('⚙️ Setelan'!$B$3*'⚙️ Setelan'!$B$4/100)/(ABS($N11-$O11)*VLOOKUP($F11,'⚙️ Setelan'!$A$14:$F$20,4,FALSE)),2)),"")</f>
        <v/>
      </c>
      <c r="S11" s="36" t="n">
        <v>0.09</v>
      </c>
      <c r="T11" s="37">
        <f>IFERROR(IF(OR($N11="",$O11="",$S11=""),"",ABS($N11-$O11)*$S11*VLOOKUP($F11,'⚙️ Setelan'!$A$14:$F$20,4,FALSE)),"")</f>
        <v/>
      </c>
      <c r="U11" s="35">
        <f>IFERROR(IF(OR($N11="",$O11="",$P11=""),"",ROUND(ABS($P11-$N11)/ABS($N11-$O11),2)),"")</f>
        <v/>
      </c>
      <c r="V11" s="37">
        <f>IFERROR(IF(OR($Q11="",$N11="",$S11=""),"",($Q11-$N11)*IF($G11="Buy",1,-1)*$S11*VLOOKUP($F11,'⚙️ Setelan'!$A$14:$F$20,4,FALSE)),"")</f>
        <v/>
      </c>
      <c r="W11" s="37">
        <f>IFERROR(IF(OR($S11="",$F11=""),"",$S11*VLOOKUP($F11,'⚙️ Setelan'!$A$14:$F$20,5,FALSE)),"")</f>
        <v/>
      </c>
      <c r="X11" s="37">
        <f>IF($V11="","",$V11-IF($W11="",0,$W11))</f>
        <v/>
      </c>
      <c r="Y11" s="35">
        <f>IF(OR($X11="",$T11="",$T11=0),"",ROUND($X11/$T11,2))</f>
        <v/>
      </c>
      <c r="Z11" s="30">
        <f>IF($X11="","",IF($X11&gt;0,"Win",IF($X11&lt;0,"Loss","BE")))</f>
        <v/>
      </c>
      <c r="AA11" s="38">
        <f>IF(OR($C11="",$D11=""),"",ROUND(MOD($D11-$C11,1)*1440,0))</f>
        <v/>
      </c>
      <c r="AB11" s="34" t="n"/>
      <c r="AC11" s="34" t="n"/>
      <c r="AD11" s="35">
        <f>IFERROR(IF(OR($AB11="",$T11="",$T11=0),"",ROUND(ABS($N11-$AB11)*$S11*VLOOKUP($F11,'⚙️ Setelan'!$A$14:$F$20,4,FALSE)/$T11,2)),"")</f>
        <v/>
      </c>
      <c r="AE11" s="35">
        <f>IFERROR(IF(OR($AC11="",$T11="",$T11=0),"",ROUND(ABS($AC11-$N11)*$S11*VLOOKUP($F11,'⚙️ Setelan'!$A$14:$F$20,4,FALSE)/$T11,2)),"")</f>
        <v/>
      </c>
      <c r="AF11" s="33" t="n"/>
      <c r="AG11" s="33" t="n"/>
      <c r="AH11" s="33" t="n"/>
      <c r="AI11" s="33" t="n"/>
      <c r="AJ11" s="33" t="n"/>
      <c r="AK11" s="39" t="inlineStr">
        <is>
          <t>tiket 2313357553 · impor otomatis dari CSV broker</t>
        </is>
      </c>
      <c r="AL11" s="30">
        <f>IF(OR($C11="",$B11=""),"",IF(AND($Z10="Loss",$B11=$B10,MOD($C11-$D10,1)*1440&lt;'⚙️ Setelan'!$B$9),"⚠️ Revenge",""))</f>
        <v/>
      </c>
      <c r="AM11" s="40" t="n"/>
      <c r="AN11" s="30">
        <f>IF($AM11="","",IFERROR(IMAGE(IF(REGEXMATCH($AM11,"\.(png|jpg|jpeg|gif)$"),$AM11,"https://s3.tradingview.com/snapshots/"&amp;LOWER(MID(REGEXEXTRACT($AM11,"/x/([A-Za-z0-9]+)"),1,1))&amp;"/"&amp;REGEXEXTRACT($AM11,"/x/([A-Za-z0-9]+)")&amp;".png"),1),"⚠️ link tidak dikenali"))</f>
        <v/>
      </c>
      <c r="AO11" s="40" t="n"/>
      <c r="AP11" s="30">
        <f>IF($AO11="","",IFERROR(IMAGE(IF(REGEXMATCH($AO11,"\.(png|jpg|jpeg|gif)$"),$AO11,"https://s3.tradingview.com/snapshots/"&amp;LOWER(MID(REGEXEXTRACT($AO11,"/x/([A-Za-z0-9]+)"),1,1))&amp;"/"&amp;REGEXEXTRACT($AO11,"/x/([A-Za-z0-9]+)")&amp;".png"),1),"⚠️ link tidak dikenali"))</f>
        <v/>
      </c>
      <c r="AQ11" s="38">
        <f>IF($Z11="",0,IF(AND(OR('📊 Dashboard'!$B$4="(Semua)",$F11='📊 Dashboard'!$B$4),OR('📊 Dashboard'!$B$5="(Semua)",$H11='📊 Dashboard'!$B$5),OR('📊 Dashboard'!$B$6="(Semua)",$E11='📊 Dashboard'!$B$6),OR('📊 Dashboard'!$B$7="(Semua)",$AF11='📊 Dashboard'!$B$7),OR('📊 Dashboard'!$B$8="(Semua)",$AG11='📊 Dashboard'!$B$8),OR('📊 Dashboard'!$B$9="(Semua)",$K11='📊 Dashboard'!$B$9)),1,0))</f>
        <v/>
      </c>
    </row>
    <row r="12" ht="58" customHeight="1">
      <c r="A12" s="30">
        <f>IF($B12="","",ROW()-2)</f>
        <v/>
      </c>
      <c r="B12" s="31" t="n"/>
      <c r="C12" s="32" t="n"/>
      <c r="D12" s="32" t="n"/>
      <c r="E12" s="30">
        <f>IF($C12="","",IF(AND($C12&gt;=TIME(14,0,0),$C12&lt;TIME(19,30,0)),"London",IF(AND($C12&gt;=TIME(19,30,0),$C12&lt;TIME(23,0,0)),"Overlap LDN+NY",IF(OR($C12&gt;=TIME(23,0,0),$C12&lt;TIME(4,0,0)),"New York","Asia"))))</f>
        <v/>
      </c>
      <c r="F12" s="33" t="n"/>
      <c r="G12" s="33" t="n"/>
      <c r="H12" s="33" t="n"/>
      <c r="I12" s="33" t="n"/>
      <c r="J12" s="33" t="n"/>
      <c r="K12" s="33" t="n"/>
      <c r="L12" s="33" t="n"/>
      <c r="M12" s="33" t="n"/>
      <c r="N12" s="34" t="n"/>
      <c r="O12" s="34" t="n"/>
      <c r="P12" s="34" t="n"/>
      <c r="Q12" s="34" t="n"/>
      <c r="R12" s="35">
        <f>IFERROR(IF(OR($N12="",$O12="",$F12=""),"",ROUND(('⚙️ Setelan'!$B$3*'⚙️ Setelan'!$B$4/100)/(ABS($N12-$O12)*VLOOKUP($F12,'⚙️ Setelan'!$A$14:$F$20,4,FALSE)),2)),"")</f>
        <v/>
      </c>
      <c r="S12" s="36" t="n"/>
      <c r="T12" s="37">
        <f>IFERROR(IF(OR($N12="",$O12="",$S12=""),"",ABS($N12-$O12)*$S12*VLOOKUP($F12,'⚙️ Setelan'!$A$14:$F$20,4,FALSE)),"")</f>
        <v/>
      </c>
      <c r="U12" s="35">
        <f>IFERROR(IF(OR($N12="",$O12="",$P12=""),"",ROUND(ABS($P12-$N12)/ABS($N12-$O12),2)),"")</f>
        <v/>
      </c>
      <c r="V12" s="37">
        <f>IFERROR(IF(OR($Q12="",$N12="",$S12=""),"",($Q12-$N12)*IF($G12="Buy",1,-1)*$S12*VLOOKUP($F12,'⚙️ Setelan'!$A$14:$F$20,4,FALSE)),"")</f>
        <v/>
      </c>
      <c r="W12" s="37">
        <f>IFERROR(IF(OR($S12="",$F12=""),"",$S12*VLOOKUP($F12,'⚙️ Setelan'!$A$14:$F$20,5,FALSE)),"")</f>
        <v/>
      </c>
      <c r="X12" s="37">
        <f>IF($V12="","",$V12-IF($W12="",0,$W12))</f>
        <v/>
      </c>
      <c r="Y12" s="35">
        <f>IF(OR($X12="",$T12="",$T12=0),"",ROUND($X12/$T12,2))</f>
        <v/>
      </c>
      <c r="Z12" s="30">
        <f>IF($X12="","",IF($X12&gt;0,"Win",IF($X12&lt;0,"Loss","BE")))</f>
        <v/>
      </c>
      <c r="AA12" s="38">
        <f>IF(OR($C12="",$D12=""),"",ROUND(MOD($D12-$C12,1)*1440,0))</f>
        <v/>
      </c>
      <c r="AB12" s="34" t="n"/>
      <c r="AC12" s="34" t="n"/>
      <c r="AD12" s="35">
        <f>IFERROR(IF(OR($AB12="",$T12="",$T12=0),"",ROUND(ABS($N12-$AB12)*$S12*VLOOKUP($F12,'⚙️ Setelan'!$A$14:$F$20,4,FALSE)/$T12,2)),"")</f>
        <v/>
      </c>
      <c r="AE12" s="35">
        <f>IFERROR(IF(OR($AC12="",$T12="",$T12=0),"",ROUND(ABS($AC12-$N12)*$S12*VLOOKUP($F12,'⚙️ Setelan'!$A$14:$F$20,4,FALSE)/$T12,2)),"")</f>
        <v/>
      </c>
      <c r="AF12" s="33" t="n"/>
      <c r="AG12" s="33" t="n"/>
      <c r="AH12" s="33" t="n"/>
      <c r="AI12" s="33" t="n"/>
      <c r="AJ12" s="33" t="n"/>
      <c r="AK12" s="39" t="n"/>
      <c r="AL12" s="30">
        <f>IF(OR($C12="",$B12=""),"",IF(AND($Z11="Loss",$B12=$B11,MOD($C12-$D11,1)*1440&lt;'⚙️ Setelan'!$B$9),"⚠️ Revenge",""))</f>
        <v/>
      </c>
      <c r="AM12" s="40" t="n"/>
      <c r="AN12" s="30">
        <f>IF($AM12="","",IFERROR(IMAGE(IF(REGEXMATCH($AM12,"\.(png|jpg|jpeg|gif)$"),$AM12,"https://s3.tradingview.com/snapshots/"&amp;LOWER(MID(REGEXEXTRACT($AM12,"/x/([A-Za-z0-9]+)"),1,1))&amp;"/"&amp;REGEXEXTRACT($AM12,"/x/([A-Za-z0-9]+)")&amp;".png"),1),"⚠️ link tidak dikenali"))</f>
        <v/>
      </c>
      <c r="AO12" s="40" t="n"/>
      <c r="AP12" s="30">
        <f>IF($AO12="","",IFERROR(IMAGE(IF(REGEXMATCH($AO12,"\.(png|jpg|jpeg|gif)$"),$AO12,"https://s3.tradingview.com/snapshots/"&amp;LOWER(MID(REGEXEXTRACT($AO12,"/x/([A-Za-z0-9]+)"),1,1))&amp;"/"&amp;REGEXEXTRACT($AO12,"/x/([A-Za-z0-9]+)")&amp;".png"),1),"⚠️ link tidak dikenali"))</f>
        <v/>
      </c>
      <c r="AQ12" s="38">
        <f>IF($Z12="",0,IF(AND(OR('📊 Dashboard'!$B$4="(Semua)",$F12='📊 Dashboard'!$B$4),OR('📊 Dashboard'!$B$5="(Semua)",$H12='📊 Dashboard'!$B$5),OR('📊 Dashboard'!$B$6="(Semua)",$E12='📊 Dashboard'!$B$6),OR('📊 Dashboard'!$B$7="(Semua)",$AF12='📊 Dashboard'!$B$7),OR('📊 Dashboard'!$B$8="(Semua)",$AG12='📊 Dashboard'!$B$8),OR('📊 Dashboard'!$B$9="(Semua)",$K12='📊 Dashboard'!$B$9)),1,0))</f>
        <v/>
      </c>
    </row>
    <row r="13" ht="58" customHeight="1">
      <c r="A13" s="30">
        <f>IF($B13="","",ROW()-2)</f>
        <v/>
      </c>
      <c r="B13" s="31" t="n"/>
      <c r="C13" s="32" t="n"/>
      <c r="D13" s="32" t="n"/>
      <c r="E13" s="30">
        <f>IF($C13="","",IF(AND($C13&gt;=TIME(14,0,0),$C13&lt;TIME(19,30,0)),"London",IF(AND($C13&gt;=TIME(19,30,0),$C13&lt;TIME(23,0,0)),"Overlap LDN+NY",IF(OR($C13&gt;=TIME(23,0,0),$C13&lt;TIME(4,0,0)),"New York","Asia"))))</f>
        <v/>
      </c>
      <c r="F13" s="33" t="n"/>
      <c r="G13" s="33" t="n"/>
      <c r="H13" s="33" t="n"/>
      <c r="I13" s="33" t="n"/>
      <c r="J13" s="33" t="n"/>
      <c r="K13" s="33" t="n"/>
      <c r="L13" s="33" t="n"/>
      <c r="M13" s="33" t="n"/>
      <c r="N13" s="34" t="n"/>
      <c r="O13" s="34" t="n"/>
      <c r="P13" s="34" t="n"/>
      <c r="Q13" s="34" t="n"/>
      <c r="R13" s="35">
        <f>IFERROR(IF(OR($N13="",$O13="",$F13=""),"",ROUND(('⚙️ Setelan'!$B$3*'⚙️ Setelan'!$B$4/100)/(ABS($N13-$O13)*VLOOKUP($F13,'⚙️ Setelan'!$A$14:$F$20,4,FALSE)),2)),"")</f>
        <v/>
      </c>
      <c r="S13" s="36" t="n"/>
      <c r="T13" s="37">
        <f>IFERROR(IF(OR($N13="",$O13="",$S13=""),"",ABS($N13-$O13)*$S13*VLOOKUP($F13,'⚙️ Setelan'!$A$14:$F$20,4,FALSE)),"")</f>
        <v/>
      </c>
      <c r="U13" s="35">
        <f>IFERROR(IF(OR($N13="",$O13="",$P13=""),"",ROUND(ABS($P13-$N13)/ABS($N13-$O13),2)),"")</f>
        <v/>
      </c>
      <c r="V13" s="37">
        <f>IFERROR(IF(OR($Q13="",$N13="",$S13=""),"",($Q13-$N13)*IF($G13="Buy",1,-1)*$S13*VLOOKUP($F13,'⚙️ Setelan'!$A$14:$F$20,4,FALSE)),"")</f>
        <v/>
      </c>
      <c r="W13" s="37">
        <f>IFERROR(IF(OR($S13="",$F13=""),"",$S13*VLOOKUP($F13,'⚙️ Setelan'!$A$14:$F$20,5,FALSE)),"")</f>
        <v/>
      </c>
      <c r="X13" s="37">
        <f>IF($V13="","",$V13-IF($W13="",0,$W13))</f>
        <v/>
      </c>
      <c r="Y13" s="35">
        <f>IF(OR($X13="",$T13="",$T13=0),"",ROUND($X13/$T13,2))</f>
        <v/>
      </c>
      <c r="Z13" s="30">
        <f>IF($X13="","",IF($X13&gt;0,"Win",IF($X13&lt;0,"Loss","BE")))</f>
        <v/>
      </c>
      <c r="AA13" s="38">
        <f>IF(OR($C13="",$D13=""),"",ROUND(MOD($D13-$C13,1)*1440,0))</f>
        <v/>
      </c>
      <c r="AB13" s="34" t="n"/>
      <c r="AC13" s="34" t="n"/>
      <c r="AD13" s="35">
        <f>IFERROR(IF(OR($AB13="",$T13="",$T13=0),"",ROUND(ABS($N13-$AB13)*$S13*VLOOKUP($F13,'⚙️ Setelan'!$A$14:$F$20,4,FALSE)/$T13,2)),"")</f>
        <v/>
      </c>
      <c r="AE13" s="35">
        <f>IFERROR(IF(OR($AC13="",$T13="",$T13=0),"",ROUND(ABS($AC13-$N13)*$S13*VLOOKUP($F13,'⚙️ Setelan'!$A$14:$F$20,4,FALSE)/$T13,2)),"")</f>
        <v/>
      </c>
      <c r="AF13" s="33" t="n"/>
      <c r="AG13" s="33" t="n"/>
      <c r="AH13" s="33" t="n"/>
      <c r="AI13" s="33" t="n"/>
      <c r="AJ13" s="33" t="n"/>
      <c r="AK13" s="39" t="n"/>
      <c r="AL13" s="30">
        <f>IF(OR($C13="",$B13=""),"",IF(AND($Z12="Loss",$B13=$B12,MOD($C13-$D12,1)*1440&lt;'⚙️ Setelan'!$B$9),"⚠️ Revenge",""))</f>
        <v/>
      </c>
      <c r="AM13" s="40" t="n"/>
      <c r="AN13" s="30">
        <f>IF($AM13="","",IFERROR(IMAGE(IF(REGEXMATCH($AM13,"\.(png|jpg|jpeg|gif)$"),$AM13,"https://s3.tradingview.com/snapshots/"&amp;LOWER(MID(REGEXEXTRACT($AM13,"/x/([A-Za-z0-9]+)"),1,1))&amp;"/"&amp;REGEXEXTRACT($AM13,"/x/([A-Za-z0-9]+)")&amp;".png"),1),"⚠️ link tidak dikenali"))</f>
        <v/>
      </c>
      <c r="AO13" s="40" t="n"/>
      <c r="AP13" s="30">
        <f>IF($AO13="","",IFERROR(IMAGE(IF(REGEXMATCH($AO13,"\.(png|jpg|jpeg|gif)$"),$AO13,"https://s3.tradingview.com/snapshots/"&amp;LOWER(MID(REGEXEXTRACT($AO13,"/x/([A-Za-z0-9]+)"),1,1))&amp;"/"&amp;REGEXEXTRACT($AO13,"/x/([A-Za-z0-9]+)")&amp;".png"),1),"⚠️ link tidak dikenali"))</f>
        <v/>
      </c>
      <c r="AQ13" s="38">
        <f>IF($Z13="",0,IF(AND(OR('📊 Dashboard'!$B$4="(Semua)",$F13='📊 Dashboard'!$B$4),OR('📊 Dashboard'!$B$5="(Semua)",$H13='📊 Dashboard'!$B$5),OR('📊 Dashboard'!$B$6="(Semua)",$E13='📊 Dashboard'!$B$6),OR('📊 Dashboard'!$B$7="(Semua)",$AF13='📊 Dashboard'!$B$7),OR('📊 Dashboard'!$B$8="(Semua)",$AG13='📊 Dashboard'!$B$8),OR('📊 Dashboard'!$B$9="(Semua)",$K13='📊 Dashboard'!$B$9)),1,0))</f>
        <v/>
      </c>
    </row>
    <row r="14" ht="58" customHeight="1">
      <c r="A14" s="30">
        <f>IF($B14="","",ROW()-2)</f>
        <v/>
      </c>
      <c r="B14" s="31" t="n"/>
      <c r="C14" s="32" t="n"/>
      <c r="D14" s="32" t="n"/>
      <c r="E14" s="30">
        <f>IF($C14="","",IF(AND($C14&gt;=TIME(14,0,0),$C14&lt;TIME(19,30,0)),"London",IF(AND($C14&gt;=TIME(19,30,0),$C14&lt;TIME(23,0,0)),"Overlap LDN+NY",IF(OR($C14&gt;=TIME(23,0,0),$C14&lt;TIME(4,0,0)),"New York","Asia"))))</f>
        <v/>
      </c>
      <c r="F14" s="33" t="n"/>
      <c r="G14" s="33" t="n"/>
      <c r="H14" s="33" t="n"/>
      <c r="I14" s="33" t="n"/>
      <c r="J14" s="33" t="n"/>
      <c r="K14" s="33" t="n"/>
      <c r="L14" s="33" t="n"/>
      <c r="M14" s="33" t="n"/>
      <c r="N14" s="34" t="n"/>
      <c r="O14" s="34" t="n"/>
      <c r="P14" s="34" t="n"/>
      <c r="Q14" s="34" t="n"/>
      <c r="R14" s="35">
        <f>IFERROR(IF(OR($N14="",$O14="",$F14=""),"",ROUND(('⚙️ Setelan'!$B$3*'⚙️ Setelan'!$B$4/100)/(ABS($N14-$O14)*VLOOKUP($F14,'⚙️ Setelan'!$A$14:$F$20,4,FALSE)),2)),"")</f>
        <v/>
      </c>
      <c r="S14" s="36" t="n"/>
      <c r="T14" s="37">
        <f>IFERROR(IF(OR($N14="",$O14="",$S14=""),"",ABS($N14-$O14)*$S14*VLOOKUP($F14,'⚙️ Setelan'!$A$14:$F$20,4,FALSE)),"")</f>
        <v/>
      </c>
      <c r="U14" s="35">
        <f>IFERROR(IF(OR($N14="",$O14="",$P14=""),"",ROUND(ABS($P14-$N14)/ABS($N14-$O14),2)),"")</f>
        <v/>
      </c>
      <c r="V14" s="37">
        <f>IFERROR(IF(OR($Q14="",$N14="",$S14=""),"",($Q14-$N14)*IF($G14="Buy",1,-1)*$S14*VLOOKUP($F14,'⚙️ Setelan'!$A$14:$F$20,4,FALSE)),"")</f>
        <v/>
      </c>
      <c r="W14" s="37">
        <f>IFERROR(IF(OR($S14="",$F14=""),"",$S14*VLOOKUP($F14,'⚙️ Setelan'!$A$14:$F$20,5,FALSE)),"")</f>
        <v/>
      </c>
      <c r="X14" s="37">
        <f>IF($V14="","",$V14-IF($W14="",0,$W14))</f>
        <v/>
      </c>
      <c r="Y14" s="35">
        <f>IF(OR($X14="",$T14="",$T14=0),"",ROUND($X14/$T14,2))</f>
        <v/>
      </c>
      <c r="Z14" s="30">
        <f>IF($X14="","",IF($X14&gt;0,"Win",IF($X14&lt;0,"Loss","BE")))</f>
        <v/>
      </c>
      <c r="AA14" s="38">
        <f>IF(OR($C14="",$D14=""),"",ROUND(MOD($D14-$C14,1)*1440,0))</f>
        <v/>
      </c>
      <c r="AB14" s="34" t="n"/>
      <c r="AC14" s="34" t="n"/>
      <c r="AD14" s="35">
        <f>IFERROR(IF(OR($AB14="",$T14="",$T14=0),"",ROUND(ABS($N14-$AB14)*$S14*VLOOKUP($F14,'⚙️ Setelan'!$A$14:$F$20,4,FALSE)/$T14,2)),"")</f>
        <v/>
      </c>
      <c r="AE14" s="35">
        <f>IFERROR(IF(OR($AC14="",$T14="",$T14=0),"",ROUND(ABS($AC14-$N14)*$S14*VLOOKUP($F14,'⚙️ Setelan'!$A$14:$F$20,4,FALSE)/$T14,2)),"")</f>
        <v/>
      </c>
      <c r="AF14" s="33" t="n"/>
      <c r="AG14" s="33" t="n"/>
      <c r="AH14" s="33" t="n"/>
      <c r="AI14" s="33" t="n"/>
      <c r="AJ14" s="33" t="n"/>
      <c r="AK14" s="39" t="n"/>
      <c r="AL14" s="30">
        <f>IF(OR($C14="",$B14=""),"",IF(AND($Z13="Loss",$B14=$B13,MOD($C14-$D13,1)*1440&lt;'⚙️ Setelan'!$B$9),"⚠️ Revenge",""))</f>
        <v/>
      </c>
      <c r="AM14" s="40" t="n"/>
      <c r="AN14" s="30">
        <f>IF($AM14="","",IFERROR(IMAGE(IF(REGEXMATCH($AM14,"\.(png|jpg|jpeg|gif)$"),$AM14,"https://s3.tradingview.com/snapshots/"&amp;LOWER(MID(REGEXEXTRACT($AM14,"/x/([A-Za-z0-9]+)"),1,1))&amp;"/"&amp;REGEXEXTRACT($AM14,"/x/([A-Za-z0-9]+)")&amp;".png"),1),"⚠️ link tidak dikenali"))</f>
        <v/>
      </c>
      <c r="AO14" s="40" t="n"/>
      <c r="AP14" s="30">
        <f>IF($AO14="","",IFERROR(IMAGE(IF(REGEXMATCH($AO14,"\.(png|jpg|jpeg|gif)$"),$AO14,"https://s3.tradingview.com/snapshots/"&amp;LOWER(MID(REGEXEXTRACT($AO14,"/x/([A-Za-z0-9]+)"),1,1))&amp;"/"&amp;REGEXEXTRACT($AO14,"/x/([A-Za-z0-9]+)")&amp;".png"),1),"⚠️ link tidak dikenali"))</f>
        <v/>
      </c>
      <c r="AQ14" s="38">
        <f>IF($Z14="",0,IF(AND(OR('📊 Dashboard'!$B$4="(Semua)",$F14='📊 Dashboard'!$B$4),OR('📊 Dashboard'!$B$5="(Semua)",$H14='📊 Dashboard'!$B$5),OR('📊 Dashboard'!$B$6="(Semua)",$E14='📊 Dashboard'!$B$6),OR('📊 Dashboard'!$B$7="(Semua)",$AF14='📊 Dashboard'!$B$7),OR('📊 Dashboard'!$B$8="(Semua)",$AG14='📊 Dashboard'!$B$8),OR('📊 Dashboard'!$B$9="(Semua)",$K14='📊 Dashboard'!$B$9)),1,0))</f>
        <v/>
      </c>
    </row>
    <row r="15" ht="58" customHeight="1">
      <c r="A15" s="30">
        <f>IF($B15="","",ROW()-2)</f>
        <v/>
      </c>
      <c r="B15" s="31" t="n"/>
      <c r="C15" s="32" t="n"/>
      <c r="D15" s="32" t="n"/>
      <c r="E15" s="30">
        <f>IF($C15="","",IF(AND($C15&gt;=TIME(14,0,0),$C15&lt;TIME(19,30,0)),"London",IF(AND($C15&gt;=TIME(19,30,0),$C15&lt;TIME(23,0,0)),"Overlap LDN+NY",IF(OR($C15&gt;=TIME(23,0,0),$C15&lt;TIME(4,0,0)),"New York","Asia"))))</f>
        <v/>
      </c>
      <c r="F15" s="33" t="n"/>
      <c r="G15" s="33" t="n"/>
      <c r="H15" s="33" t="n"/>
      <c r="I15" s="33" t="n"/>
      <c r="J15" s="33" t="n"/>
      <c r="K15" s="33" t="n"/>
      <c r="L15" s="33" t="n"/>
      <c r="M15" s="33" t="n"/>
      <c r="N15" s="34" t="n"/>
      <c r="O15" s="34" t="n"/>
      <c r="P15" s="34" t="n"/>
      <c r="Q15" s="34" t="n"/>
      <c r="R15" s="35">
        <f>IFERROR(IF(OR($N15="",$O15="",$F15=""),"",ROUND(('⚙️ Setelan'!$B$3*'⚙️ Setelan'!$B$4/100)/(ABS($N15-$O15)*VLOOKUP($F15,'⚙️ Setelan'!$A$14:$F$20,4,FALSE)),2)),"")</f>
        <v/>
      </c>
      <c r="S15" s="36" t="n"/>
      <c r="T15" s="37">
        <f>IFERROR(IF(OR($N15="",$O15="",$S15=""),"",ABS($N15-$O15)*$S15*VLOOKUP($F15,'⚙️ Setelan'!$A$14:$F$20,4,FALSE)),"")</f>
        <v/>
      </c>
      <c r="U15" s="35">
        <f>IFERROR(IF(OR($N15="",$O15="",$P15=""),"",ROUND(ABS($P15-$N15)/ABS($N15-$O15),2)),"")</f>
        <v/>
      </c>
      <c r="V15" s="37">
        <f>IFERROR(IF(OR($Q15="",$N15="",$S15=""),"",($Q15-$N15)*IF($G15="Buy",1,-1)*$S15*VLOOKUP($F15,'⚙️ Setelan'!$A$14:$F$20,4,FALSE)),"")</f>
        <v/>
      </c>
      <c r="W15" s="37">
        <f>IFERROR(IF(OR($S15="",$F15=""),"",$S15*VLOOKUP($F15,'⚙️ Setelan'!$A$14:$F$20,5,FALSE)),"")</f>
        <v/>
      </c>
      <c r="X15" s="37">
        <f>IF($V15="","",$V15-IF($W15="",0,$W15))</f>
        <v/>
      </c>
      <c r="Y15" s="35">
        <f>IF(OR($X15="",$T15="",$T15=0),"",ROUND($X15/$T15,2))</f>
        <v/>
      </c>
      <c r="Z15" s="30">
        <f>IF($X15="","",IF($X15&gt;0,"Win",IF($X15&lt;0,"Loss","BE")))</f>
        <v/>
      </c>
      <c r="AA15" s="38">
        <f>IF(OR($C15="",$D15=""),"",ROUND(MOD($D15-$C15,1)*1440,0))</f>
        <v/>
      </c>
      <c r="AB15" s="34" t="n"/>
      <c r="AC15" s="34" t="n"/>
      <c r="AD15" s="35">
        <f>IFERROR(IF(OR($AB15="",$T15="",$T15=0),"",ROUND(ABS($N15-$AB15)*$S15*VLOOKUP($F15,'⚙️ Setelan'!$A$14:$F$20,4,FALSE)/$T15,2)),"")</f>
        <v/>
      </c>
      <c r="AE15" s="35">
        <f>IFERROR(IF(OR($AC15="",$T15="",$T15=0),"",ROUND(ABS($AC15-$N15)*$S15*VLOOKUP($F15,'⚙️ Setelan'!$A$14:$F$20,4,FALSE)/$T15,2)),"")</f>
        <v/>
      </c>
      <c r="AF15" s="33" t="n"/>
      <c r="AG15" s="33" t="n"/>
      <c r="AH15" s="33" t="n"/>
      <c r="AI15" s="33" t="n"/>
      <c r="AJ15" s="33" t="n"/>
      <c r="AK15" s="39" t="n"/>
      <c r="AL15" s="30">
        <f>IF(OR($C15="",$B15=""),"",IF(AND($Z14="Loss",$B15=$B14,MOD($C15-$D14,1)*1440&lt;'⚙️ Setelan'!$B$9),"⚠️ Revenge",""))</f>
        <v/>
      </c>
      <c r="AM15" s="40" t="n"/>
      <c r="AN15" s="30">
        <f>IF($AM15="","",IFERROR(IMAGE(IF(REGEXMATCH($AM15,"\.(png|jpg|jpeg|gif)$"),$AM15,"https://s3.tradingview.com/snapshots/"&amp;LOWER(MID(REGEXEXTRACT($AM15,"/x/([A-Za-z0-9]+)"),1,1))&amp;"/"&amp;REGEXEXTRACT($AM15,"/x/([A-Za-z0-9]+)")&amp;".png"),1),"⚠️ link tidak dikenali"))</f>
        <v/>
      </c>
      <c r="AO15" s="40" t="n"/>
      <c r="AP15" s="30">
        <f>IF($AO15="","",IFERROR(IMAGE(IF(REGEXMATCH($AO15,"\.(png|jpg|jpeg|gif)$"),$AO15,"https://s3.tradingview.com/snapshots/"&amp;LOWER(MID(REGEXEXTRACT($AO15,"/x/([A-Za-z0-9]+)"),1,1))&amp;"/"&amp;REGEXEXTRACT($AO15,"/x/([A-Za-z0-9]+)")&amp;".png"),1),"⚠️ link tidak dikenali"))</f>
        <v/>
      </c>
      <c r="AQ15" s="38">
        <f>IF($Z15="",0,IF(AND(OR('📊 Dashboard'!$B$4="(Semua)",$F15='📊 Dashboard'!$B$4),OR('📊 Dashboard'!$B$5="(Semua)",$H15='📊 Dashboard'!$B$5),OR('📊 Dashboard'!$B$6="(Semua)",$E15='📊 Dashboard'!$B$6),OR('📊 Dashboard'!$B$7="(Semua)",$AF15='📊 Dashboard'!$B$7),OR('📊 Dashboard'!$B$8="(Semua)",$AG15='📊 Dashboard'!$B$8),OR('📊 Dashboard'!$B$9="(Semua)",$K15='📊 Dashboard'!$B$9)),1,0))</f>
        <v/>
      </c>
    </row>
    <row r="16" ht="58" customHeight="1">
      <c r="A16" s="30">
        <f>IF($B16="","",ROW()-2)</f>
        <v/>
      </c>
      <c r="B16" s="31" t="n"/>
      <c r="C16" s="32" t="n"/>
      <c r="D16" s="32" t="n"/>
      <c r="E16" s="30">
        <f>IF($C16="","",IF(AND($C16&gt;=TIME(14,0,0),$C16&lt;TIME(19,30,0)),"London",IF(AND($C16&gt;=TIME(19,30,0),$C16&lt;TIME(23,0,0)),"Overlap LDN+NY",IF(OR($C16&gt;=TIME(23,0,0),$C16&lt;TIME(4,0,0)),"New York","Asia"))))</f>
        <v/>
      </c>
      <c r="F16" s="33" t="n"/>
      <c r="G16" s="33" t="n"/>
      <c r="H16" s="33" t="n"/>
      <c r="I16" s="33" t="n"/>
      <c r="J16" s="33" t="n"/>
      <c r="K16" s="33" t="n"/>
      <c r="L16" s="33" t="n"/>
      <c r="M16" s="33" t="n"/>
      <c r="N16" s="34" t="n"/>
      <c r="O16" s="34" t="n"/>
      <c r="P16" s="34" t="n"/>
      <c r="Q16" s="34" t="n"/>
      <c r="R16" s="35">
        <f>IFERROR(IF(OR($N16="",$O16="",$F16=""),"",ROUND(('⚙️ Setelan'!$B$3*'⚙️ Setelan'!$B$4/100)/(ABS($N16-$O16)*VLOOKUP($F16,'⚙️ Setelan'!$A$14:$F$20,4,FALSE)),2)),"")</f>
        <v/>
      </c>
      <c r="S16" s="36" t="n"/>
      <c r="T16" s="37">
        <f>IFERROR(IF(OR($N16="",$O16="",$S16=""),"",ABS($N16-$O16)*$S16*VLOOKUP($F16,'⚙️ Setelan'!$A$14:$F$20,4,FALSE)),"")</f>
        <v/>
      </c>
      <c r="U16" s="35">
        <f>IFERROR(IF(OR($N16="",$O16="",$P16=""),"",ROUND(ABS($P16-$N16)/ABS($N16-$O16),2)),"")</f>
        <v/>
      </c>
      <c r="V16" s="37">
        <f>IFERROR(IF(OR($Q16="",$N16="",$S16=""),"",($Q16-$N16)*IF($G16="Buy",1,-1)*$S16*VLOOKUP($F16,'⚙️ Setelan'!$A$14:$F$20,4,FALSE)),"")</f>
        <v/>
      </c>
      <c r="W16" s="37">
        <f>IFERROR(IF(OR($S16="",$F16=""),"",$S16*VLOOKUP($F16,'⚙️ Setelan'!$A$14:$F$20,5,FALSE)),"")</f>
        <v/>
      </c>
      <c r="X16" s="37">
        <f>IF($V16="","",$V16-IF($W16="",0,$W16))</f>
        <v/>
      </c>
      <c r="Y16" s="35">
        <f>IF(OR($X16="",$T16="",$T16=0),"",ROUND($X16/$T16,2))</f>
        <v/>
      </c>
      <c r="Z16" s="30">
        <f>IF($X16="","",IF($X16&gt;0,"Win",IF($X16&lt;0,"Loss","BE")))</f>
        <v/>
      </c>
      <c r="AA16" s="38">
        <f>IF(OR($C16="",$D16=""),"",ROUND(MOD($D16-$C16,1)*1440,0))</f>
        <v/>
      </c>
      <c r="AB16" s="34" t="n"/>
      <c r="AC16" s="34" t="n"/>
      <c r="AD16" s="35">
        <f>IFERROR(IF(OR($AB16="",$T16="",$T16=0),"",ROUND(ABS($N16-$AB16)*$S16*VLOOKUP($F16,'⚙️ Setelan'!$A$14:$F$20,4,FALSE)/$T16,2)),"")</f>
        <v/>
      </c>
      <c r="AE16" s="35">
        <f>IFERROR(IF(OR($AC16="",$T16="",$T16=0),"",ROUND(ABS($AC16-$N16)*$S16*VLOOKUP($F16,'⚙️ Setelan'!$A$14:$F$20,4,FALSE)/$T16,2)),"")</f>
        <v/>
      </c>
      <c r="AF16" s="33" t="n"/>
      <c r="AG16" s="33" t="n"/>
      <c r="AH16" s="33" t="n"/>
      <c r="AI16" s="33" t="n"/>
      <c r="AJ16" s="33" t="n"/>
      <c r="AK16" s="39" t="n"/>
      <c r="AL16" s="30">
        <f>IF(OR($C16="",$B16=""),"",IF(AND($Z15="Loss",$B16=$B15,MOD($C16-$D15,1)*1440&lt;'⚙️ Setelan'!$B$9),"⚠️ Revenge",""))</f>
        <v/>
      </c>
      <c r="AM16" s="40" t="n"/>
      <c r="AN16" s="30">
        <f>IF($AM16="","",IFERROR(IMAGE(IF(REGEXMATCH($AM16,"\.(png|jpg|jpeg|gif)$"),$AM16,"https://s3.tradingview.com/snapshots/"&amp;LOWER(MID(REGEXEXTRACT($AM16,"/x/([A-Za-z0-9]+)"),1,1))&amp;"/"&amp;REGEXEXTRACT($AM16,"/x/([A-Za-z0-9]+)")&amp;".png"),1),"⚠️ link tidak dikenali"))</f>
        <v/>
      </c>
      <c r="AO16" s="40" t="n"/>
      <c r="AP16" s="30">
        <f>IF($AO16="","",IFERROR(IMAGE(IF(REGEXMATCH($AO16,"\.(png|jpg|jpeg|gif)$"),$AO16,"https://s3.tradingview.com/snapshots/"&amp;LOWER(MID(REGEXEXTRACT($AO16,"/x/([A-Za-z0-9]+)"),1,1))&amp;"/"&amp;REGEXEXTRACT($AO16,"/x/([A-Za-z0-9]+)")&amp;".png"),1),"⚠️ link tidak dikenali"))</f>
        <v/>
      </c>
      <c r="AQ16" s="38">
        <f>IF($Z16="",0,IF(AND(OR('📊 Dashboard'!$B$4="(Semua)",$F16='📊 Dashboard'!$B$4),OR('📊 Dashboard'!$B$5="(Semua)",$H16='📊 Dashboard'!$B$5),OR('📊 Dashboard'!$B$6="(Semua)",$E16='📊 Dashboard'!$B$6),OR('📊 Dashboard'!$B$7="(Semua)",$AF16='📊 Dashboard'!$B$7),OR('📊 Dashboard'!$B$8="(Semua)",$AG16='📊 Dashboard'!$B$8),OR('📊 Dashboard'!$B$9="(Semua)",$K16='📊 Dashboard'!$B$9)),1,0))</f>
        <v/>
      </c>
    </row>
    <row r="17" ht="58" customHeight="1">
      <c r="A17" s="30">
        <f>IF($B17="","",ROW()-2)</f>
        <v/>
      </c>
      <c r="B17" s="31" t="n"/>
      <c r="C17" s="32" t="n"/>
      <c r="D17" s="32" t="n"/>
      <c r="E17" s="30">
        <f>IF($C17="","",IF(AND($C17&gt;=TIME(14,0,0),$C17&lt;TIME(19,30,0)),"London",IF(AND($C17&gt;=TIME(19,30,0),$C17&lt;TIME(23,0,0)),"Overlap LDN+NY",IF(OR($C17&gt;=TIME(23,0,0),$C17&lt;TIME(4,0,0)),"New York","Asia"))))</f>
        <v/>
      </c>
      <c r="F17" s="33" t="n"/>
      <c r="G17" s="33" t="n"/>
      <c r="H17" s="33" t="n"/>
      <c r="I17" s="33" t="n"/>
      <c r="J17" s="33" t="n"/>
      <c r="K17" s="33" t="n"/>
      <c r="L17" s="33" t="n"/>
      <c r="M17" s="33" t="n"/>
      <c r="N17" s="34" t="n"/>
      <c r="O17" s="34" t="n"/>
      <c r="P17" s="34" t="n"/>
      <c r="Q17" s="34" t="n"/>
      <c r="R17" s="35">
        <f>IFERROR(IF(OR($N17="",$O17="",$F17=""),"",ROUND(('⚙️ Setelan'!$B$3*'⚙️ Setelan'!$B$4/100)/(ABS($N17-$O17)*VLOOKUP($F17,'⚙️ Setelan'!$A$14:$F$20,4,FALSE)),2)),"")</f>
        <v/>
      </c>
      <c r="S17" s="36" t="n"/>
      <c r="T17" s="37">
        <f>IFERROR(IF(OR($N17="",$O17="",$S17=""),"",ABS($N17-$O17)*$S17*VLOOKUP($F17,'⚙️ Setelan'!$A$14:$F$20,4,FALSE)),"")</f>
        <v/>
      </c>
      <c r="U17" s="35">
        <f>IFERROR(IF(OR($N17="",$O17="",$P17=""),"",ROUND(ABS($P17-$N17)/ABS($N17-$O17),2)),"")</f>
        <v/>
      </c>
      <c r="V17" s="37">
        <f>IFERROR(IF(OR($Q17="",$N17="",$S17=""),"",($Q17-$N17)*IF($G17="Buy",1,-1)*$S17*VLOOKUP($F17,'⚙️ Setelan'!$A$14:$F$20,4,FALSE)),"")</f>
        <v/>
      </c>
      <c r="W17" s="37">
        <f>IFERROR(IF(OR($S17="",$F17=""),"",$S17*VLOOKUP($F17,'⚙️ Setelan'!$A$14:$F$20,5,FALSE)),"")</f>
        <v/>
      </c>
      <c r="X17" s="37">
        <f>IF($V17="","",$V17-IF($W17="",0,$W17))</f>
        <v/>
      </c>
      <c r="Y17" s="35">
        <f>IF(OR($X17="",$T17="",$T17=0),"",ROUND($X17/$T17,2))</f>
        <v/>
      </c>
      <c r="Z17" s="30">
        <f>IF($X17="","",IF($X17&gt;0,"Win",IF($X17&lt;0,"Loss","BE")))</f>
        <v/>
      </c>
      <c r="AA17" s="38">
        <f>IF(OR($C17="",$D17=""),"",ROUND(MOD($D17-$C17,1)*1440,0))</f>
        <v/>
      </c>
      <c r="AB17" s="34" t="n"/>
      <c r="AC17" s="34" t="n"/>
      <c r="AD17" s="35">
        <f>IFERROR(IF(OR($AB17="",$T17="",$T17=0),"",ROUND(ABS($N17-$AB17)*$S17*VLOOKUP($F17,'⚙️ Setelan'!$A$14:$F$20,4,FALSE)/$T17,2)),"")</f>
        <v/>
      </c>
      <c r="AE17" s="35">
        <f>IFERROR(IF(OR($AC17="",$T17="",$T17=0),"",ROUND(ABS($AC17-$N17)*$S17*VLOOKUP($F17,'⚙️ Setelan'!$A$14:$F$20,4,FALSE)/$T17,2)),"")</f>
        <v/>
      </c>
      <c r="AF17" s="33" t="n"/>
      <c r="AG17" s="33" t="n"/>
      <c r="AH17" s="33" t="n"/>
      <c r="AI17" s="33" t="n"/>
      <c r="AJ17" s="33" t="n"/>
      <c r="AK17" s="39" t="n"/>
      <c r="AL17" s="30">
        <f>IF(OR($C17="",$B17=""),"",IF(AND($Z16="Loss",$B17=$B16,MOD($C17-$D16,1)*1440&lt;'⚙️ Setelan'!$B$9),"⚠️ Revenge",""))</f>
        <v/>
      </c>
      <c r="AM17" s="40" t="n"/>
      <c r="AN17" s="30">
        <f>IF($AM17="","",IFERROR(IMAGE(IF(REGEXMATCH($AM17,"\.(png|jpg|jpeg|gif)$"),$AM17,"https://s3.tradingview.com/snapshots/"&amp;LOWER(MID(REGEXEXTRACT($AM17,"/x/([A-Za-z0-9]+)"),1,1))&amp;"/"&amp;REGEXEXTRACT($AM17,"/x/([A-Za-z0-9]+)")&amp;".png"),1),"⚠️ link tidak dikenali"))</f>
        <v/>
      </c>
      <c r="AO17" s="40" t="n"/>
      <c r="AP17" s="30">
        <f>IF($AO17="","",IFERROR(IMAGE(IF(REGEXMATCH($AO17,"\.(png|jpg|jpeg|gif)$"),$AO17,"https://s3.tradingview.com/snapshots/"&amp;LOWER(MID(REGEXEXTRACT($AO17,"/x/([A-Za-z0-9]+)"),1,1))&amp;"/"&amp;REGEXEXTRACT($AO17,"/x/([A-Za-z0-9]+)")&amp;".png"),1),"⚠️ link tidak dikenali"))</f>
        <v/>
      </c>
      <c r="AQ17" s="38">
        <f>IF($Z17="",0,IF(AND(OR('📊 Dashboard'!$B$4="(Semua)",$F17='📊 Dashboard'!$B$4),OR('📊 Dashboard'!$B$5="(Semua)",$H17='📊 Dashboard'!$B$5),OR('📊 Dashboard'!$B$6="(Semua)",$E17='📊 Dashboard'!$B$6),OR('📊 Dashboard'!$B$7="(Semua)",$AF17='📊 Dashboard'!$B$7),OR('📊 Dashboard'!$B$8="(Semua)",$AG17='📊 Dashboard'!$B$8),OR('📊 Dashboard'!$B$9="(Semua)",$K17='📊 Dashboard'!$B$9)),1,0))</f>
        <v/>
      </c>
    </row>
    <row r="18" ht="58" customHeight="1">
      <c r="A18" s="30">
        <f>IF($B18="","",ROW()-2)</f>
        <v/>
      </c>
      <c r="B18" s="31" t="n"/>
      <c r="C18" s="32" t="n"/>
      <c r="D18" s="32" t="n"/>
      <c r="E18" s="30">
        <f>IF($C18="","",IF(AND($C18&gt;=TIME(14,0,0),$C18&lt;TIME(19,30,0)),"London",IF(AND($C18&gt;=TIME(19,30,0),$C18&lt;TIME(23,0,0)),"Overlap LDN+NY",IF(OR($C18&gt;=TIME(23,0,0),$C18&lt;TIME(4,0,0)),"New York","Asia"))))</f>
        <v/>
      </c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4" t="n"/>
      <c r="P18" s="34" t="n"/>
      <c r="Q18" s="34" t="n"/>
      <c r="R18" s="35">
        <f>IFERROR(IF(OR($N18="",$O18="",$F18=""),"",ROUND(('⚙️ Setelan'!$B$3*'⚙️ Setelan'!$B$4/100)/(ABS($N18-$O18)*VLOOKUP($F18,'⚙️ Setelan'!$A$14:$F$20,4,FALSE)),2)),"")</f>
        <v/>
      </c>
      <c r="S18" s="36" t="n"/>
      <c r="T18" s="37">
        <f>IFERROR(IF(OR($N18="",$O18="",$S18=""),"",ABS($N18-$O18)*$S18*VLOOKUP($F18,'⚙️ Setelan'!$A$14:$F$20,4,FALSE)),"")</f>
        <v/>
      </c>
      <c r="U18" s="35">
        <f>IFERROR(IF(OR($N18="",$O18="",$P18=""),"",ROUND(ABS($P18-$N18)/ABS($N18-$O18),2)),"")</f>
        <v/>
      </c>
      <c r="V18" s="37">
        <f>IFERROR(IF(OR($Q18="",$N18="",$S18=""),"",($Q18-$N18)*IF($G18="Buy",1,-1)*$S18*VLOOKUP($F18,'⚙️ Setelan'!$A$14:$F$20,4,FALSE)),"")</f>
        <v/>
      </c>
      <c r="W18" s="37">
        <f>IFERROR(IF(OR($S18="",$F18=""),"",$S18*VLOOKUP($F18,'⚙️ Setelan'!$A$14:$F$20,5,FALSE)),"")</f>
        <v/>
      </c>
      <c r="X18" s="37">
        <f>IF($V18="","",$V18-IF($W18="",0,$W18))</f>
        <v/>
      </c>
      <c r="Y18" s="35">
        <f>IF(OR($X18="",$T18="",$T18=0),"",ROUND($X18/$T18,2))</f>
        <v/>
      </c>
      <c r="Z18" s="30">
        <f>IF($X18="","",IF($X18&gt;0,"Win",IF($X18&lt;0,"Loss","BE")))</f>
        <v/>
      </c>
      <c r="AA18" s="38">
        <f>IF(OR($C18="",$D18=""),"",ROUND(MOD($D18-$C18,1)*1440,0))</f>
        <v/>
      </c>
      <c r="AB18" s="34" t="n"/>
      <c r="AC18" s="34" t="n"/>
      <c r="AD18" s="35">
        <f>IFERROR(IF(OR($AB18="",$T18="",$T18=0),"",ROUND(ABS($N18-$AB18)*$S18*VLOOKUP($F18,'⚙️ Setelan'!$A$14:$F$20,4,FALSE)/$T18,2)),"")</f>
        <v/>
      </c>
      <c r="AE18" s="35">
        <f>IFERROR(IF(OR($AC18="",$T18="",$T18=0),"",ROUND(ABS($AC18-$N18)*$S18*VLOOKUP($F18,'⚙️ Setelan'!$A$14:$F$20,4,FALSE)/$T18,2)),"")</f>
        <v/>
      </c>
      <c r="AF18" s="33" t="n"/>
      <c r="AG18" s="33" t="n"/>
      <c r="AH18" s="33" t="n"/>
      <c r="AI18" s="33" t="n"/>
      <c r="AJ18" s="33" t="n"/>
      <c r="AK18" s="39" t="n"/>
      <c r="AL18" s="30">
        <f>IF(OR($C18="",$B18=""),"",IF(AND($Z17="Loss",$B18=$B17,MOD($C18-$D17,1)*1440&lt;'⚙️ Setelan'!$B$9),"⚠️ Revenge",""))</f>
        <v/>
      </c>
      <c r="AM18" s="40" t="n"/>
      <c r="AN18" s="30">
        <f>IF($AM18="","",IFERROR(IMAGE(IF(REGEXMATCH($AM18,"\.(png|jpg|jpeg|gif)$"),$AM18,"https://s3.tradingview.com/snapshots/"&amp;LOWER(MID(REGEXEXTRACT($AM18,"/x/([A-Za-z0-9]+)"),1,1))&amp;"/"&amp;REGEXEXTRACT($AM18,"/x/([A-Za-z0-9]+)")&amp;".png"),1),"⚠️ link tidak dikenali"))</f>
        <v/>
      </c>
      <c r="AO18" s="40" t="n"/>
      <c r="AP18" s="30">
        <f>IF($AO18="","",IFERROR(IMAGE(IF(REGEXMATCH($AO18,"\.(png|jpg|jpeg|gif)$"),$AO18,"https://s3.tradingview.com/snapshots/"&amp;LOWER(MID(REGEXEXTRACT($AO18,"/x/([A-Za-z0-9]+)"),1,1))&amp;"/"&amp;REGEXEXTRACT($AO18,"/x/([A-Za-z0-9]+)")&amp;".png"),1),"⚠️ link tidak dikenali"))</f>
        <v/>
      </c>
      <c r="AQ18" s="38">
        <f>IF($Z18="",0,IF(AND(OR('📊 Dashboard'!$B$4="(Semua)",$F18='📊 Dashboard'!$B$4),OR('📊 Dashboard'!$B$5="(Semua)",$H18='📊 Dashboard'!$B$5),OR('📊 Dashboard'!$B$6="(Semua)",$E18='📊 Dashboard'!$B$6),OR('📊 Dashboard'!$B$7="(Semua)",$AF18='📊 Dashboard'!$B$7),OR('📊 Dashboard'!$B$8="(Semua)",$AG18='📊 Dashboard'!$B$8),OR('📊 Dashboard'!$B$9="(Semua)",$K18='📊 Dashboard'!$B$9)),1,0))</f>
        <v/>
      </c>
    </row>
    <row r="19" ht="58" customHeight="1">
      <c r="A19" s="30">
        <f>IF($B19="","",ROW()-2)</f>
        <v/>
      </c>
      <c r="B19" s="31" t="n"/>
      <c r="C19" s="32" t="n"/>
      <c r="D19" s="32" t="n"/>
      <c r="E19" s="30">
        <f>IF($C19="","",IF(AND($C19&gt;=TIME(14,0,0),$C19&lt;TIME(19,30,0)),"London",IF(AND($C19&gt;=TIME(19,30,0),$C19&lt;TIME(23,0,0)),"Overlap LDN+NY",IF(OR($C19&gt;=TIME(23,0,0),$C19&lt;TIME(4,0,0)),"New York","Asia"))))</f>
        <v/>
      </c>
      <c r="F19" s="33" t="n"/>
      <c r="G19" s="33" t="n"/>
      <c r="H19" s="33" t="n"/>
      <c r="I19" s="33" t="n"/>
      <c r="J19" s="33" t="n"/>
      <c r="K19" s="33" t="n"/>
      <c r="L19" s="33" t="n"/>
      <c r="M19" s="33" t="n"/>
      <c r="N19" s="34" t="n"/>
      <c r="O19" s="34" t="n"/>
      <c r="P19" s="34" t="n"/>
      <c r="Q19" s="34" t="n"/>
      <c r="R19" s="35">
        <f>IFERROR(IF(OR($N19="",$O19="",$F19=""),"",ROUND(('⚙️ Setelan'!$B$3*'⚙️ Setelan'!$B$4/100)/(ABS($N19-$O19)*VLOOKUP($F19,'⚙️ Setelan'!$A$14:$F$20,4,FALSE)),2)),"")</f>
        <v/>
      </c>
      <c r="S19" s="36" t="n"/>
      <c r="T19" s="37">
        <f>IFERROR(IF(OR($N19="",$O19="",$S19=""),"",ABS($N19-$O19)*$S19*VLOOKUP($F19,'⚙️ Setelan'!$A$14:$F$20,4,FALSE)),"")</f>
        <v/>
      </c>
      <c r="U19" s="35">
        <f>IFERROR(IF(OR($N19="",$O19="",$P19=""),"",ROUND(ABS($P19-$N19)/ABS($N19-$O19),2)),"")</f>
        <v/>
      </c>
      <c r="V19" s="37">
        <f>IFERROR(IF(OR($Q19="",$N19="",$S19=""),"",($Q19-$N19)*IF($G19="Buy",1,-1)*$S19*VLOOKUP($F19,'⚙️ Setelan'!$A$14:$F$20,4,FALSE)),"")</f>
        <v/>
      </c>
      <c r="W19" s="37">
        <f>IFERROR(IF(OR($S19="",$F19=""),"",$S19*VLOOKUP($F19,'⚙️ Setelan'!$A$14:$F$20,5,FALSE)),"")</f>
        <v/>
      </c>
      <c r="X19" s="37">
        <f>IF($V19="","",$V19-IF($W19="",0,$W19))</f>
        <v/>
      </c>
      <c r="Y19" s="35">
        <f>IF(OR($X19="",$T19="",$T19=0),"",ROUND($X19/$T19,2))</f>
        <v/>
      </c>
      <c r="Z19" s="30">
        <f>IF($X19="","",IF($X19&gt;0,"Win",IF($X19&lt;0,"Loss","BE")))</f>
        <v/>
      </c>
      <c r="AA19" s="38">
        <f>IF(OR($C19="",$D19=""),"",ROUND(MOD($D19-$C19,1)*1440,0))</f>
        <v/>
      </c>
      <c r="AB19" s="34" t="n"/>
      <c r="AC19" s="34" t="n"/>
      <c r="AD19" s="35">
        <f>IFERROR(IF(OR($AB19="",$T19="",$T19=0),"",ROUND(ABS($N19-$AB19)*$S19*VLOOKUP($F19,'⚙️ Setelan'!$A$14:$F$20,4,FALSE)/$T19,2)),"")</f>
        <v/>
      </c>
      <c r="AE19" s="35">
        <f>IFERROR(IF(OR($AC19="",$T19="",$T19=0),"",ROUND(ABS($AC19-$N19)*$S19*VLOOKUP($F19,'⚙️ Setelan'!$A$14:$F$20,4,FALSE)/$T19,2)),"")</f>
        <v/>
      </c>
      <c r="AF19" s="33" t="n"/>
      <c r="AG19" s="33" t="n"/>
      <c r="AH19" s="33" t="n"/>
      <c r="AI19" s="33" t="n"/>
      <c r="AJ19" s="33" t="n"/>
      <c r="AK19" s="39" t="n"/>
      <c r="AL19" s="30">
        <f>IF(OR($C19="",$B19=""),"",IF(AND($Z18="Loss",$B19=$B18,MOD($C19-$D18,1)*1440&lt;'⚙️ Setelan'!$B$9),"⚠️ Revenge",""))</f>
        <v/>
      </c>
      <c r="AM19" s="40" t="n"/>
      <c r="AN19" s="30">
        <f>IF($AM19="","",IFERROR(IMAGE(IF(REGEXMATCH($AM19,"\.(png|jpg|jpeg|gif)$"),$AM19,"https://s3.tradingview.com/snapshots/"&amp;LOWER(MID(REGEXEXTRACT($AM19,"/x/([A-Za-z0-9]+)"),1,1))&amp;"/"&amp;REGEXEXTRACT($AM19,"/x/([A-Za-z0-9]+)")&amp;".png"),1),"⚠️ link tidak dikenali"))</f>
        <v/>
      </c>
      <c r="AO19" s="40" t="n"/>
      <c r="AP19" s="30">
        <f>IF($AO19="","",IFERROR(IMAGE(IF(REGEXMATCH($AO19,"\.(png|jpg|jpeg|gif)$"),$AO19,"https://s3.tradingview.com/snapshots/"&amp;LOWER(MID(REGEXEXTRACT($AO19,"/x/([A-Za-z0-9]+)"),1,1))&amp;"/"&amp;REGEXEXTRACT($AO19,"/x/([A-Za-z0-9]+)")&amp;".png"),1),"⚠️ link tidak dikenali"))</f>
        <v/>
      </c>
      <c r="AQ19" s="38">
        <f>IF($Z19="",0,IF(AND(OR('📊 Dashboard'!$B$4="(Semua)",$F19='📊 Dashboard'!$B$4),OR('📊 Dashboard'!$B$5="(Semua)",$H19='📊 Dashboard'!$B$5),OR('📊 Dashboard'!$B$6="(Semua)",$E19='📊 Dashboard'!$B$6),OR('📊 Dashboard'!$B$7="(Semua)",$AF19='📊 Dashboard'!$B$7),OR('📊 Dashboard'!$B$8="(Semua)",$AG19='📊 Dashboard'!$B$8),OR('📊 Dashboard'!$B$9="(Semua)",$K19='📊 Dashboard'!$B$9)),1,0))</f>
        <v/>
      </c>
    </row>
    <row r="20" ht="58" customHeight="1">
      <c r="A20" s="30">
        <f>IF($B20="","",ROW()-2)</f>
        <v/>
      </c>
      <c r="B20" s="31" t="n"/>
      <c r="C20" s="32" t="n"/>
      <c r="D20" s="32" t="n"/>
      <c r="E20" s="30">
        <f>IF($C20="","",IF(AND($C20&gt;=TIME(14,0,0),$C20&lt;TIME(19,30,0)),"London",IF(AND($C20&gt;=TIME(19,30,0),$C20&lt;TIME(23,0,0)),"Overlap LDN+NY",IF(OR($C20&gt;=TIME(23,0,0),$C20&lt;TIME(4,0,0)),"New York","Asia"))))</f>
        <v/>
      </c>
      <c r="F20" s="33" t="n"/>
      <c r="G20" s="33" t="n"/>
      <c r="H20" s="33" t="n"/>
      <c r="I20" s="33" t="n"/>
      <c r="J20" s="33" t="n"/>
      <c r="K20" s="33" t="n"/>
      <c r="L20" s="33" t="n"/>
      <c r="M20" s="33" t="n"/>
      <c r="N20" s="34" t="n"/>
      <c r="O20" s="34" t="n"/>
      <c r="P20" s="34" t="n"/>
      <c r="Q20" s="34" t="n"/>
      <c r="R20" s="35">
        <f>IFERROR(IF(OR($N20="",$O20="",$F20=""),"",ROUND(('⚙️ Setelan'!$B$3*'⚙️ Setelan'!$B$4/100)/(ABS($N20-$O20)*VLOOKUP($F20,'⚙️ Setelan'!$A$14:$F$20,4,FALSE)),2)),"")</f>
        <v/>
      </c>
      <c r="S20" s="36" t="n"/>
      <c r="T20" s="37">
        <f>IFERROR(IF(OR($N20="",$O20="",$S20=""),"",ABS($N20-$O20)*$S20*VLOOKUP($F20,'⚙️ Setelan'!$A$14:$F$20,4,FALSE)),"")</f>
        <v/>
      </c>
      <c r="U20" s="35">
        <f>IFERROR(IF(OR($N20="",$O20="",$P20=""),"",ROUND(ABS($P20-$N20)/ABS($N20-$O20),2)),"")</f>
        <v/>
      </c>
      <c r="V20" s="37">
        <f>IFERROR(IF(OR($Q20="",$N20="",$S20=""),"",($Q20-$N20)*IF($G20="Buy",1,-1)*$S20*VLOOKUP($F20,'⚙️ Setelan'!$A$14:$F$20,4,FALSE)),"")</f>
        <v/>
      </c>
      <c r="W20" s="37">
        <f>IFERROR(IF(OR($S20="",$F20=""),"",$S20*VLOOKUP($F20,'⚙️ Setelan'!$A$14:$F$20,5,FALSE)),"")</f>
        <v/>
      </c>
      <c r="X20" s="37">
        <f>IF($V20="","",$V20-IF($W20="",0,$W20))</f>
        <v/>
      </c>
      <c r="Y20" s="35">
        <f>IF(OR($X20="",$T20="",$T20=0),"",ROUND($X20/$T20,2))</f>
        <v/>
      </c>
      <c r="Z20" s="30">
        <f>IF($X20="","",IF($X20&gt;0,"Win",IF($X20&lt;0,"Loss","BE")))</f>
        <v/>
      </c>
      <c r="AA20" s="38">
        <f>IF(OR($C20="",$D20=""),"",ROUND(MOD($D20-$C20,1)*1440,0))</f>
        <v/>
      </c>
      <c r="AB20" s="34" t="n"/>
      <c r="AC20" s="34" t="n"/>
      <c r="AD20" s="35">
        <f>IFERROR(IF(OR($AB20="",$T20="",$T20=0),"",ROUND(ABS($N20-$AB20)*$S20*VLOOKUP($F20,'⚙️ Setelan'!$A$14:$F$20,4,FALSE)/$T20,2)),"")</f>
        <v/>
      </c>
      <c r="AE20" s="35">
        <f>IFERROR(IF(OR($AC20="",$T20="",$T20=0),"",ROUND(ABS($AC20-$N20)*$S20*VLOOKUP($F20,'⚙️ Setelan'!$A$14:$F$20,4,FALSE)/$T20,2)),"")</f>
        <v/>
      </c>
      <c r="AF20" s="33" t="n"/>
      <c r="AG20" s="33" t="n"/>
      <c r="AH20" s="33" t="n"/>
      <c r="AI20" s="33" t="n"/>
      <c r="AJ20" s="33" t="n"/>
      <c r="AK20" s="39" t="n"/>
      <c r="AL20" s="30">
        <f>IF(OR($C20="",$B20=""),"",IF(AND($Z19="Loss",$B20=$B19,MOD($C20-$D19,1)*1440&lt;'⚙️ Setelan'!$B$9),"⚠️ Revenge",""))</f>
        <v/>
      </c>
      <c r="AM20" s="40" t="n"/>
      <c r="AN20" s="30">
        <f>IF($AM20="","",IFERROR(IMAGE(IF(REGEXMATCH($AM20,"\.(png|jpg|jpeg|gif)$"),$AM20,"https://s3.tradingview.com/snapshots/"&amp;LOWER(MID(REGEXEXTRACT($AM20,"/x/([A-Za-z0-9]+)"),1,1))&amp;"/"&amp;REGEXEXTRACT($AM20,"/x/([A-Za-z0-9]+)")&amp;".png"),1),"⚠️ link tidak dikenali"))</f>
        <v/>
      </c>
      <c r="AO20" s="40" t="n"/>
      <c r="AP20" s="30">
        <f>IF($AO20="","",IFERROR(IMAGE(IF(REGEXMATCH($AO20,"\.(png|jpg|jpeg|gif)$"),$AO20,"https://s3.tradingview.com/snapshots/"&amp;LOWER(MID(REGEXEXTRACT($AO20,"/x/([A-Za-z0-9]+)"),1,1))&amp;"/"&amp;REGEXEXTRACT($AO20,"/x/([A-Za-z0-9]+)")&amp;".png"),1),"⚠️ link tidak dikenali"))</f>
        <v/>
      </c>
      <c r="AQ20" s="38">
        <f>IF($Z20="",0,IF(AND(OR('📊 Dashboard'!$B$4="(Semua)",$F20='📊 Dashboard'!$B$4),OR('📊 Dashboard'!$B$5="(Semua)",$H20='📊 Dashboard'!$B$5),OR('📊 Dashboard'!$B$6="(Semua)",$E20='📊 Dashboard'!$B$6),OR('📊 Dashboard'!$B$7="(Semua)",$AF20='📊 Dashboard'!$B$7),OR('📊 Dashboard'!$B$8="(Semua)",$AG20='📊 Dashboard'!$B$8),OR('📊 Dashboard'!$B$9="(Semua)",$K20='📊 Dashboard'!$B$9)),1,0))</f>
        <v/>
      </c>
    </row>
    <row r="21" ht="58" customHeight="1">
      <c r="A21" s="30">
        <f>IF($B21="","",ROW()-2)</f>
        <v/>
      </c>
      <c r="B21" s="31" t="n"/>
      <c r="C21" s="32" t="n"/>
      <c r="D21" s="32" t="n"/>
      <c r="E21" s="30">
        <f>IF($C21="","",IF(AND($C21&gt;=TIME(14,0,0),$C21&lt;TIME(19,30,0)),"London",IF(AND($C21&gt;=TIME(19,30,0),$C21&lt;TIME(23,0,0)),"Overlap LDN+NY",IF(OR($C21&gt;=TIME(23,0,0),$C21&lt;TIME(4,0,0)),"New York","Asia"))))</f>
        <v/>
      </c>
      <c r="F21" s="33" t="n"/>
      <c r="G21" s="33" t="n"/>
      <c r="H21" s="33" t="n"/>
      <c r="I21" s="33" t="n"/>
      <c r="J21" s="33" t="n"/>
      <c r="K21" s="33" t="n"/>
      <c r="L21" s="33" t="n"/>
      <c r="M21" s="33" t="n"/>
      <c r="N21" s="34" t="n"/>
      <c r="O21" s="34" t="n"/>
      <c r="P21" s="34" t="n"/>
      <c r="Q21" s="34" t="n"/>
      <c r="R21" s="35">
        <f>IFERROR(IF(OR($N21="",$O21="",$F21=""),"",ROUND(('⚙️ Setelan'!$B$3*'⚙️ Setelan'!$B$4/100)/(ABS($N21-$O21)*VLOOKUP($F21,'⚙️ Setelan'!$A$14:$F$20,4,FALSE)),2)),"")</f>
        <v/>
      </c>
      <c r="S21" s="36" t="n"/>
      <c r="T21" s="37">
        <f>IFERROR(IF(OR($N21="",$O21="",$S21=""),"",ABS($N21-$O21)*$S21*VLOOKUP($F21,'⚙️ Setelan'!$A$14:$F$20,4,FALSE)),"")</f>
        <v/>
      </c>
      <c r="U21" s="35">
        <f>IFERROR(IF(OR($N21="",$O21="",$P21=""),"",ROUND(ABS($P21-$N21)/ABS($N21-$O21),2)),"")</f>
        <v/>
      </c>
      <c r="V21" s="37">
        <f>IFERROR(IF(OR($Q21="",$N21="",$S21=""),"",($Q21-$N21)*IF($G21="Buy",1,-1)*$S21*VLOOKUP($F21,'⚙️ Setelan'!$A$14:$F$20,4,FALSE)),"")</f>
        <v/>
      </c>
      <c r="W21" s="37">
        <f>IFERROR(IF(OR($S21="",$F21=""),"",$S21*VLOOKUP($F21,'⚙️ Setelan'!$A$14:$F$20,5,FALSE)),"")</f>
        <v/>
      </c>
      <c r="X21" s="37">
        <f>IF($V21="","",$V21-IF($W21="",0,$W21))</f>
        <v/>
      </c>
      <c r="Y21" s="35">
        <f>IF(OR($X21="",$T21="",$T21=0),"",ROUND($X21/$T21,2))</f>
        <v/>
      </c>
      <c r="Z21" s="30">
        <f>IF($X21="","",IF($X21&gt;0,"Win",IF($X21&lt;0,"Loss","BE")))</f>
        <v/>
      </c>
      <c r="AA21" s="38">
        <f>IF(OR($C21="",$D21=""),"",ROUND(MOD($D21-$C21,1)*1440,0))</f>
        <v/>
      </c>
      <c r="AB21" s="34" t="n"/>
      <c r="AC21" s="34" t="n"/>
      <c r="AD21" s="35">
        <f>IFERROR(IF(OR($AB21="",$T21="",$T21=0),"",ROUND(ABS($N21-$AB21)*$S21*VLOOKUP($F21,'⚙️ Setelan'!$A$14:$F$20,4,FALSE)/$T21,2)),"")</f>
        <v/>
      </c>
      <c r="AE21" s="35">
        <f>IFERROR(IF(OR($AC21="",$T21="",$T21=0),"",ROUND(ABS($AC21-$N21)*$S21*VLOOKUP($F21,'⚙️ Setelan'!$A$14:$F$20,4,FALSE)/$T21,2)),"")</f>
        <v/>
      </c>
      <c r="AF21" s="33" t="n"/>
      <c r="AG21" s="33" t="n"/>
      <c r="AH21" s="33" t="n"/>
      <c r="AI21" s="33" t="n"/>
      <c r="AJ21" s="33" t="n"/>
      <c r="AK21" s="39" t="n"/>
      <c r="AL21" s="30">
        <f>IF(OR($C21="",$B21=""),"",IF(AND($Z20="Loss",$B21=$B20,MOD($C21-$D20,1)*1440&lt;'⚙️ Setelan'!$B$9),"⚠️ Revenge",""))</f>
        <v/>
      </c>
      <c r="AM21" s="40" t="n"/>
      <c r="AN21" s="30">
        <f>IF($AM21="","",IFERROR(IMAGE(IF(REGEXMATCH($AM21,"\.(png|jpg|jpeg|gif)$"),$AM21,"https://s3.tradingview.com/snapshots/"&amp;LOWER(MID(REGEXEXTRACT($AM21,"/x/([A-Za-z0-9]+)"),1,1))&amp;"/"&amp;REGEXEXTRACT($AM21,"/x/([A-Za-z0-9]+)")&amp;".png"),1),"⚠️ link tidak dikenali"))</f>
        <v/>
      </c>
      <c r="AO21" s="40" t="n"/>
      <c r="AP21" s="30">
        <f>IF($AO21="","",IFERROR(IMAGE(IF(REGEXMATCH($AO21,"\.(png|jpg|jpeg|gif)$"),$AO21,"https://s3.tradingview.com/snapshots/"&amp;LOWER(MID(REGEXEXTRACT($AO21,"/x/([A-Za-z0-9]+)"),1,1))&amp;"/"&amp;REGEXEXTRACT($AO21,"/x/([A-Za-z0-9]+)")&amp;".png"),1),"⚠️ link tidak dikenali"))</f>
        <v/>
      </c>
      <c r="AQ21" s="38">
        <f>IF($Z21="",0,IF(AND(OR('📊 Dashboard'!$B$4="(Semua)",$F21='📊 Dashboard'!$B$4),OR('📊 Dashboard'!$B$5="(Semua)",$H21='📊 Dashboard'!$B$5),OR('📊 Dashboard'!$B$6="(Semua)",$E21='📊 Dashboard'!$B$6),OR('📊 Dashboard'!$B$7="(Semua)",$AF21='📊 Dashboard'!$B$7),OR('📊 Dashboard'!$B$8="(Semua)",$AG21='📊 Dashboard'!$B$8),OR('📊 Dashboard'!$B$9="(Semua)",$K21='📊 Dashboard'!$B$9)),1,0))</f>
        <v/>
      </c>
    </row>
    <row r="22" ht="58" customHeight="1">
      <c r="A22" s="30">
        <f>IF($B22="","",ROW()-2)</f>
        <v/>
      </c>
      <c r="B22" s="31" t="n"/>
      <c r="C22" s="32" t="n"/>
      <c r="D22" s="32" t="n"/>
      <c r="E22" s="30">
        <f>IF($C22="","",IF(AND($C22&gt;=TIME(14,0,0),$C22&lt;TIME(19,30,0)),"London",IF(AND($C22&gt;=TIME(19,30,0),$C22&lt;TIME(23,0,0)),"Overlap LDN+NY",IF(OR($C22&gt;=TIME(23,0,0),$C22&lt;TIME(4,0,0)),"New York","Asia"))))</f>
        <v/>
      </c>
      <c r="F22" s="33" t="n"/>
      <c r="G22" s="33" t="n"/>
      <c r="H22" s="33" t="n"/>
      <c r="I22" s="33" t="n"/>
      <c r="J22" s="33" t="n"/>
      <c r="K22" s="33" t="n"/>
      <c r="L22" s="33" t="n"/>
      <c r="M22" s="33" t="n"/>
      <c r="N22" s="34" t="n"/>
      <c r="O22" s="34" t="n"/>
      <c r="P22" s="34" t="n"/>
      <c r="Q22" s="34" t="n"/>
      <c r="R22" s="35">
        <f>IFERROR(IF(OR($N22="",$O22="",$F22=""),"",ROUND(('⚙️ Setelan'!$B$3*'⚙️ Setelan'!$B$4/100)/(ABS($N22-$O22)*VLOOKUP($F22,'⚙️ Setelan'!$A$14:$F$20,4,FALSE)),2)),"")</f>
        <v/>
      </c>
      <c r="S22" s="36" t="n"/>
      <c r="T22" s="37">
        <f>IFERROR(IF(OR($N22="",$O22="",$S22=""),"",ABS($N22-$O22)*$S22*VLOOKUP($F22,'⚙️ Setelan'!$A$14:$F$20,4,FALSE)),"")</f>
        <v/>
      </c>
      <c r="U22" s="35">
        <f>IFERROR(IF(OR($N22="",$O22="",$P22=""),"",ROUND(ABS($P22-$N22)/ABS($N22-$O22),2)),"")</f>
        <v/>
      </c>
      <c r="V22" s="37">
        <f>IFERROR(IF(OR($Q22="",$N22="",$S22=""),"",($Q22-$N22)*IF($G22="Buy",1,-1)*$S22*VLOOKUP($F22,'⚙️ Setelan'!$A$14:$F$20,4,FALSE)),"")</f>
        <v/>
      </c>
      <c r="W22" s="37">
        <f>IFERROR(IF(OR($S22="",$F22=""),"",$S22*VLOOKUP($F22,'⚙️ Setelan'!$A$14:$F$20,5,FALSE)),"")</f>
        <v/>
      </c>
      <c r="X22" s="37">
        <f>IF($V22="","",$V22-IF($W22="",0,$W22))</f>
        <v/>
      </c>
      <c r="Y22" s="35">
        <f>IF(OR($X22="",$T22="",$T22=0),"",ROUND($X22/$T22,2))</f>
        <v/>
      </c>
      <c r="Z22" s="30">
        <f>IF($X22="","",IF($X22&gt;0,"Win",IF($X22&lt;0,"Loss","BE")))</f>
        <v/>
      </c>
      <c r="AA22" s="38">
        <f>IF(OR($C22="",$D22=""),"",ROUND(MOD($D22-$C22,1)*1440,0))</f>
        <v/>
      </c>
      <c r="AB22" s="34" t="n"/>
      <c r="AC22" s="34" t="n"/>
      <c r="AD22" s="35">
        <f>IFERROR(IF(OR($AB22="",$T22="",$T22=0),"",ROUND(ABS($N22-$AB22)*$S22*VLOOKUP($F22,'⚙️ Setelan'!$A$14:$F$20,4,FALSE)/$T22,2)),"")</f>
        <v/>
      </c>
      <c r="AE22" s="35">
        <f>IFERROR(IF(OR($AC22="",$T22="",$T22=0),"",ROUND(ABS($AC22-$N22)*$S22*VLOOKUP($F22,'⚙️ Setelan'!$A$14:$F$20,4,FALSE)/$T22,2)),"")</f>
        <v/>
      </c>
      <c r="AF22" s="33" t="n"/>
      <c r="AG22" s="33" t="n"/>
      <c r="AH22" s="33" t="n"/>
      <c r="AI22" s="33" t="n"/>
      <c r="AJ22" s="33" t="n"/>
      <c r="AK22" s="39" t="n"/>
      <c r="AL22" s="30">
        <f>IF(OR($C22="",$B22=""),"",IF(AND($Z21="Loss",$B22=$B21,MOD($C22-$D21,1)*1440&lt;'⚙️ Setelan'!$B$9),"⚠️ Revenge",""))</f>
        <v/>
      </c>
      <c r="AM22" s="40" t="n"/>
      <c r="AN22" s="30">
        <f>IF($AM22="","",IFERROR(IMAGE(IF(REGEXMATCH($AM22,"\.(png|jpg|jpeg|gif)$"),$AM22,"https://s3.tradingview.com/snapshots/"&amp;LOWER(MID(REGEXEXTRACT($AM22,"/x/([A-Za-z0-9]+)"),1,1))&amp;"/"&amp;REGEXEXTRACT($AM22,"/x/([A-Za-z0-9]+)")&amp;".png"),1),"⚠️ link tidak dikenali"))</f>
        <v/>
      </c>
      <c r="AO22" s="40" t="n"/>
      <c r="AP22" s="30">
        <f>IF($AO22="","",IFERROR(IMAGE(IF(REGEXMATCH($AO22,"\.(png|jpg|jpeg|gif)$"),$AO22,"https://s3.tradingview.com/snapshots/"&amp;LOWER(MID(REGEXEXTRACT($AO22,"/x/([A-Za-z0-9]+)"),1,1))&amp;"/"&amp;REGEXEXTRACT($AO22,"/x/([A-Za-z0-9]+)")&amp;".png"),1),"⚠️ link tidak dikenali"))</f>
        <v/>
      </c>
      <c r="AQ22" s="38">
        <f>IF($Z22="",0,IF(AND(OR('📊 Dashboard'!$B$4="(Semua)",$F22='📊 Dashboard'!$B$4),OR('📊 Dashboard'!$B$5="(Semua)",$H22='📊 Dashboard'!$B$5),OR('📊 Dashboard'!$B$6="(Semua)",$E22='📊 Dashboard'!$B$6),OR('📊 Dashboard'!$B$7="(Semua)",$AF22='📊 Dashboard'!$B$7),OR('📊 Dashboard'!$B$8="(Semua)",$AG22='📊 Dashboard'!$B$8),OR('📊 Dashboard'!$B$9="(Semua)",$K22='📊 Dashboard'!$B$9)),1,0))</f>
        <v/>
      </c>
    </row>
    <row r="23" ht="58" customHeight="1">
      <c r="A23" s="30">
        <f>IF($B23="","",ROW()-2)</f>
        <v/>
      </c>
      <c r="B23" s="31" t="n"/>
      <c r="C23" s="32" t="n"/>
      <c r="D23" s="32" t="n"/>
      <c r="E23" s="30">
        <f>IF($C23="","",IF(AND($C23&gt;=TIME(14,0,0),$C23&lt;TIME(19,30,0)),"London",IF(AND($C23&gt;=TIME(19,30,0),$C23&lt;TIME(23,0,0)),"Overlap LDN+NY",IF(OR($C23&gt;=TIME(23,0,0),$C23&lt;TIME(4,0,0)),"New York","Asia"))))</f>
        <v/>
      </c>
      <c r="F23" s="33" t="n"/>
      <c r="G23" s="33" t="n"/>
      <c r="H23" s="33" t="n"/>
      <c r="I23" s="33" t="n"/>
      <c r="J23" s="33" t="n"/>
      <c r="K23" s="33" t="n"/>
      <c r="L23" s="33" t="n"/>
      <c r="M23" s="33" t="n"/>
      <c r="N23" s="34" t="n"/>
      <c r="O23" s="34" t="n"/>
      <c r="P23" s="34" t="n"/>
      <c r="Q23" s="34" t="n"/>
      <c r="R23" s="35">
        <f>IFERROR(IF(OR($N23="",$O23="",$F23=""),"",ROUND(('⚙️ Setelan'!$B$3*'⚙️ Setelan'!$B$4/100)/(ABS($N23-$O23)*VLOOKUP($F23,'⚙️ Setelan'!$A$14:$F$20,4,FALSE)),2)),"")</f>
        <v/>
      </c>
      <c r="S23" s="36" t="n"/>
      <c r="T23" s="37">
        <f>IFERROR(IF(OR($N23="",$O23="",$S23=""),"",ABS($N23-$O23)*$S23*VLOOKUP($F23,'⚙️ Setelan'!$A$14:$F$20,4,FALSE)),"")</f>
        <v/>
      </c>
      <c r="U23" s="35">
        <f>IFERROR(IF(OR($N23="",$O23="",$P23=""),"",ROUND(ABS($P23-$N23)/ABS($N23-$O23),2)),"")</f>
        <v/>
      </c>
      <c r="V23" s="37">
        <f>IFERROR(IF(OR($Q23="",$N23="",$S23=""),"",($Q23-$N23)*IF($G23="Buy",1,-1)*$S23*VLOOKUP($F23,'⚙️ Setelan'!$A$14:$F$20,4,FALSE)),"")</f>
        <v/>
      </c>
      <c r="W23" s="37">
        <f>IFERROR(IF(OR($S23="",$F23=""),"",$S23*VLOOKUP($F23,'⚙️ Setelan'!$A$14:$F$20,5,FALSE)),"")</f>
        <v/>
      </c>
      <c r="X23" s="37">
        <f>IF($V23="","",$V23-IF($W23="",0,$W23))</f>
        <v/>
      </c>
      <c r="Y23" s="35">
        <f>IF(OR($X23="",$T23="",$T23=0),"",ROUND($X23/$T23,2))</f>
        <v/>
      </c>
      <c r="Z23" s="30">
        <f>IF($X23="","",IF($X23&gt;0,"Win",IF($X23&lt;0,"Loss","BE")))</f>
        <v/>
      </c>
      <c r="AA23" s="38">
        <f>IF(OR($C23="",$D23=""),"",ROUND(MOD($D23-$C23,1)*1440,0))</f>
        <v/>
      </c>
      <c r="AB23" s="34" t="n"/>
      <c r="AC23" s="34" t="n"/>
      <c r="AD23" s="35">
        <f>IFERROR(IF(OR($AB23="",$T23="",$T23=0),"",ROUND(ABS($N23-$AB23)*$S23*VLOOKUP($F23,'⚙️ Setelan'!$A$14:$F$20,4,FALSE)/$T23,2)),"")</f>
        <v/>
      </c>
      <c r="AE23" s="35">
        <f>IFERROR(IF(OR($AC23="",$T23="",$T23=0),"",ROUND(ABS($AC23-$N23)*$S23*VLOOKUP($F23,'⚙️ Setelan'!$A$14:$F$20,4,FALSE)/$T23,2)),"")</f>
        <v/>
      </c>
      <c r="AF23" s="33" t="n"/>
      <c r="AG23" s="33" t="n"/>
      <c r="AH23" s="33" t="n"/>
      <c r="AI23" s="33" t="n"/>
      <c r="AJ23" s="33" t="n"/>
      <c r="AK23" s="39" t="n"/>
      <c r="AL23" s="30">
        <f>IF(OR($C23="",$B23=""),"",IF(AND($Z22="Loss",$B23=$B22,MOD($C23-$D22,1)*1440&lt;'⚙️ Setelan'!$B$9),"⚠️ Revenge",""))</f>
        <v/>
      </c>
      <c r="AM23" s="40" t="n"/>
      <c r="AN23" s="30">
        <f>IF($AM23="","",IFERROR(IMAGE(IF(REGEXMATCH($AM23,"\.(png|jpg|jpeg|gif)$"),$AM23,"https://s3.tradingview.com/snapshots/"&amp;LOWER(MID(REGEXEXTRACT($AM23,"/x/([A-Za-z0-9]+)"),1,1))&amp;"/"&amp;REGEXEXTRACT($AM23,"/x/([A-Za-z0-9]+)")&amp;".png"),1),"⚠️ link tidak dikenali"))</f>
        <v/>
      </c>
      <c r="AO23" s="40" t="n"/>
      <c r="AP23" s="30">
        <f>IF($AO23="","",IFERROR(IMAGE(IF(REGEXMATCH($AO23,"\.(png|jpg|jpeg|gif)$"),$AO23,"https://s3.tradingview.com/snapshots/"&amp;LOWER(MID(REGEXEXTRACT($AO23,"/x/([A-Za-z0-9]+)"),1,1))&amp;"/"&amp;REGEXEXTRACT($AO23,"/x/([A-Za-z0-9]+)")&amp;".png"),1),"⚠️ link tidak dikenali"))</f>
        <v/>
      </c>
      <c r="AQ23" s="38">
        <f>IF($Z23="",0,IF(AND(OR('📊 Dashboard'!$B$4="(Semua)",$F23='📊 Dashboard'!$B$4),OR('📊 Dashboard'!$B$5="(Semua)",$H23='📊 Dashboard'!$B$5),OR('📊 Dashboard'!$B$6="(Semua)",$E23='📊 Dashboard'!$B$6),OR('📊 Dashboard'!$B$7="(Semua)",$AF23='📊 Dashboard'!$B$7),OR('📊 Dashboard'!$B$8="(Semua)",$AG23='📊 Dashboard'!$B$8),OR('📊 Dashboard'!$B$9="(Semua)",$K23='📊 Dashboard'!$B$9)),1,0))</f>
        <v/>
      </c>
    </row>
    <row r="24" ht="58" customHeight="1">
      <c r="A24" s="30">
        <f>IF($B24="","",ROW()-2)</f>
        <v/>
      </c>
      <c r="B24" s="31" t="n"/>
      <c r="C24" s="32" t="n"/>
      <c r="D24" s="32" t="n"/>
      <c r="E24" s="30">
        <f>IF($C24="","",IF(AND($C24&gt;=TIME(14,0,0),$C24&lt;TIME(19,30,0)),"London",IF(AND($C24&gt;=TIME(19,30,0),$C24&lt;TIME(23,0,0)),"Overlap LDN+NY",IF(OR($C24&gt;=TIME(23,0,0),$C24&lt;TIME(4,0,0)),"New York","Asia"))))</f>
        <v/>
      </c>
      <c r="F24" s="33" t="n"/>
      <c r="G24" s="33" t="n"/>
      <c r="H24" s="33" t="n"/>
      <c r="I24" s="33" t="n"/>
      <c r="J24" s="33" t="n"/>
      <c r="K24" s="33" t="n"/>
      <c r="L24" s="33" t="n"/>
      <c r="M24" s="33" t="n"/>
      <c r="N24" s="34" t="n"/>
      <c r="O24" s="34" t="n"/>
      <c r="P24" s="34" t="n"/>
      <c r="Q24" s="34" t="n"/>
      <c r="R24" s="35">
        <f>IFERROR(IF(OR($N24="",$O24="",$F24=""),"",ROUND(('⚙️ Setelan'!$B$3*'⚙️ Setelan'!$B$4/100)/(ABS($N24-$O24)*VLOOKUP($F24,'⚙️ Setelan'!$A$14:$F$20,4,FALSE)),2)),"")</f>
        <v/>
      </c>
      <c r="S24" s="36" t="n"/>
      <c r="T24" s="37">
        <f>IFERROR(IF(OR($N24="",$O24="",$S24=""),"",ABS($N24-$O24)*$S24*VLOOKUP($F24,'⚙️ Setelan'!$A$14:$F$20,4,FALSE)),"")</f>
        <v/>
      </c>
      <c r="U24" s="35">
        <f>IFERROR(IF(OR($N24="",$O24="",$P24=""),"",ROUND(ABS($P24-$N24)/ABS($N24-$O24),2)),"")</f>
        <v/>
      </c>
      <c r="V24" s="37">
        <f>IFERROR(IF(OR($Q24="",$N24="",$S24=""),"",($Q24-$N24)*IF($G24="Buy",1,-1)*$S24*VLOOKUP($F24,'⚙️ Setelan'!$A$14:$F$20,4,FALSE)),"")</f>
        <v/>
      </c>
      <c r="W24" s="37">
        <f>IFERROR(IF(OR($S24="",$F24=""),"",$S24*VLOOKUP($F24,'⚙️ Setelan'!$A$14:$F$20,5,FALSE)),"")</f>
        <v/>
      </c>
      <c r="X24" s="37">
        <f>IF($V24="","",$V24-IF($W24="",0,$W24))</f>
        <v/>
      </c>
      <c r="Y24" s="35">
        <f>IF(OR($X24="",$T24="",$T24=0),"",ROUND($X24/$T24,2))</f>
        <v/>
      </c>
      <c r="Z24" s="30">
        <f>IF($X24="","",IF($X24&gt;0,"Win",IF($X24&lt;0,"Loss","BE")))</f>
        <v/>
      </c>
      <c r="AA24" s="38">
        <f>IF(OR($C24="",$D24=""),"",ROUND(MOD($D24-$C24,1)*1440,0))</f>
        <v/>
      </c>
      <c r="AB24" s="34" t="n"/>
      <c r="AC24" s="34" t="n"/>
      <c r="AD24" s="35">
        <f>IFERROR(IF(OR($AB24="",$T24="",$T24=0),"",ROUND(ABS($N24-$AB24)*$S24*VLOOKUP($F24,'⚙️ Setelan'!$A$14:$F$20,4,FALSE)/$T24,2)),"")</f>
        <v/>
      </c>
      <c r="AE24" s="35">
        <f>IFERROR(IF(OR($AC24="",$T24="",$T24=0),"",ROUND(ABS($AC24-$N24)*$S24*VLOOKUP($F24,'⚙️ Setelan'!$A$14:$F$20,4,FALSE)/$T24,2)),"")</f>
        <v/>
      </c>
      <c r="AF24" s="33" t="n"/>
      <c r="AG24" s="33" t="n"/>
      <c r="AH24" s="33" t="n"/>
      <c r="AI24" s="33" t="n"/>
      <c r="AJ24" s="33" t="n"/>
      <c r="AK24" s="39" t="n"/>
      <c r="AL24" s="30">
        <f>IF(OR($C24="",$B24=""),"",IF(AND($Z23="Loss",$B24=$B23,MOD($C24-$D23,1)*1440&lt;'⚙️ Setelan'!$B$9),"⚠️ Revenge",""))</f>
        <v/>
      </c>
      <c r="AM24" s="40" t="n"/>
      <c r="AN24" s="30">
        <f>IF($AM24="","",IFERROR(IMAGE(IF(REGEXMATCH($AM24,"\.(png|jpg|jpeg|gif)$"),$AM24,"https://s3.tradingview.com/snapshots/"&amp;LOWER(MID(REGEXEXTRACT($AM24,"/x/([A-Za-z0-9]+)"),1,1))&amp;"/"&amp;REGEXEXTRACT($AM24,"/x/([A-Za-z0-9]+)")&amp;".png"),1),"⚠️ link tidak dikenali"))</f>
        <v/>
      </c>
      <c r="AO24" s="40" t="n"/>
      <c r="AP24" s="30">
        <f>IF($AO24="","",IFERROR(IMAGE(IF(REGEXMATCH($AO24,"\.(png|jpg|jpeg|gif)$"),$AO24,"https://s3.tradingview.com/snapshots/"&amp;LOWER(MID(REGEXEXTRACT($AO24,"/x/([A-Za-z0-9]+)"),1,1))&amp;"/"&amp;REGEXEXTRACT($AO24,"/x/([A-Za-z0-9]+)")&amp;".png"),1),"⚠️ link tidak dikenali"))</f>
        <v/>
      </c>
      <c r="AQ24" s="38">
        <f>IF($Z24="",0,IF(AND(OR('📊 Dashboard'!$B$4="(Semua)",$F24='📊 Dashboard'!$B$4),OR('📊 Dashboard'!$B$5="(Semua)",$H24='📊 Dashboard'!$B$5),OR('📊 Dashboard'!$B$6="(Semua)",$E24='📊 Dashboard'!$B$6),OR('📊 Dashboard'!$B$7="(Semua)",$AF24='📊 Dashboard'!$B$7),OR('📊 Dashboard'!$B$8="(Semua)",$AG24='📊 Dashboard'!$B$8),OR('📊 Dashboard'!$B$9="(Semua)",$K24='📊 Dashboard'!$B$9)),1,0))</f>
        <v/>
      </c>
    </row>
    <row r="25" ht="58" customHeight="1">
      <c r="A25" s="30">
        <f>IF($B25="","",ROW()-2)</f>
        <v/>
      </c>
      <c r="B25" s="31" t="n"/>
      <c r="C25" s="32" t="n"/>
      <c r="D25" s="32" t="n"/>
      <c r="E25" s="30">
        <f>IF($C25="","",IF(AND($C25&gt;=TIME(14,0,0),$C25&lt;TIME(19,30,0)),"London",IF(AND($C25&gt;=TIME(19,30,0),$C25&lt;TIME(23,0,0)),"Overlap LDN+NY",IF(OR($C25&gt;=TIME(23,0,0),$C25&lt;TIME(4,0,0)),"New York","Asia"))))</f>
        <v/>
      </c>
      <c r="F25" s="33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4" t="n"/>
      <c r="P25" s="34" t="n"/>
      <c r="Q25" s="34" t="n"/>
      <c r="R25" s="35">
        <f>IFERROR(IF(OR($N25="",$O25="",$F25=""),"",ROUND(('⚙️ Setelan'!$B$3*'⚙️ Setelan'!$B$4/100)/(ABS($N25-$O25)*VLOOKUP($F25,'⚙️ Setelan'!$A$14:$F$20,4,FALSE)),2)),"")</f>
        <v/>
      </c>
      <c r="S25" s="36" t="n"/>
      <c r="T25" s="37">
        <f>IFERROR(IF(OR($N25="",$O25="",$S25=""),"",ABS($N25-$O25)*$S25*VLOOKUP($F25,'⚙️ Setelan'!$A$14:$F$20,4,FALSE)),"")</f>
        <v/>
      </c>
      <c r="U25" s="35">
        <f>IFERROR(IF(OR($N25="",$O25="",$P25=""),"",ROUND(ABS($P25-$N25)/ABS($N25-$O25),2)),"")</f>
        <v/>
      </c>
      <c r="V25" s="37">
        <f>IFERROR(IF(OR($Q25="",$N25="",$S25=""),"",($Q25-$N25)*IF($G25="Buy",1,-1)*$S25*VLOOKUP($F25,'⚙️ Setelan'!$A$14:$F$20,4,FALSE)),"")</f>
        <v/>
      </c>
      <c r="W25" s="37">
        <f>IFERROR(IF(OR($S25="",$F25=""),"",$S25*VLOOKUP($F25,'⚙️ Setelan'!$A$14:$F$20,5,FALSE)),"")</f>
        <v/>
      </c>
      <c r="X25" s="37">
        <f>IF($V25="","",$V25-IF($W25="",0,$W25))</f>
        <v/>
      </c>
      <c r="Y25" s="35">
        <f>IF(OR($X25="",$T25="",$T25=0),"",ROUND($X25/$T25,2))</f>
        <v/>
      </c>
      <c r="Z25" s="30">
        <f>IF($X25="","",IF($X25&gt;0,"Win",IF($X25&lt;0,"Loss","BE")))</f>
        <v/>
      </c>
      <c r="AA25" s="38">
        <f>IF(OR($C25="",$D25=""),"",ROUND(MOD($D25-$C25,1)*1440,0))</f>
        <v/>
      </c>
      <c r="AB25" s="34" t="n"/>
      <c r="AC25" s="34" t="n"/>
      <c r="AD25" s="35">
        <f>IFERROR(IF(OR($AB25="",$T25="",$T25=0),"",ROUND(ABS($N25-$AB25)*$S25*VLOOKUP($F25,'⚙️ Setelan'!$A$14:$F$20,4,FALSE)/$T25,2)),"")</f>
        <v/>
      </c>
      <c r="AE25" s="35">
        <f>IFERROR(IF(OR($AC25="",$T25="",$T25=0),"",ROUND(ABS($AC25-$N25)*$S25*VLOOKUP($F25,'⚙️ Setelan'!$A$14:$F$20,4,FALSE)/$T25,2)),"")</f>
        <v/>
      </c>
      <c r="AF25" s="33" t="n"/>
      <c r="AG25" s="33" t="n"/>
      <c r="AH25" s="33" t="n"/>
      <c r="AI25" s="33" t="n"/>
      <c r="AJ25" s="33" t="n"/>
      <c r="AK25" s="39" t="n"/>
      <c r="AL25" s="30">
        <f>IF(OR($C25="",$B25=""),"",IF(AND($Z24="Loss",$B25=$B24,MOD($C25-$D24,1)*1440&lt;'⚙️ Setelan'!$B$9),"⚠️ Revenge",""))</f>
        <v/>
      </c>
      <c r="AM25" s="40" t="n"/>
      <c r="AN25" s="30">
        <f>IF($AM25="","",IFERROR(IMAGE(IF(REGEXMATCH($AM25,"\.(png|jpg|jpeg|gif)$"),$AM25,"https://s3.tradingview.com/snapshots/"&amp;LOWER(MID(REGEXEXTRACT($AM25,"/x/([A-Za-z0-9]+)"),1,1))&amp;"/"&amp;REGEXEXTRACT($AM25,"/x/([A-Za-z0-9]+)")&amp;".png"),1),"⚠️ link tidak dikenali"))</f>
        <v/>
      </c>
      <c r="AO25" s="40" t="n"/>
      <c r="AP25" s="30">
        <f>IF($AO25="","",IFERROR(IMAGE(IF(REGEXMATCH($AO25,"\.(png|jpg|jpeg|gif)$"),$AO25,"https://s3.tradingview.com/snapshots/"&amp;LOWER(MID(REGEXEXTRACT($AO25,"/x/([A-Za-z0-9]+)"),1,1))&amp;"/"&amp;REGEXEXTRACT($AO25,"/x/([A-Za-z0-9]+)")&amp;".png"),1),"⚠️ link tidak dikenali"))</f>
        <v/>
      </c>
      <c r="AQ25" s="38">
        <f>IF($Z25="",0,IF(AND(OR('📊 Dashboard'!$B$4="(Semua)",$F25='📊 Dashboard'!$B$4),OR('📊 Dashboard'!$B$5="(Semua)",$H25='📊 Dashboard'!$B$5),OR('📊 Dashboard'!$B$6="(Semua)",$E25='📊 Dashboard'!$B$6),OR('📊 Dashboard'!$B$7="(Semua)",$AF25='📊 Dashboard'!$B$7),OR('📊 Dashboard'!$B$8="(Semua)",$AG25='📊 Dashboard'!$B$8),OR('📊 Dashboard'!$B$9="(Semua)",$K25='📊 Dashboard'!$B$9)),1,0))</f>
        <v/>
      </c>
    </row>
    <row r="26" ht="58" customHeight="1">
      <c r="A26" s="30">
        <f>IF($B26="","",ROW()-2)</f>
        <v/>
      </c>
      <c r="B26" s="31" t="n"/>
      <c r="C26" s="32" t="n"/>
      <c r="D26" s="32" t="n"/>
      <c r="E26" s="30">
        <f>IF($C26="","",IF(AND($C26&gt;=TIME(14,0,0),$C26&lt;TIME(19,30,0)),"London",IF(AND($C26&gt;=TIME(19,30,0),$C26&lt;TIME(23,0,0)),"Overlap LDN+NY",IF(OR($C26&gt;=TIME(23,0,0),$C26&lt;TIME(4,0,0)),"New York","Asia"))))</f>
        <v/>
      </c>
      <c r="F26" s="33" t="n"/>
      <c r="G26" s="33" t="n"/>
      <c r="H26" s="33" t="n"/>
      <c r="I26" s="33" t="n"/>
      <c r="J26" s="33" t="n"/>
      <c r="K26" s="33" t="n"/>
      <c r="L26" s="33" t="n"/>
      <c r="M26" s="33" t="n"/>
      <c r="N26" s="34" t="n"/>
      <c r="O26" s="34" t="n"/>
      <c r="P26" s="34" t="n"/>
      <c r="Q26" s="34" t="n"/>
      <c r="R26" s="35">
        <f>IFERROR(IF(OR($N26="",$O26="",$F26=""),"",ROUND(('⚙️ Setelan'!$B$3*'⚙️ Setelan'!$B$4/100)/(ABS($N26-$O26)*VLOOKUP($F26,'⚙️ Setelan'!$A$14:$F$20,4,FALSE)),2)),"")</f>
        <v/>
      </c>
      <c r="S26" s="36" t="n"/>
      <c r="T26" s="37">
        <f>IFERROR(IF(OR($N26="",$O26="",$S26=""),"",ABS($N26-$O26)*$S26*VLOOKUP($F26,'⚙️ Setelan'!$A$14:$F$20,4,FALSE)),"")</f>
        <v/>
      </c>
      <c r="U26" s="35">
        <f>IFERROR(IF(OR($N26="",$O26="",$P26=""),"",ROUND(ABS($P26-$N26)/ABS($N26-$O26),2)),"")</f>
        <v/>
      </c>
      <c r="V26" s="37">
        <f>IFERROR(IF(OR($Q26="",$N26="",$S26=""),"",($Q26-$N26)*IF($G26="Buy",1,-1)*$S26*VLOOKUP($F26,'⚙️ Setelan'!$A$14:$F$20,4,FALSE)),"")</f>
        <v/>
      </c>
      <c r="W26" s="37">
        <f>IFERROR(IF(OR($S26="",$F26=""),"",$S26*VLOOKUP($F26,'⚙️ Setelan'!$A$14:$F$20,5,FALSE)),"")</f>
        <v/>
      </c>
      <c r="X26" s="37">
        <f>IF($V26="","",$V26-IF($W26="",0,$W26))</f>
        <v/>
      </c>
      <c r="Y26" s="35">
        <f>IF(OR($X26="",$T26="",$T26=0),"",ROUND($X26/$T26,2))</f>
        <v/>
      </c>
      <c r="Z26" s="30">
        <f>IF($X26="","",IF($X26&gt;0,"Win",IF($X26&lt;0,"Loss","BE")))</f>
        <v/>
      </c>
      <c r="AA26" s="38">
        <f>IF(OR($C26="",$D26=""),"",ROUND(MOD($D26-$C26,1)*1440,0))</f>
        <v/>
      </c>
      <c r="AB26" s="34" t="n"/>
      <c r="AC26" s="34" t="n"/>
      <c r="AD26" s="35">
        <f>IFERROR(IF(OR($AB26="",$T26="",$T26=0),"",ROUND(ABS($N26-$AB26)*$S26*VLOOKUP($F26,'⚙️ Setelan'!$A$14:$F$20,4,FALSE)/$T26,2)),"")</f>
        <v/>
      </c>
      <c r="AE26" s="35">
        <f>IFERROR(IF(OR($AC26="",$T26="",$T26=0),"",ROUND(ABS($AC26-$N26)*$S26*VLOOKUP($F26,'⚙️ Setelan'!$A$14:$F$20,4,FALSE)/$T26,2)),"")</f>
        <v/>
      </c>
      <c r="AF26" s="33" t="n"/>
      <c r="AG26" s="33" t="n"/>
      <c r="AH26" s="33" t="n"/>
      <c r="AI26" s="33" t="n"/>
      <c r="AJ26" s="33" t="n"/>
      <c r="AK26" s="39" t="n"/>
      <c r="AL26" s="30">
        <f>IF(OR($C26="",$B26=""),"",IF(AND($Z25="Loss",$B26=$B25,MOD($C26-$D25,1)*1440&lt;'⚙️ Setelan'!$B$9),"⚠️ Revenge",""))</f>
        <v/>
      </c>
      <c r="AM26" s="40" t="n"/>
      <c r="AN26" s="30">
        <f>IF($AM26="","",IFERROR(IMAGE(IF(REGEXMATCH($AM26,"\.(png|jpg|jpeg|gif)$"),$AM26,"https://s3.tradingview.com/snapshots/"&amp;LOWER(MID(REGEXEXTRACT($AM26,"/x/([A-Za-z0-9]+)"),1,1))&amp;"/"&amp;REGEXEXTRACT($AM26,"/x/([A-Za-z0-9]+)")&amp;".png"),1),"⚠️ link tidak dikenali"))</f>
        <v/>
      </c>
      <c r="AO26" s="40" t="n"/>
      <c r="AP26" s="30">
        <f>IF($AO26="","",IFERROR(IMAGE(IF(REGEXMATCH($AO26,"\.(png|jpg|jpeg|gif)$"),$AO26,"https://s3.tradingview.com/snapshots/"&amp;LOWER(MID(REGEXEXTRACT($AO26,"/x/([A-Za-z0-9]+)"),1,1))&amp;"/"&amp;REGEXEXTRACT($AO26,"/x/([A-Za-z0-9]+)")&amp;".png"),1),"⚠️ link tidak dikenali"))</f>
        <v/>
      </c>
      <c r="AQ26" s="38">
        <f>IF($Z26="",0,IF(AND(OR('📊 Dashboard'!$B$4="(Semua)",$F26='📊 Dashboard'!$B$4),OR('📊 Dashboard'!$B$5="(Semua)",$H26='📊 Dashboard'!$B$5),OR('📊 Dashboard'!$B$6="(Semua)",$E26='📊 Dashboard'!$B$6),OR('📊 Dashboard'!$B$7="(Semua)",$AF26='📊 Dashboard'!$B$7),OR('📊 Dashboard'!$B$8="(Semua)",$AG26='📊 Dashboard'!$B$8),OR('📊 Dashboard'!$B$9="(Semua)",$K26='📊 Dashboard'!$B$9)),1,0))</f>
        <v/>
      </c>
    </row>
    <row r="27" ht="58" customHeight="1">
      <c r="A27" s="30">
        <f>IF($B27="","",ROW()-2)</f>
        <v/>
      </c>
      <c r="B27" s="31" t="n"/>
      <c r="C27" s="32" t="n"/>
      <c r="D27" s="32" t="n"/>
      <c r="E27" s="30">
        <f>IF($C27="","",IF(AND($C27&gt;=TIME(14,0,0),$C27&lt;TIME(19,30,0)),"London",IF(AND($C27&gt;=TIME(19,30,0),$C27&lt;TIME(23,0,0)),"Overlap LDN+NY",IF(OR($C27&gt;=TIME(23,0,0),$C27&lt;TIME(4,0,0)),"New York","Asia"))))</f>
        <v/>
      </c>
      <c r="F27" s="33" t="n"/>
      <c r="G27" s="33" t="n"/>
      <c r="H27" s="33" t="n"/>
      <c r="I27" s="33" t="n"/>
      <c r="J27" s="33" t="n"/>
      <c r="K27" s="33" t="n"/>
      <c r="L27" s="33" t="n"/>
      <c r="M27" s="33" t="n"/>
      <c r="N27" s="34" t="n"/>
      <c r="O27" s="34" t="n"/>
      <c r="P27" s="34" t="n"/>
      <c r="Q27" s="34" t="n"/>
      <c r="R27" s="35">
        <f>IFERROR(IF(OR($N27="",$O27="",$F27=""),"",ROUND(('⚙️ Setelan'!$B$3*'⚙️ Setelan'!$B$4/100)/(ABS($N27-$O27)*VLOOKUP($F27,'⚙️ Setelan'!$A$14:$F$20,4,FALSE)),2)),"")</f>
        <v/>
      </c>
      <c r="S27" s="36" t="n"/>
      <c r="T27" s="37">
        <f>IFERROR(IF(OR($N27="",$O27="",$S27=""),"",ABS($N27-$O27)*$S27*VLOOKUP($F27,'⚙️ Setelan'!$A$14:$F$20,4,FALSE)),"")</f>
        <v/>
      </c>
      <c r="U27" s="35">
        <f>IFERROR(IF(OR($N27="",$O27="",$P27=""),"",ROUND(ABS($P27-$N27)/ABS($N27-$O27),2)),"")</f>
        <v/>
      </c>
      <c r="V27" s="37">
        <f>IFERROR(IF(OR($Q27="",$N27="",$S27=""),"",($Q27-$N27)*IF($G27="Buy",1,-1)*$S27*VLOOKUP($F27,'⚙️ Setelan'!$A$14:$F$20,4,FALSE)),"")</f>
        <v/>
      </c>
      <c r="W27" s="37">
        <f>IFERROR(IF(OR($S27="",$F27=""),"",$S27*VLOOKUP($F27,'⚙️ Setelan'!$A$14:$F$20,5,FALSE)),"")</f>
        <v/>
      </c>
      <c r="X27" s="37">
        <f>IF($V27="","",$V27-IF($W27="",0,$W27))</f>
        <v/>
      </c>
      <c r="Y27" s="35">
        <f>IF(OR($X27="",$T27="",$T27=0),"",ROUND($X27/$T27,2))</f>
        <v/>
      </c>
      <c r="Z27" s="30">
        <f>IF($X27="","",IF($X27&gt;0,"Win",IF($X27&lt;0,"Loss","BE")))</f>
        <v/>
      </c>
      <c r="AA27" s="38">
        <f>IF(OR($C27="",$D27=""),"",ROUND(MOD($D27-$C27,1)*1440,0))</f>
        <v/>
      </c>
      <c r="AB27" s="34" t="n"/>
      <c r="AC27" s="34" t="n"/>
      <c r="AD27" s="35">
        <f>IFERROR(IF(OR($AB27="",$T27="",$T27=0),"",ROUND(ABS($N27-$AB27)*$S27*VLOOKUP($F27,'⚙️ Setelan'!$A$14:$F$20,4,FALSE)/$T27,2)),"")</f>
        <v/>
      </c>
      <c r="AE27" s="35">
        <f>IFERROR(IF(OR($AC27="",$T27="",$T27=0),"",ROUND(ABS($AC27-$N27)*$S27*VLOOKUP($F27,'⚙️ Setelan'!$A$14:$F$20,4,FALSE)/$T27,2)),"")</f>
        <v/>
      </c>
      <c r="AF27" s="33" t="n"/>
      <c r="AG27" s="33" t="n"/>
      <c r="AH27" s="33" t="n"/>
      <c r="AI27" s="33" t="n"/>
      <c r="AJ27" s="33" t="n"/>
      <c r="AK27" s="39" t="n"/>
      <c r="AL27" s="30">
        <f>IF(OR($C27="",$B27=""),"",IF(AND($Z26="Loss",$B27=$B26,MOD($C27-$D26,1)*1440&lt;'⚙️ Setelan'!$B$9),"⚠️ Revenge",""))</f>
        <v/>
      </c>
      <c r="AM27" s="40" t="n"/>
      <c r="AN27" s="30">
        <f>IF($AM27="","",IFERROR(IMAGE(IF(REGEXMATCH($AM27,"\.(png|jpg|jpeg|gif)$"),$AM27,"https://s3.tradingview.com/snapshots/"&amp;LOWER(MID(REGEXEXTRACT($AM27,"/x/([A-Za-z0-9]+)"),1,1))&amp;"/"&amp;REGEXEXTRACT($AM27,"/x/([A-Za-z0-9]+)")&amp;".png"),1),"⚠️ link tidak dikenali"))</f>
        <v/>
      </c>
      <c r="AO27" s="40" t="n"/>
      <c r="AP27" s="30">
        <f>IF($AO27="","",IFERROR(IMAGE(IF(REGEXMATCH($AO27,"\.(png|jpg|jpeg|gif)$"),$AO27,"https://s3.tradingview.com/snapshots/"&amp;LOWER(MID(REGEXEXTRACT($AO27,"/x/([A-Za-z0-9]+)"),1,1))&amp;"/"&amp;REGEXEXTRACT($AO27,"/x/([A-Za-z0-9]+)")&amp;".png"),1),"⚠️ link tidak dikenali"))</f>
        <v/>
      </c>
      <c r="AQ27" s="38">
        <f>IF($Z27="",0,IF(AND(OR('📊 Dashboard'!$B$4="(Semua)",$F27='📊 Dashboard'!$B$4),OR('📊 Dashboard'!$B$5="(Semua)",$H27='📊 Dashboard'!$B$5),OR('📊 Dashboard'!$B$6="(Semua)",$E27='📊 Dashboard'!$B$6),OR('📊 Dashboard'!$B$7="(Semua)",$AF27='📊 Dashboard'!$B$7),OR('📊 Dashboard'!$B$8="(Semua)",$AG27='📊 Dashboard'!$B$8),OR('📊 Dashboard'!$B$9="(Semua)",$K27='📊 Dashboard'!$B$9)),1,0))</f>
        <v/>
      </c>
    </row>
    <row r="28" ht="58" customHeight="1">
      <c r="A28" s="30">
        <f>IF($B28="","",ROW()-2)</f>
        <v/>
      </c>
      <c r="B28" s="31" t="n"/>
      <c r="C28" s="32" t="n"/>
      <c r="D28" s="32" t="n"/>
      <c r="E28" s="30">
        <f>IF($C28="","",IF(AND($C28&gt;=TIME(14,0,0),$C28&lt;TIME(19,30,0)),"London",IF(AND($C28&gt;=TIME(19,30,0),$C28&lt;TIME(23,0,0)),"Overlap LDN+NY",IF(OR($C28&gt;=TIME(23,0,0),$C28&lt;TIME(4,0,0)),"New York","Asia"))))</f>
        <v/>
      </c>
      <c r="F28" s="33" t="n"/>
      <c r="G28" s="33" t="n"/>
      <c r="H28" s="33" t="n"/>
      <c r="I28" s="33" t="n"/>
      <c r="J28" s="33" t="n"/>
      <c r="K28" s="33" t="n"/>
      <c r="L28" s="33" t="n"/>
      <c r="M28" s="33" t="n"/>
      <c r="N28" s="34" t="n"/>
      <c r="O28" s="34" t="n"/>
      <c r="P28" s="34" t="n"/>
      <c r="Q28" s="34" t="n"/>
      <c r="R28" s="35">
        <f>IFERROR(IF(OR($N28="",$O28="",$F28=""),"",ROUND(('⚙️ Setelan'!$B$3*'⚙️ Setelan'!$B$4/100)/(ABS($N28-$O28)*VLOOKUP($F28,'⚙️ Setelan'!$A$14:$F$20,4,FALSE)),2)),"")</f>
        <v/>
      </c>
      <c r="S28" s="36" t="n"/>
      <c r="T28" s="37">
        <f>IFERROR(IF(OR($N28="",$O28="",$S28=""),"",ABS($N28-$O28)*$S28*VLOOKUP($F28,'⚙️ Setelan'!$A$14:$F$20,4,FALSE)),"")</f>
        <v/>
      </c>
      <c r="U28" s="35">
        <f>IFERROR(IF(OR($N28="",$O28="",$P28=""),"",ROUND(ABS($P28-$N28)/ABS($N28-$O28),2)),"")</f>
        <v/>
      </c>
      <c r="V28" s="37">
        <f>IFERROR(IF(OR($Q28="",$N28="",$S28=""),"",($Q28-$N28)*IF($G28="Buy",1,-1)*$S28*VLOOKUP($F28,'⚙️ Setelan'!$A$14:$F$20,4,FALSE)),"")</f>
        <v/>
      </c>
      <c r="W28" s="37">
        <f>IFERROR(IF(OR($S28="",$F28=""),"",$S28*VLOOKUP($F28,'⚙️ Setelan'!$A$14:$F$20,5,FALSE)),"")</f>
        <v/>
      </c>
      <c r="X28" s="37">
        <f>IF($V28="","",$V28-IF($W28="",0,$W28))</f>
        <v/>
      </c>
      <c r="Y28" s="35">
        <f>IF(OR($X28="",$T28="",$T28=0),"",ROUND($X28/$T28,2))</f>
        <v/>
      </c>
      <c r="Z28" s="30">
        <f>IF($X28="","",IF($X28&gt;0,"Win",IF($X28&lt;0,"Loss","BE")))</f>
        <v/>
      </c>
      <c r="AA28" s="38">
        <f>IF(OR($C28="",$D28=""),"",ROUND(MOD($D28-$C28,1)*1440,0))</f>
        <v/>
      </c>
      <c r="AB28" s="34" t="n"/>
      <c r="AC28" s="34" t="n"/>
      <c r="AD28" s="35">
        <f>IFERROR(IF(OR($AB28="",$T28="",$T28=0),"",ROUND(ABS($N28-$AB28)*$S28*VLOOKUP($F28,'⚙️ Setelan'!$A$14:$F$20,4,FALSE)/$T28,2)),"")</f>
        <v/>
      </c>
      <c r="AE28" s="35">
        <f>IFERROR(IF(OR($AC28="",$T28="",$T28=0),"",ROUND(ABS($AC28-$N28)*$S28*VLOOKUP($F28,'⚙️ Setelan'!$A$14:$F$20,4,FALSE)/$T28,2)),"")</f>
        <v/>
      </c>
      <c r="AF28" s="33" t="n"/>
      <c r="AG28" s="33" t="n"/>
      <c r="AH28" s="33" t="n"/>
      <c r="AI28" s="33" t="n"/>
      <c r="AJ28" s="33" t="n"/>
      <c r="AK28" s="39" t="n"/>
      <c r="AL28" s="30">
        <f>IF(OR($C28="",$B28=""),"",IF(AND($Z27="Loss",$B28=$B27,MOD($C28-$D27,1)*1440&lt;'⚙️ Setelan'!$B$9),"⚠️ Revenge",""))</f>
        <v/>
      </c>
      <c r="AM28" s="40" t="n"/>
      <c r="AN28" s="30">
        <f>IF($AM28="","",IFERROR(IMAGE(IF(REGEXMATCH($AM28,"\.(png|jpg|jpeg|gif)$"),$AM28,"https://s3.tradingview.com/snapshots/"&amp;LOWER(MID(REGEXEXTRACT($AM28,"/x/([A-Za-z0-9]+)"),1,1))&amp;"/"&amp;REGEXEXTRACT($AM28,"/x/([A-Za-z0-9]+)")&amp;".png"),1),"⚠️ link tidak dikenali"))</f>
        <v/>
      </c>
      <c r="AO28" s="40" t="n"/>
      <c r="AP28" s="30">
        <f>IF($AO28="","",IFERROR(IMAGE(IF(REGEXMATCH($AO28,"\.(png|jpg|jpeg|gif)$"),$AO28,"https://s3.tradingview.com/snapshots/"&amp;LOWER(MID(REGEXEXTRACT($AO28,"/x/([A-Za-z0-9]+)"),1,1))&amp;"/"&amp;REGEXEXTRACT($AO28,"/x/([A-Za-z0-9]+)")&amp;".png"),1),"⚠️ link tidak dikenali"))</f>
        <v/>
      </c>
      <c r="AQ28" s="38">
        <f>IF($Z28="",0,IF(AND(OR('📊 Dashboard'!$B$4="(Semua)",$F28='📊 Dashboard'!$B$4),OR('📊 Dashboard'!$B$5="(Semua)",$H28='📊 Dashboard'!$B$5),OR('📊 Dashboard'!$B$6="(Semua)",$E28='📊 Dashboard'!$B$6),OR('📊 Dashboard'!$B$7="(Semua)",$AF28='📊 Dashboard'!$B$7),OR('📊 Dashboard'!$B$8="(Semua)",$AG28='📊 Dashboard'!$B$8),OR('📊 Dashboard'!$B$9="(Semua)",$K28='📊 Dashboard'!$B$9)),1,0))</f>
        <v/>
      </c>
    </row>
    <row r="29" ht="58" customHeight="1">
      <c r="A29" s="30">
        <f>IF($B29="","",ROW()-2)</f>
        <v/>
      </c>
      <c r="B29" s="31" t="n"/>
      <c r="C29" s="32" t="n"/>
      <c r="D29" s="32" t="n"/>
      <c r="E29" s="30">
        <f>IF($C29="","",IF(AND($C29&gt;=TIME(14,0,0),$C29&lt;TIME(19,30,0)),"London",IF(AND($C29&gt;=TIME(19,30,0),$C29&lt;TIME(23,0,0)),"Overlap LDN+NY",IF(OR($C29&gt;=TIME(23,0,0),$C29&lt;TIME(4,0,0)),"New York","Asia"))))</f>
        <v/>
      </c>
      <c r="F29" s="33" t="n"/>
      <c r="G29" s="33" t="n"/>
      <c r="H29" s="33" t="n"/>
      <c r="I29" s="33" t="n"/>
      <c r="J29" s="33" t="n"/>
      <c r="K29" s="33" t="n"/>
      <c r="L29" s="33" t="n"/>
      <c r="M29" s="33" t="n"/>
      <c r="N29" s="34" t="n"/>
      <c r="O29" s="34" t="n"/>
      <c r="P29" s="34" t="n"/>
      <c r="Q29" s="34" t="n"/>
      <c r="R29" s="35">
        <f>IFERROR(IF(OR($N29="",$O29="",$F29=""),"",ROUND(('⚙️ Setelan'!$B$3*'⚙️ Setelan'!$B$4/100)/(ABS($N29-$O29)*VLOOKUP($F29,'⚙️ Setelan'!$A$14:$F$20,4,FALSE)),2)),"")</f>
        <v/>
      </c>
      <c r="S29" s="36" t="n"/>
      <c r="T29" s="37">
        <f>IFERROR(IF(OR($N29="",$O29="",$S29=""),"",ABS($N29-$O29)*$S29*VLOOKUP($F29,'⚙️ Setelan'!$A$14:$F$20,4,FALSE)),"")</f>
        <v/>
      </c>
      <c r="U29" s="35">
        <f>IFERROR(IF(OR($N29="",$O29="",$P29=""),"",ROUND(ABS($P29-$N29)/ABS($N29-$O29),2)),"")</f>
        <v/>
      </c>
      <c r="V29" s="37">
        <f>IFERROR(IF(OR($Q29="",$N29="",$S29=""),"",($Q29-$N29)*IF($G29="Buy",1,-1)*$S29*VLOOKUP($F29,'⚙️ Setelan'!$A$14:$F$20,4,FALSE)),"")</f>
        <v/>
      </c>
      <c r="W29" s="37">
        <f>IFERROR(IF(OR($S29="",$F29=""),"",$S29*VLOOKUP($F29,'⚙️ Setelan'!$A$14:$F$20,5,FALSE)),"")</f>
        <v/>
      </c>
      <c r="X29" s="37">
        <f>IF($V29="","",$V29-IF($W29="",0,$W29))</f>
        <v/>
      </c>
      <c r="Y29" s="35">
        <f>IF(OR($X29="",$T29="",$T29=0),"",ROUND($X29/$T29,2))</f>
        <v/>
      </c>
      <c r="Z29" s="30">
        <f>IF($X29="","",IF($X29&gt;0,"Win",IF($X29&lt;0,"Loss","BE")))</f>
        <v/>
      </c>
      <c r="AA29" s="38">
        <f>IF(OR($C29="",$D29=""),"",ROUND(MOD($D29-$C29,1)*1440,0))</f>
        <v/>
      </c>
      <c r="AB29" s="34" t="n"/>
      <c r="AC29" s="34" t="n"/>
      <c r="AD29" s="35">
        <f>IFERROR(IF(OR($AB29="",$T29="",$T29=0),"",ROUND(ABS($N29-$AB29)*$S29*VLOOKUP($F29,'⚙️ Setelan'!$A$14:$F$20,4,FALSE)/$T29,2)),"")</f>
        <v/>
      </c>
      <c r="AE29" s="35">
        <f>IFERROR(IF(OR($AC29="",$T29="",$T29=0),"",ROUND(ABS($AC29-$N29)*$S29*VLOOKUP($F29,'⚙️ Setelan'!$A$14:$F$20,4,FALSE)/$T29,2)),"")</f>
        <v/>
      </c>
      <c r="AF29" s="33" t="n"/>
      <c r="AG29" s="33" t="n"/>
      <c r="AH29" s="33" t="n"/>
      <c r="AI29" s="33" t="n"/>
      <c r="AJ29" s="33" t="n"/>
      <c r="AK29" s="39" t="n"/>
      <c r="AL29" s="30">
        <f>IF(OR($C29="",$B29=""),"",IF(AND($Z28="Loss",$B29=$B28,MOD($C29-$D28,1)*1440&lt;'⚙️ Setelan'!$B$9),"⚠️ Revenge",""))</f>
        <v/>
      </c>
      <c r="AM29" s="40" t="n"/>
      <c r="AN29" s="30">
        <f>IF($AM29="","",IFERROR(IMAGE(IF(REGEXMATCH($AM29,"\.(png|jpg|jpeg|gif)$"),$AM29,"https://s3.tradingview.com/snapshots/"&amp;LOWER(MID(REGEXEXTRACT($AM29,"/x/([A-Za-z0-9]+)"),1,1))&amp;"/"&amp;REGEXEXTRACT($AM29,"/x/([A-Za-z0-9]+)")&amp;".png"),1),"⚠️ link tidak dikenali"))</f>
        <v/>
      </c>
      <c r="AO29" s="40" t="n"/>
      <c r="AP29" s="30">
        <f>IF($AO29="","",IFERROR(IMAGE(IF(REGEXMATCH($AO29,"\.(png|jpg|jpeg|gif)$"),$AO29,"https://s3.tradingview.com/snapshots/"&amp;LOWER(MID(REGEXEXTRACT($AO29,"/x/([A-Za-z0-9]+)"),1,1))&amp;"/"&amp;REGEXEXTRACT($AO29,"/x/([A-Za-z0-9]+)")&amp;".png"),1),"⚠️ link tidak dikenali"))</f>
        <v/>
      </c>
      <c r="AQ29" s="38">
        <f>IF($Z29="",0,IF(AND(OR('📊 Dashboard'!$B$4="(Semua)",$F29='📊 Dashboard'!$B$4),OR('📊 Dashboard'!$B$5="(Semua)",$H29='📊 Dashboard'!$B$5),OR('📊 Dashboard'!$B$6="(Semua)",$E29='📊 Dashboard'!$B$6),OR('📊 Dashboard'!$B$7="(Semua)",$AF29='📊 Dashboard'!$B$7),OR('📊 Dashboard'!$B$8="(Semua)",$AG29='📊 Dashboard'!$B$8),OR('📊 Dashboard'!$B$9="(Semua)",$K29='📊 Dashboard'!$B$9)),1,0))</f>
        <v/>
      </c>
    </row>
    <row r="30" ht="58" customHeight="1">
      <c r="A30" s="30">
        <f>IF($B30="","",ROW()-2)</f>
        <v/>
      </c>
      <c r="B30" s="31" t="n"/>
      <c r="C30" s="32" t="n"/>
      <c r="D30" s="32" t="n"/>
      <c r="E30" s="30">
        <f>IF($C30="","",IF(AND($C30&gt;=TIME(14,0,0),$C30&lt;TIME(19,30,0)),"London",IF(AND($C30&gt;=TIME(19,30,0),$C30&lt;TIME(23,0,0)),"Overlap LDN+NY",IF(OR($C30&gt;=TIME(23,0,0),$C30&lt;TIME(4,0,0)),"New York","Asia"))))</f>
        <v/>
      </c>
      <c r="F30" s="33" t="n"/>
      <c r="G30" s="33" t="n"/>
      <c r="H30" s="33" t="n"/>
      <c r="I30" s="33" t="n"/>
      <c r="J30" s="33" t="n"/>
      <c r="K30" s="33" t="n"/>
      <c r="L30" s="33" t="n"/>
      <c r="M30" s="33" t="n"/>
      <c r="N30" s="34" t="n"/>
      <c r="O30" s="34" t="n"/>
      <c r="P30" s="34" t="n"/>
      <c r="Q30" s="34" t="n"/>
      <c r="R30" s="35">
        <f>IFERROR(IF(OR($N30="",$O30="",$F30=""),"",ROUND(('⚙️ Setelan'!$B$3*'⚙️ Setelan'!$B$4/100)/(ABS($N30-$O30)*VLOOKUP($F30,'⚙️ Setelan'!$A$14:$F$20,4,FALSE)),2)),"")</f>
        <v/>
      </c>
      <c r="S30" s="36" t="n"/>
      <c r="T30" s="37">
        <f>IFERROR(IF(OR($N30="",$O30="",$S30=""),"",ABS($N30-$O30)*$S30*VLOOKUP($F30,'⚙️ Setelan'!$A$14:$F$20,4,FALSE)),"")</f>
        <v/>
      </c>
      <c r="U30" s="35">
        <f>IFERROR(IF(OR($N30="",$O30="",$P30=""),"",ROUND(ABS($P30-$N30)/ABS($N30-$O30),2)),"")</f>
        <v/>
      </c>
      <c r="V30" s="37">
        <f>IFERROR(IF(OR($Q30="",$N30="",$S30=""),"",($Q30-$N30)*IF($G30="Buy",1,-1)*$S30*VLOOKUP($F30,'⚙️ Setelan'!$A$14:$F$20,4,FALSE)),"")</f>
        <v/>
      </c>
      <c r="W30" s="37">
        <f>IFERROR(IF(OR($S30="",$F30=""),"",$S30*VLOOKUP($F30,'⚙️ Setelan'!$A$14:$F$20,5,FALSE)),"")</f>
        <v/>
      </c>
      <c r="X30" s="37">
        <f>IF($V30="","",$V30-IF($W30="",0,$W30))</f>
        <v/>
      </c>
      <c r="Y30" s="35">
        <f>IF(OR($X30="",$T30="",$T30=0),"",ROUND($X30/$T30,2))</f>
        <v/>
      </c>
      <c r="Z30" s="30">
        <f>IF($X30="","",IF($X30&gt;0,"Win",IF($X30&lt;0,"Loss","BE")))</f>
        <v/>
      </c>
      <c r="AA30" s="38">
        <f>IF(OR($C30="",$D30=""),"",ROUND(MOD($D30-$C30,1)*1440,0))</f>
        <v/>
      </c>
      <c r="AB30" s="34" t="n"/>
      <c r="AC30" s="34" t="n"/>
      <c r="AD30" s="35">
        <f>IFERROR(IF(OR($AB30="",$T30="",$T30=0),"",ROUND(ABS($N30-$AB30)*$S30*VLOOKUP($F30,'⚙️ Setelan'!$A$14:$F$20,4,FALSE)/$T30,2)),"")</f>
        <v/>
      </c>
      <c r="AE30" s="35">
        <f>IFERROR(IF(OR($AC30="",$T30="",$T30=0),"",ROUND(ABS($AC30-$N30)*$S30*VLOOKUP($F30,'⚙️ Setelan'!$A$14:$F$20,4,FALSE)/$T30,2)),"")</f>
        <v/>
      </c>
      <c r="AF30" s="33" t="n"/>
      <c r="AG30" s="33" t="n"/>
      <c r="AH30" s="33" t="n"/>
      <c r="AI30" s="33" t="n"/>
      <c r="AJ30" s="33" t="n"/>
      <c r="AK30" s="39" t="n"/>
      <c r="AL30" s="30">
        <f>IF(OR($C30="",$B30=""),"",IF(AND($Z29="Loss",$B30=$B29,MOD($C30-$D29,1)*1440&lt;'⚙️ Setelan'!$B$9),"⚠️ Revenge",""))</f>
        <v/>
      </c>
      <c r="AM30" s="40" t="n"/>
      <c r="AN30" s="30">
        <f>IF($AM30="","",IFERROR(IMAGE(IF(REGEXMATCH($AM30,"\.(png|jpg|jpeg|gif)$"),$AM30,"https://s3.tradingview.com/snapshots/"&amp;LOWER(MID(REGEXEXTRACT($AM30,"/x/([A-Za-z0-9]+)"),1,1))&amp;"/"&amp;REGEXEXTRACT($AM30,"/x/([A-Za-z0-9]+)")&amp;".png"),1),"⚠️ link tidak dikenali"))</f>
        <v/>
      </c>
      <c r="AO30" s="40" t="n"/>
      <c r="AP30" s="30">
        <f>IF($AO30="","",IFERROR(IMAGE(IF(REGEXMATCH($AO30,"\.(png|jpg|jpeg|gif)$"),$AO30,"https://s3.tradingview.com/snapshots/"&amp;LOWER(MID(REGEXEXTRACT($AO30,"/x/([A-Za-z0-9]+)"),1,1))&amp;"/"&amp;REGEXEXTRACT($AO30,"/x/([A-Za-z0-9]+)")&amp;".png"),1),"⚠️ link tidak dikenali"))</f>
        <v/>
      </c>
      <c r="AQ30" s="38">
        <f>IF($Z30="",0,IF(AND(OR('📊 Dashboard'!$B$4="(Semua)",$F30='📊 Dashboard'!$B$4),OR('📊 Dashboard'!$B$5="(Semua)",$H30='📊 Dashboard'!$B$5),OR('📊 Dashboard'!$B$6="(Semua)",$E30='📊 Dashboard'!$B$6),OR('📊 Dashboard'!$B$7="(Semua)",$AF30='📊 Dashboard'!$B$7),OR('📊 Dashboard'!$B$8="(Semua)",$AG30='📊 Dashboard'!$B$8),OR('📊 Dashboard'!$B$9="(Semua)",$K30='📊 Dashboard'!$B$9)),1,0))</f>
        <v/>
      </c>
    </row>
    <row r="31" ht="58" customHeight="1">
      <c r="A31" s="30">
        <f>IF($B31="","",ROW()-2)</f>
        <v/>
      </c>
      <c r="B31" s="31" t="n"/>
      <c r="C31" s="32" t="n"/>
      <c r="D31" s="32" t="n"/>
      <c r="E31" s="30">
        <f>IF($C31="","",IF(AND($C31&gt;=TIME(14,0,0),$C31&lt;TIME(19,30,0)),"London",IF(AND($C31&gt;=TIME(19,30,0),$C31&lt;TIME(23,0,0)),"Overlap LDN+NY",IF(OR($C31&gt;=TIME(23,0,0),$C31&lt;TIME(4,0,0)),"New York","Asia"))))</f>
        <v/>
      </c>
      <c r="F31" s="33" t="n"/>
      <c r="G31" s="33" t="n"/>
      <c r="H31" s="33" t="n"/>
      <c r="I31" s="33" t="n"/>
      <c r="J31" s="33" t="n"/>
      <c r="K31" s="33" t="n"/>
      <c r="L31" s="33" t="n"/>
      <c r="M31" s="33" t="n"/>
      <c r="N31" s="34" t="n"/>
      <c r="O31" s="34" t="n"/>
      <c r="P31" s="34" t="n"/>
      <c r="Q31" s="34" t="n"/>
      <c r="R31" s="35">
        <f>IFERROR(IF(OR($N31="",$O31="",$F31=""),"",ROUND(('⚙️ Setelan'!$B$3*'⚙️ Setelan'!$B$4/100)/(ABS($N31-$O31)*VLOOKUP($F31,'⚙️ Setelan'!$A$14:$F$20,4,FALSE)),2)),"")</f>
        <v/>
      </c>
      <c r="S31" s="36" t="n"/>
      <c r="T31" s="37">
        <f>IFERROR(IF(OR($N31="",$O31="",$S31=""),"",ABS($N31-$O31)*$S31*VLOOKUP($F31,'⚙️ Setelan'!$A$14:$F$20,4,FALSE)),"")</f>
        <v/>
      </c>
      <c r="U31" s="35">
        <f>IFERROR(IF(OR($N31="",$O31="",$P31=""),"",ROUND(ABS($P31-$N31)/ABS($N31-$O31),2)),"")</f>
        <v/>
      </c>
      <c r="V31" s="37">
        <f>IFERROR(IF(OR($Q31="",$N31="",$S31=""),"",($Q31-$N31)*IF($G31="Buy",1,-1)*$S31*VLOOKUP($F31,'⚙️ Setelan'!$A$14:$F$20,4,FALSE)),"")</f>
        <v/>
      </c>
      <c r="W31" s="37">
        <f>IFERROR(IF(OR($S31="",$F31=""),"",$S31*VLOOKUP($F31,'⚙️ Setelan'!$A$14:$F$20,5,FALSE)),"")</f>
        <v/>
      </c>
      <c r="X31" s="37">
        <f>IF($V31="","",$V31-IF($W31="",0,$W31))</f>
        <v/>
      </c>
      <c r="Y31" s="35">
        <f>IF(OR($X31="",$T31="",$T31=0),"",ROUND($X31/$T31,2))</f>
        <v/>
      </c>
      <c r="Z31" s="30">
        <f>IF($X31="","",IF($X31&gt;0,"Win",IF($X31&lt;0,"Loss","BE")))</f>
        <v/>
      </c>
      <c r="AA31" s="38">
        <f>IF(OR($C31="",$D31=""),"",ROUND(MOD($D31-$C31,1)*1440,0))</f>
        <v/>
      </c>
      <c r="AB31" s="34" t="n"/>
      <c r="AC31" s="34" t="n"/>
      <c r="AD31" s="35">
        <f>IFERROR(IF(OR($AB31="",$T31="",$T31=0),"",ROUND(ABS($N31-$AB31)*$S31*VLOOKUP($F31,'⚙️ Setelan'!$A$14:$F$20,4,FALSE)/$T31,2)),"")</f>
        <v/>
      </c>
      <c r="AE31" s="35">
        <f>IFERROR(IF(OR($AC31="",$T31="",$T31=0),"",ROUND(ABS($AC31-$N31)*$S31*VLOOKUP($F31,'⚙️ Setelan'!$A$14:$F$20,4,FALSE)/$T31,2)),"")</f>
        <v/>
      </c>
      <c r="AF31" s="33" t="n"/>
      <c r="AG31" s="33" t="n"/>
      <c r="AH31" s="33" t="n"/>
      <c r="AI31" s="33" t="n"/>
      <c r="AJ31" s="33" t="n"/>
      <c r="AK31" s="39" t="n"/>
      <c r="AL31" s="30">
        <f>IF(OR($C31="",$B31=""),"",IF(AND($Z30="Loss",$B31=$B30,MOD($C31-$D30,1)*1440&lt;'⚙️ Setelan'!$B$9),"⚠️ Revenge",""))</f>
        <v/>
      </c>
      <c r="AM31" s="40" t="n"/>
      <c r="AN31" s="30">
        <f>IF($AM31="","",IFERROR(IMAGE(IF(REGEXMATCH($AM31,"\.(png|jpg|jpeg|gif)$"),$AM31,"https://s3.tradingview.com/snapshots/"&amp;LOWER(MID(REGEXEXTRACT($AM31,"/x/([A-Za-z0-9]+)"),1,1))&amp;"/"&amp;REGEXEXTRACT($AM31,"/x/([A-Za-z0-9]+)")&amp;".png"),1),"⚠️ link tidak dikenali"))</f>
        <v/>
      </c>
      <c r="AO31" s="40" t="n"/>
      <c r="AP31" s="30">
        <f>IF($AO31="","",IFERROR(IMAGE(IF(REGEXMATCH($AO31,"\.(png|jpg|jpeg|gif)$"),$AO31,"https://s3.tradingview.com/snapshots/"&amp;LOWER(MID(REGEXEXTRACT($AO31,"/x/([A-Za-z0-9]+)"),1,1))&amp;"/"&amp;REGEXEXTRACT($AO31,"/x/([A-Za-z0-9]+)")&amp;".png"),1),"⚠️ link tidak dikenali"))</f>
        <v/>
      </c>
      <c r="AQ31" s="38">
        <f>IF($Z31="",0,IF(AND(OR('📊 Dashboard'!$B$4="(Semua)",$F31='📊 Dashboard'!$B$4),OR('📊 Dashboard'!$B$5="(Semua)",$H31='📊 Dashboard'!$B$5),OR('📊 Dashboard'!$B$6="(Semua)",$E31='📊 Dashboard'!$B$6),OR('📊 Dashboard'!$B$7="(Semua)",$AF31='📊 Dashboard'!$B$7),OR('📊 Dashboard'!$B$8="(Semua)",$AG31='📊 Dashboard'!$B$8),OR('📊 Dashboard'!$B$9="(Semua)",$K31='📊 Dashboard'!$B$9)),1,0))</f>
        <v/>
      </c>
    </row>
    <row r="32" ht="58" customHeight="1">
      <c r="A32" s="30">
        <f>IF($B32="","",ROW()-2)</f>
        <v/>
      </c>
      <c r="B32" s="31" t="n"/>
      <c r="C32" s="32" t="n"/>
      <c r="D32" s="32" t="n"/>
      <c r="E32" s="30">
        <f>IF($C32="","",IF(AND($C32&gt;=TIME(14,0,0),$C32&lt;TIME(19,30,0)),"London",IF(AND($C32&gt;=TIME(19,30,0),$C32&lt;TIME(23,0,0)),"Overlap LDN+NY",IF(OR($C32&gt;=TIME(23,0,0),$C32&lt;TIME(4,0,0)),"New York","Asia"))))</f>
        <v/>
      </c>
      <c r="F32" s="33" t="n"/>
      <c r="G32" s="33" t="n"/>
      <c r="H32" s="33" t="n"/>
      <c r="I32" s="33" t="n"/>
      <c r="J32" s="33" t="n"/>
      <c r="K32" s="33" t="n"/>
      <c r="L32" s="33" t="n"/>
      <c r="M32" s="33" t="n"/>
      <c r="N32" s="34" t="n"/>
      <c r="O32" s="34" t="n"/>
      <c r="P32" s="34" t="n"/>
      <c r="Q32" s="34" t="n"/>
      <c r="R32" s="35">
        <f>IFERROR(IF(OR($N32="",$O32="",$F32=""),"",ROUND(('⚙️ Setelan'!$B$3*'⚙️ Setelan'!$B$4/100)/(ABS($N32-$O32)*VLOOKUP($F32,'⚙️ Setelan'!$A$14:$F$20,4,FALSE)),2)),"")</f>
        <v/>
      </c>
      <c r="S32" s="36" t="n"/>
      <c r="T32" s="37">
        <f>IFERROR(IF(OR($N32="",$O32="",$S32=""),"",ABS($N32-$O32)*$S32*VLOOKUP($F32,'⚙️ Setelan'!$A$14:$F$20,4,FALSE)),"")</f>
        <v/>
      </c>
      <c r="U32" s="35">
        <f>IFERROR(IF(OR($N32="",$O32="",$P32=""),"",ROUND(ABS($P32-$N32)/ABS($N32-$O32),2)),"")</f>
        <v/>
      </c>
      <c r="V32" s="37">
        <f>IFERROR(IF(OR($Q32="",$N32="",$S32=""),"",($Q32-$N32)*IF($G32="Buy",1,-1)*$S32*VLOOKUP($F32,'⚙️ Setelan'!$A$14:$F$20,4,FALSE)),"")</f>
        <v/>
      </c>
      <c r="W32" s="37">
        <f>IFERROR(IF(OR($S32="",$F32=""),"",$S32*VLOOKUP($F32,'⚙️ Setelan'!$A$14:$F$20,5,FALSE)),"")</f>
        <v/>
      </c>
      <c r="X32" s="37">
        <f>IF($V32="","",$V32-IF($W32="",0,$W32))</f>
        <v/>
      </c>
      <c r="Y32" s="35">
        <f>IF(OR($X32="",$T32="",$T32=0),"",ROUND($X32/$T32,2))</f>
        <v/>
      </c>
      <c r="Z32" s="30">
        <f>IF($X32="","",IF($X32&gt;0,"Win",IF($X32&lt;0,"Loss","BE")))</f>
        <v/>
      </c>
      <c r="AA32" s="38">
        <f>IF(OR($C32="",$D32=""),"",ROUND(MOD($D32-$C32,1)*1440,0))</f>
        <v/>
      </c>
      <c r="AB32" s="34" t="n"/>
      <c r="AC32" s="34" t="n"/>
      <c r="AD32" s="35">
        <f>IFERROR(IF(OR($AB32="",$T32="",$T32=0),"",ROUND(ABS($N32-$AB32)*$S32*VLOOKUP($F32,'⚙️ Setelan'!$A$14:$F$20,4,FALSE)/$T32,2)),"")</f>
        <v/>
      </c>
      <c r="AE32" s="35">
        <f>IFERROR(IF(OR($AC32="",$T32="",$T32=0),"",ROUND(ABS($AC32-$N32)*$S32*VLOOKUP($F32,'⚙️ Setelan'!$A$14:$F$20,4,FALSE)/$T32,2)),"")</f>
        <v/>
      </c>
      <c r="AF32" s="33" t="n"/>
      <c r="AG32" s="33" t="n"/>
      <c r="AH32" s="33" t="n"/>
      <c r="AI32" s="33" t="n"/>
      <c r="AJ32" s="33" t="n"/>
      <c r="AK32" s="39" t="n"/>
      <c r="AL32" s="30">
        <f>IF(OR($C32="",$B32=""),"",IF(AND($Z31="Loss",$B32=$B31,MOD($C32-$D31,1)*1440&lt;'⚙️ Setelan'!$B$9),"⚠️ Revenge",""))</f>
        <v/>
      </c>
      <c r="AM32" s="40" t="n"/>
      <c r="AN32" s="30">
        <f>IF($AM32="","",IFERROR(IMAGE(IF(REGEXMATCH($AM32,"\.(png|jpg|jpeg|gif)$"),$AM32,"https://s3.tradingview.com/snapshots/"&amp;LOWER(MID(REGEXEXTRACT($AM32,"/x/([A-Za-z0-9]+)"),1,1))&amp;"/"&amp;REGEXEXTRACT($AM32,"/x/([A-Za-z0-9]+)")&amp;".png"),1),"⚠️ link tidak dikenali"))</f>
        <v/>
      </c>
      <c r="AO32" s="40" t="n"/>
      <c r="AP32" s="30">
        <f>IF($AO32="","",IFERROR(IMAGE(IF(REGEXMATCH($AO32,"\.(png|jpg|jpeg|gif)$"),$AO32,"https://s3.tradingview.com/snapshots/"&amp;LOWER(MID(REGEXEXTRACT($AO32,"/x/([A-Za-z0-9]+)"),1,1))&amp;"/"&amp;REGEXEXTRACT($AO32,"/x/([A-Za-z0-9]+)")&amp;".png"),1),"⚠️ link tidak dikenali"))</f>
        <v/>
      </c>
      <c r="AQ32" s="38">
        <f>IF($Z32="",0,IF(AND(OR('📊 Dashboard'!$B$4="(Semua)",$F32='📊 Dashboard'!$B$4),OR('📊 Dashboard'!$B$5="(Semua)",$H32='📊 Dashboard'!$B$5),OR('📊 Dashboard'!$B$6="(Semua)",$E32='📊 Dashboard'!$B$6),OR('📊 Dashboard'!$B$7="(Semua)",$AF32='📊 Dashboard'!$B$7),OR('📊 Dashboard'!$B$8="(Semua)",$AG32='📊 Dashboard'!$B$8),OR('📊 Dashboard'!$B$9="(Semua)",$K32='📊 Dashboard'!$B$9)),1,0))</f>
        <v/>
      </c>
    </row>
    <row r="33" ht="58" customHeight="1">
      <c r="A33" s="30">
        <f>IF($B33="","",ROW()-2)</f>
        <v/>
      </c>
      <c r="B33" s="31" t="n"/>
      <c r="C33" s="32" t="n"/>
      <c r="D33" s="32" t="n"/>
      <c r="E33" s="30">
        <f>IF($C33="","",IF(AND($C33&gt;=TIME(14,0,0),$C33&lt;TIME(19,30,0)),"London",IF(AND($C33&gt;=TIME(19,30,0),$C33&lt;TIME(23,0,0)),"Overlap LDN+NY",IF(OR($C33&gt;=TIME(23,0,0),$C33&lt;TIME(4,0,0)),"New York","Asia"))))</f>
        <v/>
      </c>
      <c r="F33" s="33" t="n"/>
      <c r="G33" s="33" t="n"/>
      <c r="H33" s="33" t="n"/>
      <c r="I33" s="33" t="n"/>
      <c r="J33" s="33" t="n"/>
      <c r="K33" s="33" t="n"/>
      <c r="L33" s="33" t="n"/>
      <c r="M33" s="33" t="n"/>
      <c r="N33" s="34" t="n"/>
      <c r="O33" s="34" t="n"/>
      <c r="P33" s="34" t="n"/>
      <c r="Q33" s="34" t="n"/>
      <c r="R33" s="35">
        <f>IFERROR(IF(OR($N33="",$O33="",$F33=""),"",ROUND(('⚙️ Setelan'!$B$3*'⚙️ Setelan'!$B$4/100)/(ABS($N33-$O33)*VLOOKUP($F33,'⚙️ Setelan'!$A$14:$F$20,4,FALSE)),2)),"")</f>
        <v/>
      </c>
      <c r="S33" s="36" t="n"/>
      <c r="T33" s="37">
        <f>IFERROR(IF(OR($N33="",$O33="",$S33=""),"",ABS($N33-$O33)*$S33*VLOOKUP($F33,'⚙️ Setelan'!$A$14:$F$20,4,FALSE)),"")</f>
        <v/>
      </c>
      <c r="U33" s="35">
        <f>IFERROR(IF(OR($N33="",$O33="",$P33=""),"",ROUND(ABS($P33-$N33)/ABS($N33-$O33),2)),"")</f>
        <v/>
      </c>
      <c r="V33" s="37">
        <f>IFERROR(IF(OR($Q33="",$N33="",$S33=""),"",($Q33-$N33)*IF($G33="Buy",1,-1)*$S33*VLOOKUP($F33,'⚙️ Setelan'!$A$14:$F$20,4,FALSE)),"")</f>
        <v/>
      </c>
      <c r="W33" s="37">
        <f>IFERROR(IF(OR($S33="",$F33=""),"",$S33*VLOOKUP($F33,'⚙️ Setelan'!$A$14:$F$20,5,FALSE)),"")</f>
        <v/>
      </c>
      <c r="X33" s="37">
        <f>IF($V33="","",$V33-IF($W33="",0,$W33))</f>
        <v/>
      </c>
      <c r="Y33" s="35">
        <f>IF(OR($X33="",$T33="",$T33=0),"",ROUND($X33/$T33,2))</f>
        <v/>
      </c>
      <c r="Z33" s="30">
        <f>IF($X33="","",IF($X33&gt;0,"Win",IF($X33&lt;0,"Loss","BE")))</f>
        <v/>
      </c>
      <c r="AA33" s="38">
        <f>IF(OR($C33="",$D33=""),"",ROUND(MOD($D33-$C33,1)*1440,0))</f>
        <v/>
      </c>
      <c r="AB33" s="34" t="n"/>
      <c r="AC33" s="34" t="n"/>
      <c r="AD33" s="35">
        <f>IFERROR(IF(OR($AB33="",$T33="",$T33=0),"",ROUND(ABS($N33-$AB33)*$S33*VLOOKUP($F33,'⚙️ Setelan'!$A$14:$F$20,4,FALSE)/$T33,2)),"")</f>
        <v/>
      </c>
      <c r="AE33" s="35">
        <f>IFERROR(IF(OR($AC33="",$T33="",$T33=0),"",ROUND(ABS($AC33-$N33)*$S33*VLOOKUP($F33,'⚙️ Setelan'!$A$14:$F$20,4,FALSE)/$T33,2)),"")</f>
        <v/>
      </c>
      <c r="AF33" s="33" t="n"/>
      <c r="AG33" s="33" t="n"/>
      <c r="AH33" s="33" t="n"/>
      <c r="AI33" s="33" t="n"/>
      <c r="AJ33" s="33" t="n"/>
      <c r="AK33" s="39" t="n"/>
      <c r="AL33" s="30">
        <f>IF(OR($C33="",$B33=""),"",IF(AND($Z32="Loss",$B33=$B32,MOD($C33-$D32,1)*1440&lt;'⚙️ Setelan'!$B$9),"⚠️ Revenge",""))</f>
        <v/>
      </c>
      <c r="AM33" s="40" t="n"/>
      <c r="AN33" s="30">
        <f>IF($AM33="","",IFERROR(IMAGE(IF(REGEXMATCH($AM33,"\.(png|jpg|jpeg|gif)$"),$AM33,"https://s3.tradingview.com/snapshots/"&amp;LOWER(MID(REGEXEXTRACT($AM33,"/x/([A-Za-z0-9]+)"),1,1))&amp;"/"&amp;REGEXEXTRACT($AM33,"/x/([A-Za-z0-9]+)")&amp;".png"),1),"⚠️ link tidak dikenali"))</f>
        <v/>
      </c>
      <c r="AO33" s="40" t="n"/>
      <c r="AP33" s="30">
        <f>IF($AO33="","",IFERROR(IMAGE(IF(REGEXMATCH($AO33,"\.(png|jpg|jpeg|gif)$"),$AO33,"https://s3.tradingview.com/snapshots/"&amp;LOWER(MID(REGEXEXTRACT($AO33,"/x/([A-Za-z0-9]+)"),1,1))&amp;"/"&amp;REGEXEXTRACT($AO33,"/x/([A-Za-z0-9]+)")&amp;".png"),1),"⚠️ link tidak dikenali"))</f>
        <v/>
      </c>
      <c r="AQ33" s="38">
        <f>IF($Z33="",0,IF(AND(OR('📊 Dashboard'!$B$4="(Semua)",$F33='📊 Dashboard'!$B$4),OR('📊 Dashboard'!$B$5="(Semua)",$H33='📊 Dashboard'!$B$5),OR('📊 Dashboard'!$B$6="(Semua)",$E33='📊 Dashboard'!$B$6),OR('📊 Dashboard'!$B$7="(Semua)",$AF33='📊 Dashboard'!$B$7),OR('📊 Dashboard'!$B$8="(Semua)",$AG33='📊 Dashboard'!$B$8),OR('📊 Dashboard'!$B$9="(Semua)",$K33='📊 Dashboard'!$B$9)),1,0))</f>
        <v/>
      </c>
    </row>
    <row r="34" ht="58" customHeight="1">
      <c r="A34" s="30">
        <f>IF($B34="","",ROW()-2)</f>
        <v/>
      </c>
      <c r="B34" s="31" t="n"/>
      <c r="C34" s="32" t="n"/>
      <c r="D34" s="32" t="n"/>
      <c r="E34" s="30">
        <f>IF($C34="","",IF(AND($C34&gt;=TIME(14,0,0),$C34&lt;TIME(19,30,0)),"London",IF(AND($C34&gt;=TIME(19,30,0),$C34&lt;TIME(23,0,0)),"Overlap LDN+NY",IF(OR($C34&gt;=TIME(23,0,0),$C34&lt;TIME(4,0,0)),"New York","Asia"))))</f>
        <v/>
      </c>
      <c r="F34" s="33" t="n"/>
      <c r="G34" s="33" t="n"/>
      <c r="H34" s="33" t="n"/>
      <c r="I34" s="33" t="n"/>
      <c r="J34" s="33" t="n"/>
      <c r="K34" s="33" t="n"/>
      <c r="L34" s="33" t="n"/>
      <c r="M34" s="33" t="n"/>
      <c r="N34" s="34" t="n"/>
      <c r="O34" s="34" t="n"/>
      <c r="P34" s="34" t="n"/>
      <c r="Q34" s="34" t="n"/>
      <c r="R34" s="35">
        <f>IFERROR(IF(OR($N34="",$O34="",$F34=""),"",ROUND(('⚙️ Setelan'!$B$3*'⚙️ Setelan'!$B$4/100)/(ABS($N34-$O34)*VLOOKUP($F34,'⚙️ Setelan'!$A$14:$F$20,4,FALSE)),2)),"")</f>
        <v/>
      </c>
      <c r="S34" s="36" t="n"/>
      <c r="T34" s="37">
        <f>IFERROR(IF(OR($N34="",$O34="",$S34=""),"",ABS($N34-$O34)*$S34*VLOOKUP($F34,'⚙️ Setelan'!$A$14:$F$20,4,FALSE)),"")</f>
        <v/>
      </c>
      <c r="U34" s="35">
        <f>IFERROR(IF(OR($N34="",$O34="",$P34=""),"",ROUND(ABS($P34-$N34)/ABS($N34-$O34),2)),"")</f>
        <v/>
      </c>
      <c r="V34" s="37">
        <f>IFERROR(IF(OR($Q34="",$N34="",$S34=""),"",($Q34-$N34)*IF($G34="Buy",1,-1)*$S34*VLOOKUP($F34,'⚙️ Setelan'!$A$14:$F$20,4,FALSE)),"")</f>
        <v/>
      </c>
      <c r="W34" s="37">
        <f>IFERROR(IF(OR($S34="",$F34=""),"",$S34*VLOOKUP($F34,'⚙️ Setelan'!$A$14:$F$20,5,FALSE)),"")</f>
        <v/>
      </c>
      <c r="X34" s="37">
        <f>IF($V34="","",$V34-IF($W34="",0,$W34))</f>
        <v/>
      </c>
      <c r="Y34" s="35">
        <f>IF(OR($X34="",$T34="",$T34=0),"",ROUND($X34/$T34,2))</f>
        <v/>
      </c>
      <c r="Z34" s="30">
        <f>IF($X34="","",IF($X34&gt;0,"Win",IF($X34&lt;0,"Loss","BE")))</f>
        <v/>
      </c>
      <c r="AA34" s="38">
        <f>IF(OR($C34="",$D34=""),"",ROUND(MOD($D34-$C34,1)*1440,0))</f>
        <v/>
      </c>
      <c r="AB34" s="34" t="n"/>
      <c r="AC34" s="34" t="n"/>
      <c r="AD34" s="35">
        <f>IFERROR(IF(OR($AB34="",$T34="",$T34=0),"",ROUND(ABS($N34-$AB34)*$S34*VLOOKUP($F34,'⚙️ Setelan'!$A$14:$F$20,4,FALSE)/$T34,2)),"")</f>
        <v/>
      </c>
      <c r="AE34" s="35">
        <f>IFERROR(IF(OR($AC34="",$T34="",$T34=0),"",ROUND(ABS($AC34-$N34)*$S34*VLOOKUP($F34,'⚙️ Setelan'!$A$14:$F$20,4,FALSE)/$T34,2)),"")</f>
        <v/>
      </c>
      <c r="AF34" s="33" t="n"/>
      <c r="AG34" s="33" t="n"/>
      <c r="AH34" s="33" t="n"/>
      <c r="AI34" s="33" t="n"/>
      <c r="AJ34" s="33" t="n"/>
      <c r="AK34" s="39" t="n"/>
      <c r="AL34" s="30">
        <f>IF(OR($C34="",$B34=""),"",IF(AND($Z33="Loss",$B34=$B33,MOD($C34-$D33,1)*1440&lt;'⚙️ Setelan'!$B$9),"⚠️ Revenge",""))</f>
        <v/>
      </c>
      <c r="AM34" s="40" t="n"/>
      <c r="AN34" s="30">
        <f>IF($AM34="","",IFERROR(IMAGE(IF(REGEXMATCH($AM34,"\.(png|jpg|jpeg|gif)$"),$AM34,"https://s3.tradingview.com/snapshots/"&amp;LOWER(MID(REGEXEXTRACT($AM34,"/x/([A-Za-z0-9]+)"),1,1))&amp;"/"&amp;REGEXEXTRACT($AM34,"/x/([A-Za-z0-9]+)")&amp;".png"),1),"⚠️ link tidak dikenali"))</f>
        <v/>
      </c>
      <c r="AO34" s="40" t="n"/>
      <c r="AP34" s="30">
        <f>IF($AO34="","",IFERROR(IMAGE(IF(REGEXMATCH($AO34,"\.(png|jpg|jpeg|gif)$"),$AO34,"https://s3.tradingview.com/snapshots/"&amp;LOWER(MID(REGEXEXTRACT($AO34,"/x/([A-Za-z0-9]+)"),1,1))&amp;"/"&amp;REGEXEXTRACT($AO34,"/x/([A-Za-z0-9]+)")&amp;".png"),1),"⚠️ link tidak dikenali"))</f>
        <v/>
      </c>
      <c r="AQ34" s="38">
        <f>IF($Z34="",0,IF(AND(OR('📊 Dashboard'!$B$4="(Semua)",$F34='📊 Dashboard'!$B$4),OR('📊 Dashboard'!$B$5="(Semua)",$H34='📊 Dashboard'!$B$5),OR('📊 Dashboard'!$B$6="(Semua)",$E34='📊 Dashboard'!$B$6),OR('📊 Dashboard'!$B$7="(Semua)",$AF34='📊 Dashboard'!$B$7),OR('📊 Dashboard'!$B$8="(Semua)",$AG34='📊 Dashboard'!$B$8),OR('📊 Dashboard'!$B$9="(Semua)",$K34='📊 Dashboard'!$B$9)),1,0))</f>
        <v/>
      </c>
    </row>
    <row r="35" ht="58" customHeight="1">
      <c r="A35" s="30">
        <f>IF($B35="","",ROW()-2)</f>
        <v/>
      </c>
      <c r="B35" s="31" t="n"/>
      <c r="C35" s="32" t="n"/>
      <c r="D35" s="32" t="n"/>
      <c r="E35" s="30">
        <f>IF($C35="","",IF(AND($C35&gt;=TIME(14,0,0),$C35&lt;TIME(19,30,0)),"London",IF(AND($C35&gt;=TIME(19,30,0),$C35&lt;TIME(23,0,0)),"Overlap LDN+NY",IF(OR($C35&gt;=TIME(23,0,0),$C35&lt;TIME(4,0,0)),"New York","Asia"))))</f>
        <v/>
      </c>
      <c r="F35" s="33" t="n"/>
      <c r="G35" s="33" t="n"/>
      <c r="H35" s="33" t="n"/>
      <c r="I35" s="33" t="n"/>
      <c r="J35" s="33" t="n"/>
      <c r="K35" s="33" t="n"/>
      <c r="L35" s="33" t="n"/>
      <c r="M35" s="33" t="n"/>
      <c r="N35" s="34" t="n"/>
      <c r="O35" s="34" t="n"/>
      <c r="P35" s="34" t="n"/>
      <c r="Q35" s="34" t="n"/>
      <c r="R35" s="35">
        <f>IFERROR(IF(OR($N35="",$O35="",$F35=""),"",ROUND(('⚙️ Setelan'!$B$3*'⚙️ Setelan'!$B$4/100)/(ABS($N35-$O35)*VLOOKUP($F35,'⚙️ Setelan'!$A$14:$F$20,4,FALSE)),2)),"")</f>
        <v/>
      </c>
      <c r="S35" s="36" t="n"/>
      <c r="T35" s="37">
        <f>IFERROR(IF(OR($N35="",$O35="",$S35=""),"",ABS($N35-$O35)*$S35*VLOOKUP($F35,'⚙️ Setelan'!$A$14:$F$20,4,FALSE)),"")</f>
        <v/>
      </c>
      <c r="U35" s="35">
        <f>IFERROR(IF(OR($N35="",$O35="",$P35=""),"",ROUND(ABS($P35-$N35)/ABS($N35-$O35),2)),"")</f>
        <v/>
      </c>
      <c r="V35" s="37">
        <f>IFERROR(IF(OR($Q35="",$N35="",$S35=""),"",($Q35-$N35)*IF($G35="Buy",1,-1)*$S35*VLOOKUP($F35,'⚙️ Setelan'!$A$14:$F$20,4,FALSE)),"")</f>
        <v/>
      </c>
      <c r="W35" s="37">
        <f>IFERROR(IF(OR($S35="",$F35=""),"",$S35*VLOOKUP($F35,'⚙️ Setelan'!$A$14:$F$20,5,FALSE)),"")</f>
        <v/>
      </c>
      <c r="X35" s="37">
        <f>IF($V35="","",$V35-IF($W35="",0,$W35))</f>
        <v/>
      </c>
      <c r="Y35" s="35">
        <f>IF(OR($X35="",$T35="",$T35=0),"",ROUND($X35/$T35,2))</f>
        <v/>
      </c>
      <c r="Z35" s="30">
        <f>IF($X35="","",IF($X35&gt;0,"Win",IF($X35&lt;0,"Loss","BE")))</f>
        <v/>
      </c>
      <c r="AA35" s="38">
        <f>IF(OR($C35="",$D35=""),"",ROUND(MOD($D35-$C35,1)*1440,0))</f>
        <v/>
      </c>
      <c r="AB35" s="34" t="n"/>
      <c r="AC35" s="34" t="n"/>
      <c r="AD35" s="35">
        <f>IFERROR(IF(OR($AB35="",$T35="",$T35=0),"",ROUND(ABS($N35-$AB35)*$S35*VLOOKUP($F35,'⚙️ Setelan'!$A$14:$F$20,4,FALSE)/$T35,2)),"")</f>
        <v/>
      </c>
      <c r="AE35" s="35">
        <f>IFERROR(IF(OR($AC35="",$T35="",$T35=0),"",ROUND(ABS($AC35-$N35)*$S35*VLOOKUP($F35,'⚙️ Setelan'!$A$14:$F$20,4,FALSE)/$T35,2)),"")</f>
        <v/>
      </c>
      <c r="AF35" s="33" t="n"/>
      <c r="AG35" s="33" t="n"/>
      <c r="AH35" s="33" t="n"/>
      <c r="AI35" s="33" t="n"/>
      <c r="AJ35" s="33" t="n"/>
      <c r="AK35" s="39" t="n"/>
      <c r="AL35" s="30">
        <f>IF(OR($C35="",$B35=""),"",IF(AND($Z34="Loss",$B35=$B34,MOD($C35-$D34,1)*1440&lt;'⚙️ Setelan'!$B$9),"⚠️ Revenge",""))</f>
        <v/>
      </c>
      <c r="AM35" s="40" t="n"/>
      <c r="AN35" s="30">
        <f>IF($AM35="","",IFERROR(IMAGE(IF(REGEXMATCH($AM35,"\.(png|jpg|jpeg|gif)$"),$AM35,"https://s3.tradingview.com/snapshots/"&amp;LOWER(MID(REGEXEXTRACT($AM35,"/x/([A-Za-z0-9]+)"),1,1))&amp;"/"&amp;REGEXEXTRACT($AM35,"/x/([A-Za-z0-9]+)")&amp;".png"),1),"⚠️ link tidak dikenali"))</f>
        <v/>
      </c>
      <c r="AO35" s="40" t="n"/>
      <c r="AP35" s="30">
        <f>IF($AO35="","",IFERROR(IMAGE(IF(REGEXMATCH($AO35,"\.(png|jpg|jpeg|gif)$"),$AO35,"https://s3.tradingview.com/snapshots/"&amp;LOWER(MID(REGEXEXTRACT($AO35,"/x/([A-Za-z0-9]+)"),1,1))&amp;"/"&amp;REGEXEXTRACT($AO35,"/x/([A-Za-z0-9]+)")&amp;".png"),1),"⚠️ link tidak dikenali"))</f>
        <v/>
      </c>
      <c r="AQ35" s="38">
        <f>IF($Z35="",0,IF(AND(OR('📊 Dashboard'!$B$4="(Semua)",$F35='📊 Dashboard'!$B$4),OR('📊 Dashboard'!$B$5="(Semua)",$H35='📊 Dashboard'!$B$5),OR('📊 Dashboard'!$B$6="(Semua)",$E35='📊 Dashboard'!$B$6),OR('📊 Dashboard'!$B$7="(Semua)",$AF35='📊 Dashboard'!$B$7),OR('📊 Dashboard'!$B$8="(Semua)",$AG35='📊 Dashboard'!$B$8),OR('📊 Dashboard'!$B$9="(Semua)",$K35='📊 Dashboard'!$B$9)),1,0))</f>
        <v/>
      </c>
    </row>
    <row r="36" ht="58" customHeight="1">
      <c r="A36" s="30">
        <f>IF($B36="","",ROW()-2)</f>
        <v/>
      </c>
      <c r="B36" s="31" t="n"/>
      <c r="C36" s="32" t="n"/>
      <c r="D36" s="32" t="n"/>
      <c r="E36" s="30">
        <f>IF($C36="","",IF(AND($C36&gt;=TIME(14,0,0),$C36&lt;TIME(19,30,0)),"London",IF(AND($C36&gt;=TIME(19,30,0),$C36&lt;TIME(23,0,0)),"Overlap LDN+NY",IF(OR($C36&gt;=TIME(23,0,0),$C36&lt;TIME(4,0,0)),"New York","Asia"))))</f>
        <v/>
      </c>
      <c r="F36" s="33" t="n"/>
      <c r="G36" s="33" t="n"/>
      <c r="H36" s="33" t="n"/>
      <c r="I36" s="33" t="n"/>
      <c r="J36" s="33" t="n"/>
      <c r="K36" s="33" t="n"/>
      <c r="L36" s="33" t="n"/>
      <c r="M36" s="33" t="n"/>
      <c r="N36" s="34" t="n"/>
      <c r="O36" s="34" t="n"/>
      <c r="P36" s="34" t="n"/>
      <c r="Q36" s="34" t="n"/>
      <c r="R36" s="35">
        <f>IFERROR(IF(OR($N36="",$O36="",$F36=""),"",ROUND(('⚙️ Setelan'!$B$3*'⚙️ Setelan'!$B$4/100)/(ABS($N36-$O36)*VLOOKUP($F36,'⚙️ Setelan'!$A$14:$F$20,4,FALSE)),2)),"")</f>
        <v/>
      </c>
      <c r="S36" s="36" t="n"/>
      <c r="T36" s="37">
        <f>IFERROR(IF(OR($N36="",$O36="",$S36=""),"",ABS($N36-$O36)*$S36*VLOOKUP($F36,'⚙️ Setelan'!$A$14:$F$20,4,FALSE)),"")</f>
        <v/>
      </c>
      <c r="U36" s="35">
        <f>IFERROR(IF(OR($N36="",$O36="",$P36=""),"",ROUND(ABS($P36-$N36)/ABS($N36-$O36),2)),"")</f>
        <v/>
      </c>
      <c r="V36" s="37">
        <f>IFERROR(IF(OR($Q36="",$N36="",$S36=""),"",($Q36-$N36)*IF($G36="Buy",1,-1)*$S36*VLOOKUP($F36,'⚙️ Setelan'!$A$14:$F$20,4,FALSE)),"")</f>
        <v/>
      </c>
      <c r="W36" s="37">
        <f>IFERROR(IF(OR($S36="",$F36=""),"",$S36*VLOOKUP($F36,'⚙️ Setelan'!$A$14:$F$20,5,FALSE)),"")</f>
        <v/>
      </c>
      <c r="X36" s="37">
        <f>IF($V36="","",$V36-IF($W36="",0,$W36))</f>
        <v/>
      </c>
      <c r="Y36" s="35">
        <f>IF(OR($X36="",$T36="",$T36=0),"",ROUND($X36/$T36,2))</f>
        <v/>
      </c>
      <c r="Z36" s="30">
        <f>IF($X36="","",IF($X36&gt;0,"Win",IF($X36&lt;0,"Loss","BE")))</f>
        <v/>
      </c>
      <c r="AA36" s="38">
        <f>IF(OR($C36="",$D36=""),"",ROUND(MOD($D36-$C36,1)*1440,0))</f>
        <v/>
      </c>
      <c r="AB36" s="34" t="n"/>
      <c r="AC36" s="34" t="n"/>
      <c r="AD36" s="35">
        <f>IFERROR(IF(OR($AB36="",$T36="",$T36=0),"",ROUND(ABS($N36-$AB36)*$S36*VLOOKUP($F36,'⚙️ Setelan'!$A$14:$F$20,4,FALSE)/$T36,2)),"")</f>
        <v/>
      </c>
      <c r="AE36" s="35">
        <f>IFERROR(IF(OR($AC36="",$T36="",$T36=0),"",ROUND(ABS($AC36-$N36)*$S36*VLOOKUP($F36,'⚙️ Setelan'!$A$14:$F$20,4,FALSE)/$T36,2)),"")</f>
        <v/>
      </c>
      <c r="AF36" s="33" t="n"/>
      <c r="AG36" s="33" t="n"/>
      <c r="AH36" s="33" t="n"/>
      <c r="AI36" s="33" t="n"/>
      <c r="AJ36" s="33" t="n"/>
      <c r="AK36" s="39" t="n"/>
      <c r="AL36" s="30">
        <f>IF(OR($C36="",$B36=""),"",IF(AND($Z35="Loss",$B36=$B35,MOD($C36-$D35,1)*1440&lt;'⚙️ Setelan'!$B$9),"⚠️ Revenge",""))</f>
        <v/>
      </c>
      <c r="AM36" s="40" t="n"/>
      <c r="AN36" s="30">
        <f>IF($AM36="","",IFERROR(IMAGE(IF(REGEXMATCH($AM36,"\.(png|jpg|jpeg|gif)$"),$AM36,"https://s3.tradingview.com/snapshots/"&amp;LOWER(MID(REGEXEXTRACT($AM36,"/x/([A-Za-z0-9]+)"),1,1))&amp;"/"&amp;REGEXEXTRACT($AM36,"/x/([A-Za-z0-9]+)")&amp;".png"),1),"⚠️ link tidak dikenali"))</f>
        <v/>
      </c>
      <c r="AO36" s="40" t="n"/>
      <c r="AP36" s="30">
        <f>IF($AO36="","",IFERROR(IMAGE(IF(REGEXMATCH($AO36,"\.(png|jpg|jpeg|gif)$"),$AO36,"https://s3.tradingview.com/snapshots/"&amp;LOWER(MID(REGEXEXTRACT($AO36,"/x/([A-Za-z0-9]+)"),1,1))&amp;"/"&amp;REGEXEXTRACT($AO36,"/x/([A-Za-z0-9]+)")&amp;".png"),1),"⚠️ link tidak dikenali"))</f>
        <v/>
      </c>
      <c r="AQ36" s="38">
        <f>IF($Z36="",0,IF(AND(OR('📊 Dashboard'!$B$4="(Semua)",$F36='📊 Dashboard'!$B$4),OR('📊 Dashboard'!$B$5="(Semua)",$H36='📊 Dashboard'!$B$5),OR('📊 Dashboard'!$B$6="(Semua)",$E36='📊 Dashboard'!$B$6),OR('📊 Dashboard'!$B$7="(Semua)",$AF36='📊 Dashboard'!$B$7),OR('📊 Dashboard'!$B$8="(Semua)",$AG36='📊 Dashboard'!$B$8),OR('📊 Dashboard'!$B$9="(Semua)",$K36='📊 Dashboard'!$B$9)),1,0))</f>
        <v/>
      </c>
    </row>
    <row r="37" ht="58" customHeight="1">
      <c r="A37" s="30">
        <f>IF($B37="","",ROW()-2)</f>
        <v/>
      </c>
      <c r="B37" s="31" t="n"/>
      <c r="C37" s="32" t="n"/>
      <c r="D37" s="32" t="n"/>
      <c r="E37" s="30">
        <f>IF($C37="","",IF(AND($C37&gt;=TIME(14,0,0),$C37&lt;TIME(19,30,0)),"London",IF(AND($C37&gt;=TIME(19,30,0),$C37&lt;TIME(23,0,0)),"Overlap LDN+NY",IF(OR($C37&gt;=TIME(23,0,0),$C37&lt;TIME(4,0,0)),"New York","Asia"))))</f>
        <v/>
      </c>
      <c r="F37" s="33" t="n"/>
      <c r="G37" s="33" t="n"/>
      <c r="H37" s="33" t="n"/>
      <c r="I37" s="33" t="n"/>
      <c r="J37" s="33" t="n"/>
      <c r="K37" s="33" t="n"/>
      <c r="L37" s="33" t="n"/>
      <c r="M37" s="33" t="n"/>
      <c r="N37" s="34" t="n"/>
      <c r="O37" s="34" t="n"/>
      <c r="P37" s="34" t="n"/>
      <c r="Q37" s="34" t="n"/>
      <c r="R37" s="35">
        <f>IFERROR(IF(OR($N37="",$O37="",$F37=""),"",ROUND(('⚙️ Setelan'!$B$3*'⚙️ Setelan'!$B$4/100)/(ABS($N37-$O37)*VLOOKUP($F37,'⚙️ Setelan'!$A$14:$F$20,4,FALSE)),2)),"")</f>
        <v/>
      </c>
      <c r="S37" s="36" t="n"/>
      <c r="T37" s="37">
        <f>IFERROR(IF(OR($N37="",$O37="",$S37=""),"",ABS($N37-$O37)*$S37*VLOOKUP($F37,'⚙️ Setelan'!$A$14:$F$20,4,FALSE)),"")</f>
        <v/>
      </c>
      <c r="U37" s="35">
        <f>IFERROR(IF(OR($N37="",$O37="",$P37=""),"",ROUND(ABS($P37-$N37)/ABS($N37-$O37),2)),"")</f>
        <v/>
      </c>
      <c r="V37" s="37">
        <f>IFERROR(IF(OR($Q37="",$N37="",$S37=""),"",($Q37-$N37)*IF($G37="Buy",1,-1)*$S37*VLOOKUP($F37,'⚙️ Setelan'!$A$14:$F$20,4,FALSE)),"")</f>
        <v/>
      </c>
      <c r="W37" s="37">
        <f>IFERROR(IF(OR($S37="",$F37=""),"",$S37*VLOOKUP($F37,'⚙️ Setelan'!$A$14:$F$20,5,FALSE)),"")</f>
        <v/>
      </c>
      <c r="X37" s="37">
        <f>IF($V37="","",$V37-IF($W37="",0,$W37))</f>
        <v/>
      </c>
      <c r="Y37" s="35">
        <f>IF(OR($X37="",$T37="",$T37=0),"",ROUND($X37/$T37,2))</f>
        <v/>
      </c>
      <c r="Z37" s="30">
        <f>IF($X37="","",IF($X37&gt;0,"Win",IF($X37&lt;0,"Loss","BE")))</f>
        <v/>
      </c>
      <c r="AA37" s="38">
        <f>IF(OR($C37="",$D37=""),"",ROUND(MOD($D37-$C37,1)*1440,0))</f>
        <v/>
      </c>
      <c r="AB37" s="34" t="n"/>
      <c r="AC37" s="34" t="n"/>
      <c r="AD37" s="35">
        <f>IFERROR(IF(OR($AB37="",$T37="",$T37=0),"",ROUND(ABS($N37-$AB37)*$S37*VLOOKUP($F37,'⚙️ Setelan'!$A$14:$F$20,4,FALSE)/$T37,2)),"")</f>
        <v/>
      </c>
      <c r="AE37" s="35">
        <f>IFERROR(IF(OR($AC37="",$T37="",$T37=0),"",ROUND(ABS($AC37-$N37)*$S37*VLOOKUP($F37,'⚙️ Setelan'!$A$14:$F$20,4,FALSE)/$T37,2)),"")</f>
        <v/>
      </c>
      <c r="AF37" s="33" t="n"/>
      <c r="AG37" s="33" t="n"/>
      <c r="AH37" s="33" t="n"/>
      <c r="AI37" s="33" t="n"/>
      <c r="AJ37" s="33" t="n"/>
      <c r="AK37" s="39" t="n"/>
      <c r="AL37" s="30">
        <f>IF(OR($C37="",$B37=""),"",IF(AND($Z36="Loss",$B37=$B36,MOD($C37-$D36,1)*1440&lt;'⚙️ Setelan'!$B$9),"⚠️ Revenge",""))</f>
        <v/>
      </c>
      <c r="AM37" s="40" t="n"/>
      <c r="AN37" s="30">
        <f>IF($AM37="","",IFERROR(IMAGE(IF(REGEXMATCH($AM37,"\.(png|jpg|jpeg|gif)$"),$AM37,"https://s3.tradingview.com/snapshots/"&amp;LOWER(MID(REGEXEXTRACT($AM37,"/x/([A-Za-z0-9]+)"),1,1))&amp;"/"&amp;REGEXEXTRACT($AM37,"/x/([A-Za-z0-9]+)")&amp;".png"),1),"⚠️ link tidak dikenali"))</f>
        <v/>
      </c>
      <c r="AO37" s="40" t="n"/>
      <c r="AP37" s="30">
        <f>IF($AO37="","",IFERROR(IMAGE(IF(REGEXMATCH($AO37,"\.(png|jpg|jpeg|gif)$"),$AO37,"https://s3.tradingview.com/snapshots/"&amp;LOWER(MID(REGEXEXTRACT($AO37,"/x/([A-Za-z0-9]+)"),1,1))&amp;"/"&amp;REGEXEXTRACT($AO37,"/x/([A-Za-z0-9]+)")&amp;".png"),1),"⚠️ link tidak dikenali"))</f>
        <v/>
      </c>
      <c r="AQ37" s="38">
        <f>IF($Z37="",0,IF(AND(OR('📊 Dashboard'!$B$4="(Semua)",$F37='📊 Dashboard'!$B$4),OR('📊 Dashboard'!$B$5="(Semua)",$H37='📊 Dashboard'!$B$5),OR('📊 Dashboard'!$B$6="(Semua)",$E37='📊 Dashboard'!$B$6),OR('📊 Dashboard'!$B$7="(Semua)",$AF37='📊 Dashboard'!$B$7),OR('📊 Dashboard'!$B$8="(Semua)",$AG37='📊 Dashboard'!$B$8),OR('📊 Dashboard'!$B$9="(Semua)",$K37='📊 Dashboard'!$B$9)),1,0))</f>
        <v/>
      </c>
    </row>
    <row r="38" ht="58" customHeight="1">
      <c r="A38" s="30">
        <f>IF($B38="","",ROW()-2)</f>
        <v/>
      </c>
      <c r="B38" s="31" t="n"/>
      <c r="C38" s="32" t="n"/>
      <c r="D38" s="32" t="n"/>
      <c r="E38" s="30">
        <f>IF($C38="","",IF(AND($C38&gt;=TIME(14,0,0),$C38&lt;TIME(19,30,0)),"London",IF(AND($C38&gt;=TIME(19,30,0),$C38&lt;TIME(23,0,0)),"Overlap LDN+NY",IF(OR($C38&gt;=TIME(23,0,0),$C38&lt;TIME(4,0,0)),"New York","Asia"))))</f>
        <v/>
      </c>
      <c r="F38" s="33" t="n"/>
      <c r="G38" s="33" t="n"/>
      <c r="H38" s="33" t="n"/>
      <c r="I38" s="33" t="n"/>
      <c r="J38" s="33" t="n"/>
      <c r="K38" s="33" t="n"/>
      <c r="L38" s="33" t="n"/>
      <c r="M38" s="33" t="n"/>
      <c r="N38" s="34" t="n"/>
      <c r="O38" s="34" t="n"/>
      <c r="P38" s="34" t="n"/>
      <c r="Q38" s="34" t="n"/>
      <c r="R38" s="35">
        <f>IFERROR(IF(OR($N38="",$O38="",$F38=""),"",ROUND(('⚙️ Setelan'!$B$3*'⚙️ Setelan'!$B$4/100)/(ABS($N38-$O38)*VLOOKUP($F38,'⚙️ Setelan'!$A$14:$F$20,4,FALSE)),2)),"")</f>
        <v/>
      </c>
      <c r="S38" s="36" t="n"/>
      <c r="T38" s="37">
        <f>IFERROR(IF(OR($N38="",$O38="",$S38=""),"",ABS($N38-$O38)*$S38*VLOOKUP($F38,'⚙️ Setelan'!$A$14:$F$20,4,FALSE)),"")</f>
        <v/>
      </c>
      <c r="U38" s="35">
        <f>IFERROR(IF(OR($N38="",$O38="",$P38=""),"",ROUND(ABS($P38-$N38)/ABS($N38-$O38),2)),"")</f>
        <v/>
      </c>
      <c r="V38" s="37">
        <f>IFERROR(IF(OR($Q38="",$N38="",$S38=""),"",($Q38-$N38)*IF($G38="Buy",1,-1)*$S38*VLOOKUP($F38,'⚙️ Setelan'!$A$14:$F$20,4,FALSE)),"")</f>
        <v/>
      </c>
      <c r="W38" s="37">
        <f>IFERROR(IF(OR($S38="",$F38=""),"",$S38*VLOOKUP($F38,'⚙️ Setelan'!$A$14:$F$20,5,FALSE)),"")</f>
        <v/>
      </c>
      <c r="X38" s="37">
        <f>IF($V38="","",$V38-IF($W38="",0,$W38))</f>
        <v/>
      </c>
      <c r="Y38" s="35">
        <f>IF(OR($X38="",$T38="",$T38=0),"",ROUND($X38/$T38,2))</f>
        <v/>
      </c>
      <c r="Z38" s="30">
        <f>IF($X38="","",IF($X38&gt;0,"Win",IF($X38&lt;0,"Loss","BE")))</f>
        <v/>
      </c>
      <c r="AA38" s="38">
        <f>IF(OR($C38="",$D38=""),"",ROUND(MOD($D38-$C38,1)*1440,0))</f>
        <v/>
      </c>
      <c r="AB38" s="34" t="n"/>
      <c r="AC38" s="34" t="n"/>
      <c r="AD38" s="35">
        <f>IFERROR(IF(OR($AB38="",$T38="",$T38=0),"",ROUND(ABS($N38-$AB38)*$S38*VLOOKUP($F38,'⚙️ Setelan'!$A$14:$F$20,4,FALSE)/$T38,2)),"")</f>
        <v/>
      </c>
      <c r="AE38" s="35">
        <f>IFERROR(IF(OR($AC38="",$T38="",$T38=0),"",ROUND(ABS($AC38-$N38)*$S38*VLOOKUP($F38,'⚙️ Setelan'!$A$14:$F$20,4,FALSE)/$T38,2)),"")</f>
        <v/>
      </c>
      <c r="AF38" s="33" t="n"/>
      <c r="AG38" s="33" t="n"/>
      <c r="AH38" s="33" t="n"/>
      <c r="AI38" s="33" t="n"/>
      <c r="AJ38" s="33" t="n"/>
      <c r="AK38" s="39" t="n"/>
      <c r="AL38" s="30">
        <f>IF(OR($C38="",$B38=""),"",IF(AND($Z37="Loss",$B38=$B37,MOD($C38-$D37,1)*1440&lt;'⚙️ Setelan'!$B$9),"⚠️ Revenge",""))</f>
        <v/>
      </c>
      <c r="AM38" s="40" t="n"/>
      <c r="AN38" s="30">
        <f>IF($AM38="","",IFERROR(IMAGE(IF(REGEXMATCH($AM38,"\.(png|jpg|jpeg|gif)$"),$AM38,"https://s3.tradingview.com/snapshots/"&amp;LOWER(MID(REGEXEXTRACT($AM38,"/x/([A-Za-z0-9]+)"),1,1))&amp;"/"&amp;REGEXEXTRACT($AM38,"/x/([A-Za-z0-9]+)")&amp;".png"),1),"⚠️ link tidak dikenali"))</f>
        <v/>
      </c>
      <c r="AO38" s="40" t="n"/>
      <c r="AP38" s="30">
        <f>IF($AO38="","",IFERROR(IMAGE(IF(REGEXMATCH($AO38,"\.(png|jpg|jpeg|gif)$"),$AO38,"https://s3.tradingview.com/snapshots/"&amp;LOWER(MID(REGEXEXTRACT($AO38,"/x/([A-Za-z0-9]+)"),1,1))&amp;"/"&amp;REGEXEXTRACT($AO38,"/x/([A-Za-z0-9]+)")&amp;".png"),1),"⚠️ link tidak dikenali"))</f>
        <v/>
      </c>
      <c r="AQ38" s="38">
        <f>IF($Z38="",0,IF(AND(OR('📊 Dashboard'!$B$4="(Semua)",$F38='📊 Dashboard'!$B$4),OR('📊 Dashboard'!$B$5="(Semua)",$H38='📊 Dashboard'!$B$5),OR('📊 Dashboard'!$B$6="(Semua)",$E38='📊 Dashboard'!$B$6),OR('📊 Dashboard'!$B$7="(Semua)",$AF38='📊 Dashboard'!$B$7),OR('📊 Dashboard'!$B$8="(Semua)",$AG38='📊 Dashboard'!$B$8),OR('📊 Dashboard'!$B$9="(Semua)",$K38='📊 Dashboard'!$B$9)),1,0))</f>
        <v/>
      </c>
    </row>
    <row r="39" ht="58" customHeight="1">
      <c r="A39" s="30">
        <f>IF($B39="","",ROW()-2)</f>
        <v/>
      </c>
      <c r="B39" s="31" t="n"/>
      <c r="C39" s="32" t="n"/>
      <c r="D39" s="32" t="n"/>
      <c r="E39" s="30">
        <f>IF($C39="","",IF(AND($C39&gt;=TIME(14,0,0),$C39&lt;TIME(19,30,0)),"London",IF(AND($C39&gt;=TIME(19,30,0),$C39&lt;TIME(23,0,0)),"Overlap LDN+NY",IF(OR($C39&gt;=TIME(23,0,0),$C39&lt;TIME(4,0,0)),"New York","Asia"))))</f>
        <v/>
      </c>
      <c r="F39" s="33" t="n"/>
      <c r="G39" s="33" t="n"/>
      <c r="H39" s="33" t="n"/>
      <c r="I39" s="33" t="n"/>
      <c r="J39" s="33" t="n"/>
      <c r="K39" s="33" t="n"/>
      <c r="L39" s="33" t="n"/>
      <c r="M39" s="33" t="n"/>
      <c r="N39" s="34" t="n"/>
      <c r="O39" s="34" t="n"/>
      <c r="P39" s="34" t="n"/>
      <c r="Q39" s="34" t="n"/>
      <c r="R39" s="35">
        <f>IFERROR(IF(OR($N39="",$O39="",$F39=""),"",ROUND(('⚙️ Setelan'!$B$3*'⚙️ Setelan'!$B$4/100)/(ABS($N39-$O39)*VLOOKUP($F39,'⚙️ Setelan'!$A$14:$F$20,4,FALSE)),2)),"")</f>
        <v/>
      </c>
      <c r="S39" s="36" t="n"/>
      <c r="T39" s="37">
        <f>IFERROR(IF(OR($N39="",$O39="",$S39=""),"",ABS($N39-$O39)*$S39*VLOOKUP($F39,'⚙️ Setelan'!$A$14:$F$20,4,FALSE)),"")</f>
        <v/>
      </c>
      <c r="U39" s="35">
        <f>IFERROR(IF(OR($N39="",$O39="",$P39=""),"",ROUND(ABS($P39-$N39)/ABS($N39-$O39),2)),"")</f>
        <v/>
      </c>
      <c r="V39" s="37">
        <f>IFERROR(IF(OR($Q39="",$N39="",$S39=""),"",($Q39-$N39)*IF($G39="Buy",1,-1)*$S39*VLOOKUP($F39,'⚙️ Setelan'!$A$14:$F$20,4,FALSE)),"")</f>
        <v/>
      </c>
      <c r="W39" s="37">
        <f>IFERROR(IF(OR($S39="",$F39=""),"",$S39*VLOOKUP($F39,'⚙️ Setelan'!$A$14:$F$20,5,FALSE)),"")</f>
        <v/>
      </c>
      <c r="X39" s="37">
        <f>IF($V39="","",$V39-IF($W39="",0,$W39))</f>
        <v/>
      </c>
      <c r="Y39" s="35">
        <f>IF(OR($X39="",$T39="",$T39=0),"",ROUND($X39/$T39,2))</f>
        <v/>
      </c>
      <c r="Z39" s="30">
        <f>IF($X39="","",IF($X39&gt;0,"Win",IF($X39&lt;0,"Loss","BE")))</f>
        <v/>
      </c>
      <c r="AA39" s="38">
        <f>IF(OR($C39="",$D39=""),"",ROUND(MOD($D39-$C39,1)*1440,0))</f>
        <v/>
      </c>
      <c r="AB39" s="34" t="n"/>
      <c r="AC39" s="34" t="n"/>
      <c r="AD39" s="35">
        <f>IFERROR(IF(OR($AB39="",$T39="",$T39=0),"",ROUND(ABS($N39-$AB39)*$S39*VLOOKUP($F39,'⚙️ Setelan'!$A$14:$F$20,4,FALSE)/$T39,2)),"")</f>
        <v/>
      </c>
      <c r="AE39" s="35">
        <f>IFERROR(IF(OR($AC39="",$T39="",$T39=0),"",ROUND(ABS($AC39-$N39)*$S39*VLOOKUP($F39,'⚙️ Setelan'!$A$14:$F$20,4,FALSE)/$T39,2)),"")</f>
        <v/>
      </c>
      <c r="AF39" s="33" t="n"/>
      <c r="AG39" s="33" t="n"/>
      <c r="AH39" s="33" t="n"/>
      <c r="AI39" s="33" t="n"/>
      <c r="AJ39" s="33" t="n"/>
      <c r="AK39" s="39" t="n"/>
      <c r="AL39" s="30">
        <f>IF(OR($C39="",$B39=""),"",IF(AND($Z38="Loss",$B39=$B38,MOD($C39-$D38,1)*1440&lt;'⚙️ Setelan'!$B$9),"⚠️ Revenge",""))</f>
        <v/>
      </c>
      <c r="AM39" s="40" t="n"/>
      <c r="AN39" s="30">
        <f>IF($AM39="","",IFERROR(IMAGE(IF(REGEXMATCH($AM39,"\.(png|jpg|jpeg|gif)$"),$AM39,"https://s3.tradingview.com/snapshots/"&amp;LOWER(MID(REGEXEXTRACT($AM39,"/x/([A-Za-z0-9]+)"),1,1))&amp;"/"&amp;REGEXEXTRACT($AM39,"/x/([A-Za-z0-9]+)")&amp;".png"),1),"⚠️ link tidak dikenali"))</f>
        <v/>
      </c>
      <c r="AO39" s="40" t="n"/>
      <c r="AP39" s="30">
        <f>IF($AO39="","",IFERROR(IMAGE(IF(REGEXMATCH($AO39,"\.(png|jpg|jpeg|gif)$"),$AO39,"https://s3.tradingview.com/snapshots/"&amp;LOWER(MID(REGEXEXTRACT($AO39,"/x/([A-Za-z0-9]+)"),1,1))&amp;"/"&amp;REGEXEXTRACT($AO39,"/x/([A-Za-z0-9]+)")&amp;".png"),1),"⚠️ link tidak dikenali"))</f>
        <v/>
      </c>
      <c r="AQ39" s="38">
        <f>IF($Z39="",0,IF(AND(OR('📊 Dashboard'!$B$4="(Semua)",$F39='📊 Dashboard'!$B$4),OR('📊 Dashboard'!$B$5="(Semua)",$H39='📊 Dashboard'!$B$5),OR('📊 Dashboard'!$B$6="(Semua)",$E39='📊 Dashboard'!$B$6),OR('📊 Dashboard'!$B$7="(Semua)",$AF39='📊 Dashboard'!$B$7),OR('📊 Dashboard'!$B$8="(Semua)",$AG39='📊 Dashboard'!$B$8),OR('📊 Dashboard'!$B$9="(Semua)",$K39='📊 Dashboard'!$B$9)),1,0))</f>
        <v/>
      </c>
    </row>
    <row r="40" ht="58" customHeight="1">
      <c r="A40" s="30">
        <f>IF($B40="","",ROW()-2)</f>
        <v/>
      </c>
      <c r="B40" s="31" t="n"/>
      <c r="C40" s="32" t="n"/>
      <c r="D40" s="32" t="n"/>
      <c r="E40" s="30">
        <f>IF($C40="","",IF(AND($C40&gt;=TIME(14,0,0),$C40&lt;TIME(19,30,0)),"London",IF(AND($C40&gt;=TIME(19,30,0),$C40&lt;TIME(23,0,0)),"Overlap LDN+NY",IF(OR($C40&gt;=TIME(23,0,0),$C40&lt;TIME(4,0,0)),"New York","Asia"))))</f>
        <v/>
      </c>
      <c r="F40" s="33" t="n"/>
      <c r="G40" s="33" t="n"/>
      <c r="H40" s="33" t="n"/>
      <c r="I40" s="33" t="n"/>
      <c r="J40" s="33" t="n"/>
      <c r="K40" s="33" t="n"/>
      <c r="L40" s="33" t="n"/>
      <c r="M40" s="33" t="n"/>
      <c r="N40" s="34" t="n"/>
      <c r="O40" s="34" t="n"/>
      <c r="P40" s="34" t="n"/>
      <c r="Q40" s="34" t="n"/>
      <c r="R40" s="35">
        <f>IFERROR(IF(OR($N40="",$O40="",$F40=""),"",ROUND(('⚙️ Setelan'!$B$3*'⚙️ Setelan'!$B$4/100)/(ABS($N40-$O40)*VLOOKUP($F40,'⚙️ Setelan'!$A$14:$F$20,4,FALSE)),2)),"")</f>
        <v/>
      </c>
      <c r="S40" s="36" t="n"/>
      <c r="T40" s="37">
        <f>IFERROR(IF(OR($N40="",$O40="",$S40=""),"",ABS($N40-$O40)*$S40*VLOOKUP($F40,'⚙️ Setelan'!$A$14:$F$20,4,FALSE)),"")</f>
        <v/>
      </c>
      <c r="U40" s="35">
        <f>IFERROR(IF(OR($N40="",$O40="",$P40=""),"",ROUND(ABS($P40-$N40)/ABS($N40-$O40),2)),"")</f>
        <v/>
      </c>
      <c r="V40" s="37">
        <f>IFERROR(IF(OR($Q40="",$N40="",$S40=""),"",($Q40-$N40)*IF($G40="Buy",1,-1)*$S40*VLOOKUP($F40,'⚙️ Setelan'!$A$14:$F$20,4,FALSE)),"")</f>
        <v/>
      </c>
      <c r="W40" s="37">
        <f>IFERROR(IF(OR($S40="",$F40=""),"",$S40*VLOOKUP($F40,'⚙️ Setelan'!$A$14:$F$20,5,FALSE)),"")</f>
        <v/>
      </c>
      <c r="X40" s="37">
        <f>IF($V40="","",$V40-IF($W40="",0,$W40))</f>
        <v/>
      </c>
      <c r="Y40" s="35">
        <f>IF(OR($X40="",$T40="",$T40=0),"",ROUND($X40/$T40,2))</f>
        <v/>
      </c>
      <c r="Z40" s="30">
        <f>IF($X40="","",IF($X40&gt;0,"Win",IF($X40&lt;0,"Loss","BE")))</f>
        <v/>
      </c>
      <c r="AA40" s="38">
        <f>IF(OR($C40="",$D40=""),"",ROUND(MOD($D40-$C40,1)*1440,0))</f>
        <v/>
      </c>
      <c r="AB40" s="34" t="n"/>
      <c r="AC40" s="34" t="n"/>
      <c r="AD40" s="35">
        <f>IFERROR(IF(OR($AB40="",$T40="",$T40=0),"",ROUND(ABS($N40-$AB40)*$S40*VLOOKUP($F40,'⚙️ Setelan'!$A$14:$F$20,4,FALSE)/$T40,2)),"")</f>
        <v/>
      </c>
      <c r="AE40" s="35">
        <f>IFERROR(IF(OR($AC40="",$T40="",$T40=0),"",ROUND(ABS($AC40-$N40)*$S40*VLOOKUP($F40,'⚙️ Setelan'!$A$14:$F$20,4,FALSE)/$T40,2)),"")</f>
        <v/>
      </c>
      <c r="AF40" s="33" t="n"/>
      <c r="AG40" s="33" t="n"/>
      <c r="AH40" s="33" t="n"/>
      <c r="AI40" s="33" t="n"/>
      <c r="AJ40" s="33" t="n"/>
      <c r="AK40" s="39" t="n"/>
      <c r="AL40" s="30">
        <f>IF(OR($C40="",$B40=""),"",IF(AND($Z39="Loss",$B40=$B39,MOD($C40-$D39,1)*1440&lt;'⚙️ Setelan'!$B$9),"⚠️ Revenge",""))</f>
        <v/>
      </c>
      <c r="AM40" s="40" t="n"/>
      <c r="AN40" s="30">
        <f>IF($AM40="","",IFERROR(IMAGE(IF(REGEXMATCH($AM40,"\.(png|jpg|jpeg|gif)$"),$AM40,"https://s3.tradingview.com/snapshots/"&amp;LOWER(MID(REGEXEXTRACT($AM40,"/x/([A-Za-z0-9]+)"),1,1))&amp;"/"&amp;REGEXEXTRACT($AM40,"/x/([A-Za-z0-9]+)")&amp;".png"),1),"⚠️ link tidak dikenali"))</f>
        <v/>
      </c>
      <c r="AO40" s="40" t="n"/>
      <c r="AP40" s="30">
        <f>IF($AO40="","",IFERROR(IMAGE(IF(REGEXMATCH($AO40,"\.(png|jpg|jpeg|gif)$"),$AO40,"https://s3.tradingview.com/snapshots/"&amp;LOWER(MID(REGEXEXTRACT($AO40,"/x/([A-Za-z0-9]+)"),1,1))&amp;"/"&amp;REGEXEXTRACT($AO40,"/x/([A-Za-z0-9]+)")&amp;".png"),1),"⚠️ link tidak dikenali"))</f>
        <v/>
      </c>
      <c r="AQ40" s="38">
        <f>IF($Z40="",0,IF(AND(OR('📊 Dashboard'!$B$4="(Semua)",$F40='📊 Dashboard'!$B$4),OR('📊 Dashboard'!$B$5="(Semua)",$H40='📊 Dashboard'!$B$5),OR('📊 Dashboard'!$B$6="(Semua)",$E40='📊 Dashboard'!$B$6),OR('📊 Dashboard'!$B$7="(Semua)",$AF40='📊 Dashboard'!$B$7),OR('📊 Dashboard'!$B$8="(Semua)",$AG40='📊 Dashboard'!$B$8),OR('📊 Dashboard'!$B$9="(Semua)",$K40='📊 Dashboard'!$B$9)),1,0))</f>
        <v/>
      </c>
    </row>
    <row r="41" ht="58" customHeight="1">
      <c r="A41" s="30">
        <f>IF($B41="","",ROW()-2)</f>
        <v/>
      </c>
      <c r="B41" s="31" t="n"/>
      <c r="C41" s="32" t="n"/>
      <c r="D41" s="32" t="n"/>
      <c r="E41" s="30">
        <f>IF($C41="","",IF(AND($C41&gt;=TIME(14,0,0),$C41&lt;TIME(19,30,0)),"London",IF(AND($C41&gt;=TIME(19,30,0),$C41&lt;TIME(23,0,0)),"Overlap LDN+NY",IF(OR($C41&gt;=TIME(23,0,0),$C41&lt;TIME(4,0,0)),"New York","Asia"))))</f>
        <v/>
      </c>
      <c r="F41" s="33" t="n"/>
      <c r="G41" s="33" t="n"/>
      <c r="H41" s="33" t="n"/>
      <c r="I41" s="33" t="n"/>
      <c r="J41" s="33" t="n"/>
      <c r="K41" s="33" t="n"/>
      <c r="L41" s="33" t="n"/>
      <c r="M41" s="33" t="n"/>
      <c r="N41" s="34" t="n"/>
      <c r="O41" s="34" t="n"/>
      <c r="P41" s="34" t="n"/>
      <c r="Q41" s="34" t="n"/>
      <c r="R41" s="35">
        <f>IFERROR(IF(OR($N41="",$O41="",$F41=""),"",ROUND(('⚙️ Setelan'!$B$3*'⚙️ Setelan'!$B$4/100)/(ABS($N41-$O41)*VLOOKUP($F41,'⚙️ Setelan'!$A$14:$F$20,4,FALSE)),2)),"")</f>
        <v/>
      </c>
      <c r="S41" s="36" t="n"/>
      <c r="T41" s="37">
        <f>IFERROR(IF(OR($N41="",$O41="",$S41=""),"",ABS($N41-$O41)*$S41*VLOOKUP($F41,'⚙️ Setelan'!$A$14:$F$20,4,FALSE)),"")</f>
        <v/>
      </c>
      <c r="U41" s="35">
        <f>IFERROR(IF(OR($N41="",$O41="",$P41=""),"",ROUND(ABS($P41-$N41)/ABS($N41-$O41),2)),"")</f>
        <v/>
      </c>
      <c r="V41" s="37">
        <f>IFERROR(IF(OR($Q41="",$N41="",$S41=""),"",($Q41-$N41)*IF($G41="Buy",1,-1)*$S41*VLOOKUP($F41,'⚙️ Setelan'!$A$14:$F$20,4,FALSE)),"")</f>
        <v/>
      </c>
      <c r="W41" s="37">
        <f>IFERROR(IF(OR($S41="",$F41=""),"",$S41*VLOOKUP($F41,'⚙️ Setelan'!$A$14:$F$20,5,FALSE)),"")</f>
        <v/>
      </c>
      <c r="X41" s="37">
        <f>IF($V41="","",$V41-IF($W41="",0,$W41))</f>
        <v/>
      </c>
      <c r="Y41" s="35">
        <f>IF(OR($X41="",$T41="",$T41=0),"",ROUND($X41/$T41,2))</f>
        <v/>
      </c>
      <c r="Z41" s="30">
        <f>IF($X41="","",IF($X41&gt;0,"Win",IF($X41&lt;0,"Loss","BE")))</f>
        <v/>
      </c>
      <c r="AA41" s="38">
        <f>IF(OR($C41="",$D41=""),"",ROUND(MOD($D41-$C41,1)*1440,0))</f>
        <v/>
      </c>
      <c r="AB41" s="34" t="n"/>
      <c r="AC41" s="34" t="n"/>
      <c r="AD41" s="35">
        <f>IFERROR(IF(OR($AB41="",$T41="",$T41=0),"",ROUND(ABS($N41-$AB41)*$S41*VLOOKUP($F41,'⚙️ Setelan'!$A$14:$F$20,4,FALSE)/$T41,2)),"")</f>
        <v/>
      </c>
      <c r="AE41" s="35">
        <f>IFERROR(IF(OR($AC41="",$T41="",$T41=0),"",ROUND(ABS($AC41-$N41)*$S41*VLOOKUP($F41,'⚙️ Setelan'!$A$14:$F$20,4,FALSE)/$T41,2)),"")</f>
        <v/>
      </c>
      <c r="AF41" s="33" t="n"/>
      <c r="AG41" s="33" t="n"/>
      <c r="AH41" s="33" t="n"/>
      <c r="AI41" s="33" t="n"/>
      <c r="AJ41" s="33" t="n"/>
      <c r="AK41" s="39" t="n"/>
      <c r="AL41" s="30">
        <f>IF(OR($C41="",$B41=""),"",IF(AND($Z40="Loss",$B41=$B40,MOD($C41-$D40,1)*1440&lt;'⚙️ Setelan'!$B$9),"⚠️ Revenge",""))</f>
        <v/>
      </c>
      <c r="AM41" s="40" t="n"/>
      <c r="AN41" s="30">
        <f>IF($AM41="","",IFERROR(IMAGE(IF(REGEXMATCH($AM41,"\.(png|jpg|jpeg|gif)$"),$AM41,"https://s3.tradingview.com/snapshots/"&amp;LOWER(MID(REGEXEXTRACT($AM41,"/x/([A-Za-z0-9]+)"),1,1))&amp;"/"&amp;REGEXEXTRACT($AM41,"/x/([A-Za-z0-9]+)")&amp;".png"),1),"⚠️ link tidak dikenali"))</f>
        <v/>
      </c>
      <c r="AO41" s="40" t="n"/>
      <c r="AP41" s="30">
        <f>IF($AO41="","",IFERROR(IMAGE(IF(REGEXMATCH($AO41,"\.(png|jpg|jpeg|gif)$"),$AO41,"https://s3.tradingview.com/snapshots/"&amp;LOWER(MID(REGEXEXTRACT($AO41,"/x/([A-Za-z0-9]+)"),1,1))&amp;"/"&amp;REGEXEXTRACT($AO41,"/x/([A-Za-z0-9]+)")&amp;".png"),1),"⚠️ link tidak dikenali"))</f>
        <v/>
      </c>
      <c r="AQ41" s="38">
        <f>IF($Z41="",0,IF(AND(OR('📊 Dashboard'!$B$4="(Semua)",$F41='📊 Dashboard'!$B$4),OR('📊 Dashboard'!$B$5="(Semua)",$H41='📊 Dashboard'!$B$5),OR('📊 Dashboard'!$B$6="(Semua)",$E41='📊 Dashboard'!$B$6),OR('📊 Dashboard'!$B$7="(Semua)",$AF41='📊 Dashboard'!$B$7),OR('📊 Dashboard'!$B$8="(Semua)",$AG41='📊 Dashboard'!$B$8),OR('📊 Dashboard'!$B$9="(Semua)",$K41='📊 Dashboard'!$B$9)),1,0))</f>
        <v/>
      </c>
    </row>
    <row r="42" ht="58" customHeight="1">
      <c r="A42" s="30">
        <f>IF($B42="","",ROW()-2)</f>
        <v/>
      </c>
      <c r="B42" s="31" t="n"/>
      <c r="C42" s="32" t="n"/>
      <c r="D42" s="32" t="n"/>
      <c r="E42" s="30">
        <f>IF($C42="","",IF(AND($C42&gt;=TIME(14,0,0),$C42&lt;TIME(19,30,0)),"London",IF(AND($C42&gt;=TIME(19,30,0),$C42&lt;TIME(23,0,0)),"Overlap LDN+NY",IF(OR($C42&gt;=TIME(23,0,0),$C42&lt;TIME(4,0,0)),"New York","Asia"))))</f>
        <v/>
      </c>
      <c r="F42" s="33" t="n"/>
      <c r="G42" s="33" t="n"/>
      <c r="H42" s="33" t="n"/>
      <c r="I42" s="33" t="n"/>
      <c r="J42" s="33" t="n"/>
      <c r="K42" s="33" t="n"/>
      <c r="L42" s="33" t="n"/>
      <c r="M42" s="33" t="n"/>
      <c r="N42" s="34" t="n"/>
      <c r="O42" s="34" t="n"/>
      <c r="P42" s="34" t="n"/>
      <c r="Q42" s="34" t="n"/>
      <c r="R42" s="35">
        <f>IFERROR(IF(OR($N42="",$O42="",$F42=""),"",ROUND(('⚙️ Setelan'!$B$3*'⚙️ Setelan'!$B$4/100)/(ABS($N42-$O42)*VLOOKUP($F42,'⚙️ Setelan'!$A$14:$F$20,4,FALSE)),2)),"")</f>
        <v/>
      </c>
      <c r="S42" s="36" t="n"/>
      <c r="T42" s="37">
        <f>IFERROR(IF(OR($N42="",$O42="",$S42=""),"",ABS($N42-$O42)*$S42*VLOOKUP($F42,'⚙️ Setelan'!$A$14:$F$20,4,FALSE)),"")</f>
        <v/>
      </c>
      <c r="U42" s="35">
        <f>IFERROR(IF(OR($N42="",$O42="",$P42=""),"",ROUND(ABS($P42-$N42)/ABS($N42-$O42),2)),"")</f>
        <v/>
      </c>
      <c r="V42" s="37">
        <f>IFERROR(IF(OR($Q42="",$N42="",$S42=""),"",($Q42-$N42)*IF($G42="Buy",1,-1)*$S42*VLOOKUP($F42,'⚙️ Setelan'!$A$14:$F$20,4,FALSE)),"")</f>
        <v/>
      </c>
      <c r="W42" s="37">
        <f>IFERROR(IF(OR($S42="",$F42=""),"",$S42*VLOOKUP($F42,'⚙️ Setelan'!$A$14:$F$20,5,FALSE)),"")</f>
        <v/>
      </c>
      <c r="X42" s="37">
        <f>IF($V42="","",$V42-IF($W42="",0,$W42))</f>
        <v/>
      </c>
      <c r="Y42" s="35">
        <f>IF(OR($X42="",$T42="",$T42=0),"",ROUND($X42/$T42,2))</f>
        <v/>
      </c>
      <c r="Z42" s="30">
        <f>IF($X42="","",IF($X42&gt;0,"Win",IF($X42&lt;0,"Loss","BE")))</f>
        <v/>
      </c>
      <c r="AA42" s="38">
        <f>IF(OR($C42="",$D42=""),"",ROUND(MOD($D42-$C42,1)*1440,0))</f>
        <v/>
      </c>
      <c r="AB42" s="34" t="n"/>
      <c r="AC42" s="34" t="n"/>
      <c r="AD42" s="35">
        <f>IFERROR(IF(OR($AB42="",$T42="",$T42=0),"",ROUND(ABS($N42-$AB42)*$S42*VLOOKUP($F42,'⚙️ Setelan'!$A$14:$F$20,4,FALSE)/$T42,2)),"")</f>
        <v/>
      </c>
      <c r="AE42" s="35">
        <f>IFERROR(IF(OR($AC42="",$T42="",$T42=0),"",ROUND(ABS($AC42-$N42)*$S42*VLOOKUP($F42,'⚙️ Setelan'!$A$14:$F$20,4,FALSE)/$T42,2)),"")</f>
        <v/>
      </c>
      <c r="AF42" s="33" t="n"/>
      <c r="AG42" s="33" t="n"/>
      <c r="AH42" s="33" t="n"/>
      <c r="AI42" s="33" t="n"/>
      <c r="AJ42" s="33" t="n"/>
      <c r="AK42" s="39" t="n"/>
      <c r="AL42" s="30">
        <f>IF(OR($C42="",$B42=""),"",IF(AND($Z41="Loss",$B42=$B41,MOD($C42-$D41,1)*1440&lt;'⚙️ Setelan'!$B$9),"⚠️ Revenge",""))</f>
        <v/>
      </c>
      <c r="AM42" s="40" t="n"/>
      <c r="AN42" s="30">
        <f>IF($AM42="","",IFERROR(IMAGE(IF(REGEXMATCH($AM42,"\.(png|jpg|jpeg|gif)$"),$AM42,"https://s3.tradingview.com/snapshots/"&amp;LOWER(MID(REGEXEXTRACT($AM42,"/x/([A-Za-z0-9]+)"),1,1))&amp;"/"&amp;REGEXEXTRACT($AM42,"/x/([A-Za-z0-9]+)")&amp;".png"),1),"⚠️ link tidak dikenali"))</f>
        <v/>
      </c>
      <c r="AO42" s="40" t="n"/>
      <c r="AP42" s="30">
        <f>IF($AO42="","",IFERROR(IMAGE(IF(REGEXMATCH($AO42,"\.(png|jpg|jpeg|gif)$"),$AO42,"https://s3.tradingview.com/snapshots/"&amp;LOWER(MID(REGEXEXTRACT($AO42,"/x/([A-Za-z0-9]+)"),1,1))&amp;"/"&amp;REGEXEXTRACT($AO42,"/x/([A-Za-z0-9]+)")&amp;".png"),1),"⚠️ link tidak dikenali"))</f>
        <v/>
      </c>
      <c r="AQ42" s="38">
        <f>IF($Z42="",0,IF(AND(OR('📊 Dashboard'!$B$4="(Semua)",$F42='📊 Dashboard'!$B$4),OR('📊 Dashboard'!$B$5="(Semua)",$H42='📊 Dashboard'!$B$5),OR('📊 Dashboard'!$B$6="(Semua)",$E42='📊 Dashboard'!$B$6),OR('📊 Dashboard'!$B$7="(Semua)",$AF42='📊 Dashboard'!$B$7),OR('📊 Dashboard'!$B$8="(Semua)",$AG42='📊 Dashboard'!$B$8),OR('📊 Dashboard'!$B$9="(Semua)",$K42='📊 Dashboard'!$B$9)),1,0))</f>
        <v/>
      </c>
    </row>
    <row r="43" ht="58" customHeight="1">
      <c r="A43" s="30">
        <f>IF($B43="","",ROW()-2)</f>
        <v/>
      </c>
      <c r="B43" s="31" t="n"/>
      <c r="C43" s="32" t="n"/>
      <c r="D43" s="32" t="n"/>
      <c r="E43" s="30">
        <f>IF($C43="","",IF(AND($C43&gt;=TIME(14,0,0),$C43&lt;TIME(19,30,0)),"London",IF(AND($C43&gt;=TIME(19,30,0),$C43&lt;TIME(23,0,0)),"Overlap LDN+NY",IF(OR($C43&gt;=TIME(23,0,0),$C43&lt;TIME(4,0,0)),"New York","Asia"))))</f>
        <v/>
      </c>
      <c r="F43" s="33" t="n"/>
      <c r="G43" s="33" t="n"/>
      <c r="H43" s="33" t="n"/>
      <c r="I43" s="33" t="n"/>
      <c r="J43" s="33" t="n"/>
      <c r="K43" s="33" t="n"/>
      <c r="L43" s="33" t="n"/>
      <c r="M43" s="33" t="n"/>
      <c r="N43" s="34" t="n"/>
      <c r="O43" s="34" t="n"/>
      <c r="P43" s="34" t="n"/>
      <c r="Q43" s="34" t="n"/>
      <c r="R43" s="35">
        <f>IFERROR(IF(OR($N43="",$O43="",$F43=""),"",ROUND(('⚙️ Setelan'!$B$3*'⚙️ Setelan'!$B$4/100)/(ABS($N43-$O43)*VLOOKUP($F43,'⚙️ Setelan'!$A$14:$F$20,4,FALSE)),2)),"")</f>
        <v/>
      </c>
      <c r="S43" s="36" t="n"/>
      <c r="T43" s="37">
        <f>IFERROR(IF(OR($N43="",$O43="",$S43=""),"",ABS($N43-$O43)*$S43*VLOOKUP($F43,'⚙️ Setelan'!$A$14:$F$20,4,FALSE)),"")</f>
        <v/>
      </c>
      <c r="U43" s="35">
        <f>IFERROR(IF(OR($N43="",$O43="",$P43=""),"",ROUND(ABS($P43-$N43)/ABS($N43-$O43),2)),"")</f>
        <v/>
      </c>
      <c r="V43" s="37">
        <f>IFERROR(IF(OR($Q43="",$N43="",$S43=""),"",($Q43-$N43)*IF($G43="Buy",1,-1)*$S43*VLOOKUP($F43,'⚙️ Setelan'!$A$14:$F$20,4,FALSE)),"")</f>
        <v/>
      </c>
      <c r="W43" s="37">
        <f>IFERROR(IF(OR($S43="",$F43=""),"",$S43*VLOOKUP($F43,'⚙️ Setelan'!$A$14:$F$20,5,FALSE)),"")</f>
        <v/>
      </c>
      <c r="X43" s="37">
        <f>IF($V43="","",$V43-IF($W43="",0,$W43))</f>
        <v/>
      </c>
      <c r="Y43" s="35">
        <f>IF(OR($X43="",$T43="",$T43=0),"",ROUND($X43/$T43,2))</f>
        <v/>
      </c>
      <c r="Z43" s="30">
        <f>IF($X43="","",IF($X43&gt;0,"Win",IF($X43&lt;0,"Loss","BE")))</f>
        <v/>
      </c>
      <c r="AA43" s="38">
        <f>IF(OR($C43="",$D43=""),"",ROUND(MOD($D43-$C43,1)*1440,0))</f>
        <v/>
      </c>
      <c r="AB43" s="34" t="n"/>
      <c r="AC43" s="34" t="n"/>
      <c r="AD43" s="35">
        <f>IFERROR(IF(OR($AB43="",$T43="",$T43=0),"",ROUND(ABS($N43-$AB43)*$S43*VLOOKUP($F43,'⚙️ Setelan'!$A$14:$F$20,4,FALSE)/$T43,2)),"")</f>
        <v/>
      </c>
      <c r="AE43" s="35">
        <f>IFERROR(IF(OR($AC43="",$T43="",$T43=0),"",ROUND(ABS($AC43-$N43)*$S43*VLOOKUP($F43,'⚙️ Setelan'!$A$14:$F$20,4,FALSE)/$T43,2)),"")</f>
        <v/>
      </c>
      <c r="AF43" s="33" t="n"/>
      <c r="AG43" s="33" t="n"/>
      <c r="AH43" s="33" t="n"/>
      <c r="AI43" s="33" t="n"/>
      <c r="AJ43" s="33" t="n"/>
      <c r="AK43" s="39" t="n"/>
      <c r="AL43" s="30">
        <f>IF(OR($C43="",$B43=""),"",IF(AND($Z42="Loss",$B43=$B42,MOD($C43-$D42,1)*1440&lt;'⚙️ Setelan'!$B$9),"⚠️ Revenge",""))</f>
        <v/>
      </c>
      <c r="AM43" s="40" t="n"/>
      <c r="AN43" s="30">
        <f>IF($AM43="","",IFERROR(IMAGE(IF(REGEXMATCH($AM43,"\.(png|jpg|jpeg|gif)$"),$AM43,"https://s3.tradingview.com/snapshots/"&amp;LOWER(MID(REGEXEXTRACT($AM43,"/x/([A-Za-z0-9]+)"),1,1))&amp;"/"&amp;REGEXEXTRACT($AM43,"/x/([A-Za-z0-9]+)")&amp;".png"),1),"⚠️ link tidak dikenali"))</f>
        <v/>
      </c>
      <c r="AO43" s="40" t="n"/>
      <c r="AP43" s="30">
        <f>IF($AO43="","",IFERROR(IMAGE(IF(REGEXMATCH($AO43,"\.(png|jpg|jpeg|gif)$"),$AO43,"https://s3.tradingview.com/snapshots/"&amp;LOWER(MID(REGEXEXTRACT($AO43,"/x/([A-Za-z0-9]+)"),1,1))&amp;"/"&amp;REGEXEXTRACT($AO43,"/x/([A-Za-z0-9]+)")&amp;".png"),1),"⚠️ link tidak dikenali"))</f>
        <v/>
      </c>
      <c r="AQ43" s="38">
        <f>IF($Z43="",0,IF(AND(OR('📊 Dashboard'!$B$4="(Semua)",$F43='📊 Dashboard'!$B$4),OR('📊 Dashboard'!$B$5="(Semua)",$H43='📊 Dashboard'!$B$5),OR('📊 Dashboard'!$B$6="(Semua)",$E43='📊 Dashboard'!$B$6),OR('📊 Dashboard'!$B$7="(Semua)",$AF43='📊 Dashboard'!$B$7),OR('📊 Dashboard'!$B$8="(Semua)",$AG43='📊 Dashboard'!$B$8),OR('📊 Dashboard'!$B$9="(Semua)",$K43='📊 Dashboard'!$B$9)),1,0))</f>
        <v/>
      </c>
    </row>
    <row r="44" ht="58" customHeight="1">
      <c r="A44" s="30">
        <f>IF($B44="","",ROW()-2)</f>
        <v/>
      </c>
      <c r="B44" s="31" t="n"/>
      <c r="C44" s="32" t="n"/>
      <c r="D44" s="32" t="n"/>
      <c r="E44" s="30">
        <f>IF($C44="","",IF(AND($C44&gt;=TIME(14,0,0),$C44&lt;TIME(19,30,0)),"London",IF(AND($C44&gt;=TIME(19,30,0),$C44&lt;TIME(23,0,0)),"Overlap LDN+NY",IF(OR($C44&gt;=TIME(23,0,0),$C44&lt;TIME(4,0,0)),"New York","Asia"))))</f>
        <v/>
      </c>
      <c r="F44" s="33" t="n"/>
      <c r="G44" s="33" t="n"/>
      <c r="H44" s="33" t="n"/>
      <c r="I44" s="33" t="n"/>
      <c r="J44" s="33" t="n"/>
      <c r="K44" s="33" t="n"/>
      <c r="L44" s="33" t="n"/>
      <c r="M44" s="33" t="n"/>
      <c r="N44" s="34" t="n"/>
      <c r="O44" s="34" t="n"/>
      <c r="P44" s="34" t="n"/>
      <c r="Q44" s="34" t="n"/>
      <c r="R44" s="35">
        <f>IFERROR(IF(OR($N44="",$O44="",$F44=""),"",ROUND(('⚙️ Setelan'!$B$3*'⚙️ Setelan'!$B$4/100)/(ABS($N44-$O44)*VLOOKUP($F44,'⚙️ Setelan'!$A$14:$F$20,4,FALSE)),2)),"")</f>
        <v/>
      </c>
      <c r="S44" s="36" t="n"/>
      <c r="T44" s="37">
        <f>IFERROR(IF(OR($N44="",$O44="",$S44=""),"",ABS($N44-$O44)*$S44*VLOOKUP($F44,'⚙️ Setelan'!$A$14:$F$20,4,FALSE)),"")</f>
        <v/>
      </c>
      <c r="U44" s="35">
        <f>IFERROR(IF(OR($N44="",$O44="",$P44=""),"",ROUND(ABS($P44-$N44)/ABS($N44-$O44),2)),"")</f>
        <v/>
      </c>
      <c r="V44" s="37">
        <f>IFERROR(IF(OR($Q44="",$N44="",$S44=""),"",($Q44-$N44)*IF($G44="Buy",1,-1)*$S44*VLOOKUP($F44,'⚙️ Setelan'!$A$14:$F$20,4,FALSE)),"")</f>
        <v/>
      </c>
      <c r="W44" s="37">
        <f>IFERROR(IF(OR($S44="",$F44=""),"",$S44*VLOOKUP($F44,'⚙️ Setelan'!$A$14:$F$20,5,FALSE)),"")</f>
        <v/>
      </c>
      <c r="X44" s="37">
        <f>IF($V44="","",$V44-IF($W44="",0,$W44))</f>
        <v/>
      </c>
      <c r="Y44" s="35">
        <f>IF(OR($X44="",$T44="",$T44=0),"",ROUND($X44/$T44,2))</f>
        <v/>
      </c>
      <c r="Z44" s="30">
        <f>IF($X44="","",IF($X44&gt;0,"Win",IF($X44&lt;0,"Loss","BE")))</f>
        <v/>
      </c>
      <c r="AA44" s="38">
        <f>IF(OR($C44="",$D44=""),"",ROUND(MOD($D44-$C44,1)*1440,0))</f>
        <v/>
      </c>
      <c r="AB44" s="34" t="n"/>
      <c r="AC44" s="34" t="n"/>
      <c r="AD44" s="35">
        <f>IFERROR(IF(OR($AB44="",$T44="",$T44=0),"",ROUND(ABS($N44-$AB44)*$S44*VLOOKUP($F44,'⚙️ Setelan'!$A$14:$F$20,4,FALSE)/$T44,2)),"")</f>
        <v/>
      </c>
      <c r="AE44" s="35">
        <f>IFERROR(IF(OR($AC44="",$T44="",$T44=0),"",ROUND(ABS($AC44-$N44)*$S44*VLOOKUP($F44,'⚙️ Setelan'!$A$14:$F$20,4,FALSE)/$T44,2)),"")</f>
        <v/>
      </c>
      <c r="AF44" s="33" t="n"/>
      <c r="AG44" s="33" t="n"/>
      <c r="AH44" s="33" t="n"/>
      <c r="AI44" s="33" t="n"/>
      <c r="AJ44" s="33" t="n"/>
      <c r="AK44" s="39" t="n"/>
      <c r="AL44" s="30">
        <f>IF(OR($C44="",$B44=""),"",IF(AND($Z43="Loss",$B44=$B43,MOD($C44-$D43,1)*1440&lt;'⚙️ Setelan'!$B$9),"⚠️ Revenge",""))</f>
        <v/>
      </c>
      <c r="AM44" s="40" t="n"/>
      <c r="AN44" s="30">
        <f>IF($AM44="","",IFERROR(IMAGE(IF(REGEXMATCH($AM44,"\.(png|jpg|jpeg|gif)$"),$AM44,"https://s3.tradingview.com/snapshots/"&amp;LOWER(MID(REGEXEXTRACT($AM44,"/x/([A-Za-z0-9]+)"),1,1))&amp;"/"&amp;REGEXEXTRACT($AM44,"/x/([A-Za-z0-9]+)")&amp;".png"),1),"⚠️ link tidak dikenali"))</f>
        <v/>
      </c>
      <c r="AO44" s="40" t="n"/>
      <c r="AP44" s="30">
        <f>IF($AO44="","",IFERROR(IMAGE(IF(REGEXMATCH($AO44,"\.(png|jpg|jpeg|gif)$"),$AO44,"https://s3.tradingview.com/snapshots/"&amp;LOWER(MID(REGEXEXTRACT($AO44,"/x/([A-Za-z0-9]+)"),1,1))&amp;"/"&amp;REGEXEXTRACT($AO44,"/x/([A-Za-z0-9]+)")&amp;".png"),1),"⚠️ link tidak dikenali"))</f>
        <v/>
      </c>
      <c r="AQ44" s="38">
        <f>IF($Z44="",0,IF(AND(OR('📊 Dashboard'!$B$4="(Semua)",$F44='📊 Dashboard'!$B$4),OR('📊 Dashboard'!$B$5="(Semua)",$H44='📊 Dashboard'!$B$5),OR('📊 Dashboard'!$B$6="(Semua)",$E44='📊 Dashboard'!$B$6),OR('📊 Dashboard'!$B$7="(Semua)",$AF44='📊 Dashboard'!$B$7),OR('📊 Dashboard'!$B$8="(Semua)",$AG44='📊 Dashboard'!$B$8),OR('📊 Dashboard'!$B$9="(Semua)",$K44='📊 Dashboard'!$B$9)),1,0))</f>
        <v/>
      </c>
    </row>
    <row r="45" ht="58" customHeight="1">
      <c r="A45" s="30">
        <f>IF($B45="","",ROW()-2)</f>
        <v/>
      </c>
      <c r="B45" s="31" t="n"/>
      <c r="C45" s="32" t="n"/>
      <c r="D45" s="32" t="n"/>
      <c r="E45" s="30">
        <f>IF($C45="","",IF(AND($C45&gt;=TIME(14,0,0),$C45&lt;TIME(19,30,0)),"London",IF(AND($C45&gt;=TIME(19,30,0),$C45&lt;TIME(23,0,0)),"Overlap LDN+NY",IF(OR($C45&gt;=TIME(23,0,0),$C45&lt;TIME(4,0,0)),"New York","Asia"))))</f>
        <v/>
      </c>
      <c r="F45" s="33" t="n"/>
      <c r="G45" s="33" t="n"/>
      <c r="H45" s="33" t="n"/>
      <c r="I45" s="33" t="n"/>
      <c r="J45" s="33" t="n"/>
      <c r="K45" s="33" t="n"/>
      <c r="L45" s="33" t="n"/>
      <c r="M45" s="33" t="n"/>
      <c r="N45" s="34" t="n"/>
      <c r="O45" s="34" t="n"/>
      <c r="P45" s="34" t="n"/>
      <c r="Q45" s="34" t="n"/>
      <c r="R45" s="35">
        <f>IFERROR(IF(OR($N45="",$O45="",$F45=""),"",ROUND(('⚙️ Setelan'!$B$3*'⚙️ Setelan'!$B$4/100)/(ABS($N45-$O45)*VLOOKUP($F45,'⚙️ Setelan'!$A$14:$F$20,4,FALSE)),2)),"")</f>
        <v/>
      </c>
      <c r="S45" s="36" t="n"/>
      <c r="T45" s="37">
        <f>IFERROR(IF(OR($N45="",$O45="",$S45=""),"",ABS($N45-$O45)*$S45*VLOOKUP($F45,'⚙️ Setelan'!$A$14:$F$20,4,FALSE)),"")</f>
        <v/>
      </c>
      <c r="U45" s="35">
        <f>IFERROR(IF(OR($N45="",$O45="",$P45=""),"",ROUND(ABS($P45-$N45)/ABS($N45-$O45),2)),"")</f>
        <v/>
      </c>
      <c r="V45" s="37">
        <f>IFERROR(IF(OR($Q45="",$N45="",$S45=""),"",($Q45-$N45)*IF($G45="Buy",1,-1)*$S45*VLOOKUP($F45,'⚙️ Setelan'!$A$14:$F$20,4,FALSE)),"")</f>
        <v/>
      </c>
      <c r="W45" s="37">
        <f>IFERROR(IF(OR($S45="",$F45=""),"",$S45*VLOOKUP($F45,'⚙️ Setelan'!$A$14:$F$20,5,FALSE)),"")</f>
        <v/>
      </c>
      <c r="X45" s="37">
        <f>IF($V45="","",$V45-IF($W45="",0,$W45))</f>
        <v/>
      </c>
      <c r="Y45" s="35">
        <f>IF(OR($X45="",$T45="",$T45=0),"",ROUND($X45/$T45,2))</f>
        <v/>
      </c>
      <c r="Z45" s="30">
        <f>IF($X45="","",IF($X45&gt;0,"Win",IF($X45&lt;0,"Loss","BE")))</f>
        <v/>
      </c>
      <c r="AA45" s="38">
        <f>IF(OR($C45="",$D45=""),"",ROUND(MOD($D45-$C45,1)*1440,0))</f>
        <v/>
      </c>
      <c r="AB45" s="34" t="n"/>
      <c r="AC45" s="34" t="n"/>
      <c r="AD45" s="35">
        <f>IFERROR(IF(OR($AB45="",$T45="",$T45=0),"",ROUND(ABS($N45-$AB45)*$S45*VLOOKUP($F45,'⚙️ Setelan'!$A$14:$F$20,4,FALSE)/$T45,2)),"")</f>
        <v/>
      </c>
      <c r="AE45" s="35">
        <f>IFERROR(IF(OR($AC45="",$T45="",$T45=0),"",ROUND(ABS($AC45-$N45)*$S45*VLOOKUP($F45,'⚙️ Setelan'!$A$14:$F$20,4,FALSE)/$T45,2)),"")</f>
        <v/>
      </c>
      <c r="AF45" s="33" t="n"/>
      <c r="AG45" s="33" t="n"/>
      <c r="AH45" s="33" t="n"/>
      <c r="AI45" s="33" t="n"/>
      <c r="AJ45" s="33" t="n"/>
      <c r="AK45" s="39" t="n"/>
      <c r="AL45" s="30">
        <f>IF(OR($C45="",$B45=""),"",IF(AND($Z44="Loss",$B45=$B44,MOD($C45-$D44,1)*1440&lt;'⚙️ Setelan'!$B$9),"⚠️ Revenge",""))</f>
        <v/>
      </c>
      <c r="AM45" s="40" t="n"/>
      <c r="AN45" s="30">
        <f>IF($AM45="","",IFERROR(IMAGE(IF(REGEXMATCH($AM45,"\.(png|jpg|jpeg|gif)$"),$AM45,"https://s3.tradingview.com/snapshots/"&amp;LOWER(MID(REGEXEXTRACT($AM45,"/x/([A-Za-z0-9]+)"),1,1))&amp;"/"&amp;REGEXEXTRACT($AM45,"/x/([A-Za-z0-9]+)")&amp;".png"),1),"⚠️ link tidak dikenali"))</f>
        <v/>
      </c>
      <c r="AO45" s="40" t="n"/>
      <c r="AP45" s="30">
        <f>IF($AO45="","",IFERROR(IMAGE(IF(REGEXMATCH($AO45,"\.(png|jpg|jpeg|gif)$"),$AO45,"https://s3.tradingview.com/snapshots/"&amp;LOWER(MID(REGEXEXTRACT($AO45,"/x/([A-Za-z0-9]+)"),1,1))&amp;"/"&amp;REGEXEXTRACT($AO45,"/x/([A-Za-z0-9]+)")&amp;".png"),1),"⚠️ link tidak dikenali"))</f>
        <v/>
      </c>
      <c r="AQ45" s="38">
        <f>IF($Z45="",0,IF(AND(OR('📊 Dashboard'!$B$4="(Semua)",$F45='📊 Dashboard'!$B$4),OR('📊 Dashboard'!$B$5="(Semua)",$H45='📊 Dashboard'!$B$5),OR('📊 Dashboard'!$B$6="(Semua)",$E45='📊 Dashboard'!$B$6),OR('📊 Dashboard'!$B$7="(Semua)",$AF45='📊 Dashboard'!$B$7),OR('📊 Dashboard'!$B$8="(Semua)",$AG45='📊 Dashboard'!$B$8),OR('📊 Dashboard'!$B$9="(Semua)",$K45='📊 Dashboard'!$B$9)),1,0))</f>
        <v/>
      </c>
    </row>
    <row r="46" ht="58" customHeight="1">
      <c r="A46" s="30">
        <f>IF($B46="","",ROW()-2)</f>
        <v/>
      </c>
      <c r="B46" s="31" t="n"/>
      <c r="C46" s="32" t="n"/>
      <c r="D46" s="32" t="n"/>
      <c r="E46" s="30">
        <f>IF($C46="","",IF(AND($C46&gt;=TIME(14,0,0),$C46&lt;TIME(19,30,0)),"London",IF(AND($C46&gt;=TIME(19,30,0),$C46&lt;TIME(23,0,0)),"Overlap LDN+NY",IF(OR($C46&gt;=TIME(23,0,0),$C46&lt;TIME(4,0,0)),"New York","Asia"))))</f>
        <v/>
      </c>
      <c r="F46" s="33" t="n"/>
      <c r="G46" s="33" t="n"/>
      <c r="H46" s="33" t="n"/>
      <c r="I46" s="33" t="n"/>
      <c r="J46" s="33" t="n"/>
      <c r="K46" s="33" t="n"/>
      <c r="L46" s="33" t="n"/>
      <c r="M46" s="33" t="n"/>
      <c r="N46" s="34" t="n"/>
      <c r="O46" s="34" t="n"/>
      <c r="P46" s="34" t="n"/>
      <c r="Q46" s="34" t="n"/>
      <c r="R46" s="35">
        <f>IFERROR(IF(OR($N46="",$O46="",$F46=""),"",ROUND(('⚙️ Setelan'!$B$3*'⚙️ Setelan'!$B$4/100)/(ABS($N46-$O46)*VLOOKUP($F46,'⚙️ Setelan'!$A$14:$F$20,4,FALSE)),2)),"")</f>
        <v/>
      </c>
      <c r="S46" s="36" t="n"/>
      <c r="T46" s="37">
        <f>IFERROR(IF(OR($N46="",$O46="",$S46=""),"",ABS($N46-$O46)*$S46*VLOOKUP($F46,'⚙️ Setelan'!$A$14:$F$20,4,FALSE)),"")</f>
        <v/>
      </c>
      <c r="U46" s="35">
        <f>IFERROR(IF(OR($N46="",$O46="",$P46=""),"",ROUND(ABS($P46-$N46)/ABS($N46-$O46),2)),"")</f>
        <v/>
      </c>
      <c r="V46" s="37">
        <f>IFERROR(IF(OR($Q46="",$N46="",$S46=""),"",($Q46-$N46)*IF($G46="Buy",1,-1)*$S46*VLOOKUP($F46,'⚙️ Setelan'!$A$14:$F$20,4,FALSE)),"")</f>
        <v/>
      </c>
      <c r="W46" s="37">
        <f>IFERROR(IF(OR($S46="",$F46=""),"",$S46*VLOOKUP($F46,'⚙️ Setelan'!$A$14:$F$20,5,FALSE)),"")</f>
        <v/>
      </c>
      <c r="X46" s="37">
        <f>IF($V46="","",$V46-IF($W46="",0,$W46))</f>
        <v/>
      </c>
      <c r="Y46" s="35">
        <f>IF(OR($X46="",$T46="",$T46=0),"",ROUND($X46/$T46,2))</f>
        <v/>
      </c>
      <c r="Z46" s="30">
        <f>IF($X46="","",IF($X46&gt;0,"Win",IF($X46&lt;0,"Loss","BE")))</f>
        <v/>
      </c>
      <c r="AA46" s="38">
        <f>IF(OR($C46="",$D46=""),"",ROUND(MOD($D46-$C46,1)*1440,0))</f>
        <v/>
      </c>
      <c r="AB46" s="34" t="n"/>
      <c r="AC46" s="34" t="n"/>
      <c r="AD46" s="35">
        <f>IFERROR(IF(OR($AB46="",$T46="",$T46=0),"",ROUND(ABS($N46-$AB46)*$S46*VLOOKUP($F46,'⚙️ Setelan'!$A$14:$F$20,4,FALSE)/$T46,2)),"")</f>
        <v/>
      </c>
      <c r="AE46" s="35">
        <f>IFERROR(IF(OR($AC46="",$T46="",$T46=0),"",ROUND(ABS($AC46-$N46)*$S46*VLOOKUP($F46,'⚙️ Setelan'!$A$14:$F$20,4,FALSE)/$T46,2)),"")</f>
        <v/>
      </c>
      <c r="AF46" s="33" t="n"/>
      <c r="AG46" s="33" t="n"/>
      <c r="AH46" s="33" t="n"/>
      <c r="AI46" s="33" t="n"/>
      <c r="AJ46" s="33" t="n"/>
      <c r="AK46" s="39" t="n"/>
      <c r="AL46" s="30">
        <f>IF(OR($C46="",$B46=""),"",IF(AND($Z45="Loss",$B46=$B45,MOD($C46-$D45,1)*1440&lt;'⚙️ Setelan'!$B$9),"⚠️ Revenge",""))</f>
        <v/>
      </c>
      <c r="AM46" s="40" t="n"/>
      <c r="AN46" s="30">
        <f>IF($AM46="","",IFERROR(IMAGE(IF(REGEXMATCH($AM46,"\.(png|jpg|jpeg|gif)$"),$AM46,"https://s3.tradingview.com/snapshots/"&amp;LOWER(MID(REGEXEXTRACT($AM46,"/x/([A-Za-z0-9]+)"),1,1))&amp;"/"&amp;REGEXEXTRACT($AM46,"/x/([A-Za-z0-9]+)")&amp;".png"),1),"⚠️ link tidak dikenali"))</f>
        <v/>
      </c>
      <c r="AO46" s="40" t="n"/>
      <c r="AP46" s="30">
        <f>IF($AO46="","",IFERROR(IMAGE(IF(REGEXMATCH($AO46,"\.(png|jpg|jpeg|gif)$"),$AO46,"https://s3.tradingview.com/snapshots/"&amp;LOWER(MID(REGEXEXTRACT($AO46,"/x/([A-Za-z0-9]+)"),1,1))&amp;"/"&amp;REGEXEXTRACT($AO46,"/x/([A-Za-z0-9]+)")&amp;".png"),1),"⚠️ link tidak dikenali"))</f>
        <v/>
      </c>
      <c r="AQ46" s="38">
        <f>IF($Z46="",0,IF(AND(OR('📊 Dashboard'!$B$4="(Semua)",$F46='📊 Dashboard'!$B$4),OR('📊 Dashboard'!$B$5="(Semua)",$H46='📊 Dashboard'!$B$5),OR('📊 Dashboard'!$B$6="(Semua)",$E46='📊 Dashboard'!$B$6),OR('📊 Dashboard'!$B$7="(Semua)",$AF46='📊 Dashboard'!$B$7),OR('📊 Dashboard'!$B$8="(Semua)",$AG46='📊 Dashboard'!$B$8),OR('📊 Dashboard'!$B$9="(Semua)",$K46='📊 Dashboard'!$B$9)),1,0))</f>
        <v/>
      </c>
    </row>
    <row r="47" ht="58" customHeight="1">
      <c r="A47" s="30">
        <f>IF($B47="","",ROW()-2)</f>
        <v/>
      </c>
      <c r="B47" s="31" t="n"/>
      <c r="C47" s="32" t="n"/>
      <c r="D47" s="32" t="n"/>
      <c r="E47" s="30">
        <f>IF($C47="","",IF(AND($C47&gt;=TIME(14,0,0),$C47&lt;TIME(19,30,0)),"London",IF(AND($C47&gt;=TIME(19,30,0),$C47&lt;TIME(23,0,0)),"Overlap LDN+NY",IF(OR($C47&gt;=TIME(23,0,0),$C47&lt;TIME(4,0,0)),"New York","Asia"))))</f>
        <v/>
      </c>
      <c r="F47" s="33" t="n"/>
      <c r="G47" s="33" t="n"/>
      <c r="H47" s="33" t="n"/>
      <c r="I47" s="33" t="n"/>
      <c r="J47" s="33" t="n"/>
      <c r="K47" s="33" t="n"/>
      <c r="L47" s="33" t="n"/>
      <c r="M47" s="33" t="n"/>
      <c r="N47" s="34" t="n"/>
      <c r="O47" s="34" t="n"/>
      <c r="P47" s="34" t="n"/>
      <c r="Q47" s="34" t="n"/>
      <c r="R47" s="35">
        <f>IFERROR(IF(OR($N47="",$O47="",$F47=""),"",ROUND(('⚙️ Setelan'!$B$3*'⚙️ Setelan'!$B$4/100)/(ABS($N47-$O47)*VLOOKUP($F47,'⚙️ Setelan'!$A$14:$F$20,4,FALSE)),2)),"")</f>
        <v/>
      </c>
      <c r="S47" s="36" t="n"/>
      <c r="T47" s="37">
        <f>IFERROR(IF(OR($N47="",$O47="",$S47=""),"",ABS($N47-$O47)*$S47*VLOOKUP($F47,'⚙️ Setelan'!$A$14:$F$20,4,FALSE)),"")</f>
        <v/>
      </c>
      <c r="U47" s="35">
        <f>IFERROR(IF(OR($N47="",$O47="",$P47=""),"",ROUND(ABS($P47-$N47)/ABS($N47-$O47),2)),"")</f>
        <v/>
      </c>
      <c r="V47" s="37">
        <f>IFERROR(IF(OR($Q47="",$N47="",$S47=""),"",($Q47-$N47)*IF($G47="Buy",1,-1)*$S47*VLOOKUP($F47,'⚙️ Setelan'!$A$14:$F$20,4,FALSE)),"")</f>
        <v/>
      </c>
      <c r="W47" s="37">
        <f>IFERROR(IF(OR($S47="",$F47=""),"",$S47*VLOOKUP($F47,'⚙️ Setelan'!$A$14:$F$20,5,FALSE)),"")</f>
        <v/>
      </c>
      <c r="X47" s="37">
        <f>IF($V47="","",$V47-IF($W47="",0,$W47))</f>
        <v/>
      </c>
      <c r="Y47" s="35">
        <f>IF(OR($X47="",$T47="",$T47=0),"",ROUND($X47/$T47,2))</f>
        <v/>
      </c>
      <c r="Z47" s="30">
        <f>IF($X47="","",IF($X47&gt;0,"Win",IF($X47&lt;0,"Loss","BE")))</f>
        <v/>
      </c>
      <c r="AA47" s="38">
        <f>IF(OR($C47="",$D47=""),"",ROUND(MOD($D47-$C47,1)*1440,0))</f>
        <v/>
      </c>
      <c r="AB47" s="34" t="n"/>
      <c r="AC47" s="34" t="n"/>
      <c r="AD47" s="35">
        <f>IFERROR(IF(OR($AB47="",$T47="",$T47=0),"",ROUND(ABS($N47-$AB47)*$S47*VLOOKUP($F47,'⚙️ Setelan'!$A$14:$F$20,4,FALSE)/$T47,2)),"")</f>
        <v/>
      </c>
      <c r="AE47" s="35">
        <f>IFERROR(IF(OR($AC47="",$T47="",$T47=0),"",ROUND(ABS($AC47-$N47)*$S47*VLOOKUP($F47,'⚙️ Setelan'!$A$14:$F$20,4,FALSE)/$T47,2)),"")</f>
        <v/>
      </c>
      <c r="AF47" s="33" t="n"/>
      <c r="AG47" s="33" t="n"/>
      <c r="AH47" s="33" t="n"/>
      <c r="AI47" s="33" t="n"/>
      <c r="AJ47" s="33" t="n"/>
      <c r="AK47" s="39" t="n"/>
      <c r="AL47" s="30">
        <f>IF(OR($C47="",$B47=""),"",IF(AND($Z46="Loss",$B47=$B46,MOD($C47-$D46,1)*1440&lt;'⚙️ Setelan'!$B$9),"⚠️ Revenge",""))</f>
        <v/>
      </c>
      <c r="AM47" s="40" t="n"/>
      <c r="AN47" s="30">
        <f>IF($AM47="","",IFERROR(IMAGE(IF(REGEXMATCH($AM47,"\.(png|jpg|jpeg|gif)$"),$AM47,"https://s3.tradingview.com/snapshots/"&amp;LOWER(MID(REGEXEXTRACT($AM47,"/x/([A-Za-z0-9]+)"),1,1))&amp;"/"&amp;REGEXEXTRACT($AM47,"/x/([A-Za-z0-9]+)")&amp;".png"),1),"⚠️ link tidak dikenali"))</f>
        <v/>
      </c>
      <c r="AO47" s="40" t="n"/>
      <c r="AP47" s="30">
        <f>IF($AO47="","",IFERROR(IMAGE(IF(REGEXMATCH($AO47,"\.(png|jpg|jpeg|gif)$"),$AO47,"https://s3.tradingview.com/snapshots/"&amp;LOWER(MID(REGEXEXTRACT($AO47,"/x/([A-Za-z0-9]+)"),1,1))&amp;"/"&amp;REGEXEXTRACT($AO47,"/x/([A-Za-z0-9]+)")&amp;".png"),1),"⚠️ link tidak dikenali"))</f>
        <v/>
      </c>
      <c r="AQ47" s="38">
        <f>IF($Z47="",0,IF(AND(OR('📊 Dashboard'!$B$4="(Semua)",$F47='📊 Dashboard'!$B$4),OR('📊 Dashboard'!$B$5="(Semua)",$H47='📊 Dashboard'!$B$5),OR('📊 Dashboard'!$B$6="(Semua)",$E47='📊 Dashboard'!$B$6),OR('📊 Dashboard'!$B$7="(Semua)",$AF47='📊 Dashboard'!$B$7),OR('📊 Dashboard'!$B$8="(Semua)",$AG47='📊 Dashboard'!$B$8),OR('📊 Dashboard'!$B$9="(Semua)",$K47='📊 Dashboard'!$B$9)),1,0))</f>
        <v/>
      </c>
    </row>
    <row r="48" ht="58" customHeight="1">
      <c r="A48" s="30">
        <f>IF($B48="","",ROW()-2)</f>
        <v/>
      </c>
      <c r="B48" s="31" t="n"/>
      <c r="C48" s="32" t="n"/>
      <c r="D48" s="32" t="n"/>
      <c r="E48" s="30">
        <f>IF($C48="","",IF(AND($C48&gt;=TIME(14,0,0),$C48&lt;TIME(19,30,0)),"London",IF(AND($C48&gt;=TIME(19,30,0),$C48&lt;TIME(23,0,0)),"Overlap LDN+NY",IF(OR($C48&gt;=TIME(23,0,0),$C48&lt;TIME(4,0,0)),"New York","Asia"))))</f>
        <v/>
      </c>
      <c r="F48" s="33" t="n"/>
      <c r="G48" s="33" t="n"/>
      <c r="H48" s="33" t="n"/>
      <c r="I48" s="33" t="n"/>
      <c r="J48" s="33" t="n"/>
      <c r="K48" s="33" t="n"/>
      <c r="L48" s="33" t="n"/>
      <c r="M48" s="33" t="n"/>
      <c r="N48" s="34" t="n"/>
      <c r="O48" s="34" t="n"/>
      <c r="P48" s="34" t="n"/>
      <c r="Q48" s="34" t="n"/>
      <c r="R48" s="35">
        <f>IFERROR(IF(OR($N48="",$O48="",$F48=""),"",ROUND(('⚙️ Setelan'!$B$3*'⚙️ Setelan'!$B$4/100)/(ABS($N48-$O48)*VLOOKUP($F48,'⚙️ Setelan'!$A$14:$F$20,4,FALSE)),2)),"")</f>
        <v/>
      </c>
      <c r="S48" s="36" t="n"/>
      <c r="T48" s="37">
        <f>IFERROR(IF(OR($N48="",$O48="",$S48=""),"",ABS($N48-$O48)*$S48*VLOOKUP($F48,'⚙️ Setelan'!$A$14:$F$20,4,FALSE)),"")</f>
        <v/>
      </c>
      <c r="U48" s="35">
        <f>IFERROR(IF(OR($N48="",$O48="",$P48=""),"",ROUND(ABS($P48-$N48)/ABS($N48-$O48),2)),"")</f>
        <v/>
      </c>
      <c r="V48" s="37">
        <f>IFERROR(IF(OR($Q48="",$N48="",$S48=""),"",($Q48-$N48)*IF($G48="Buy",1,-1)*$S48*VLOOKUP($F48,'⚙️ Setelan'!$A$14:$F$20,4,FALSE)),"")</f>
        <v/>
      </c>
      <c r="W48" s="37">
        <f>IFERROR(IF(OR($S48="",$F48=""),"",$S48*VLOOKUP($F48,'⚙️ Setelan'!$A$14:$F$20,5,FALSE)),"")</f>
        <v/>
      </c>
      <c r="X48" s="37">
        <f>IF($V48="","",$V48-IF($W48="",0,$W48))</f>
        <v/>
      </c>
      <c r="Y48" s="35">
        <f>IF(OR($X48="",$T48="",$T48=0),"",ROUND($X48/$T48,2))</f>
        <v/>
      </c>
      <c r="Z48" s="30">
        <f>IF($X48="","",IF($X48&gt;0,"Win",IF($X48&lt;0,"Loss","BE")))</f>
        <v/>
      </c>
      <c r="AA48" s="38">
        <f>IF(OR($C48="",$D48=""),"",ROUND(MOD($D48-$C48,1)*1440,0))</f>
        <v/>
      </c>
      <c r="AB48" s="34" t="n"/>
      <c r="AC48" s="34" t="n"/>
      <c r="AD48" s="35">
        <f>IFERROR(IF(OR($AB48="",$T48="",$T48=0),"",ROUND(ABS($N48-$AB48)*$S48*VLOOKUP($F48,'⚙️ Setelan'!$A$14:$F$20,4,FALSE)/$T48,2)),"")</f>
        <v/>
      </c>
      <c r="AE48" s="35">
        <f>IFERROR(IF(OR($AC48="",$T48="",$T48=0),"",ROUND(ABS($AC48-$N48)*$S48*VLOOKUP($F48,'⚙️ Setelan'!$A$14:$F$20,4,FALSE)/$T48,2)),"")</f>
        <v/>
      </c>
      <c r="AF48" s="33" t="n"/>
      <c r="AG48" s="33" t="n"/>
      <c r="AH48" s="33" t="n"/>
      <c r="AI48" s="33" t="n"/>
      <c r="AJ48" s="33" t="n"/>
      <c r="AK48" s="39" t="n"/>
      <c r="AL48" s="30">
        <f>IF(OR($C48="",$B48=""),"",IF(AND($Z47="Loss",$B48=$B47,MOD($C48-$D47,1)*1440&lt;'⚙️ Setelan'!$B$9),"⚠️ Revenge",""))</f>
        <v/>
      </c>
      <c r="AM48" s="40" t="n"/>
      <c r="AN48" s="30">
        <f>IF($AM48="","",IFERROR(IMAGE(IF(REGEXMATCH($AM48,"\.(png|jpg|jpeg|gif)$"),$AM48,"https://s3.tradingview.com/snapshots/"&amp;LOWER(MID(REGEXEXTRACT($AM48,"/x/([A-Za-z0-9]+)"),1,1))&amp;"/"&amp;REGEXEXTRACT($AM48,"/x/([A-Za-z0-9]+)")&amp;".png"),1),"⚠️ link tidak dikenali"))</f>
        <v/>
      </c>
      <c r="AO48" s="40" t="n"/>
      <c r="AP48" s="30">
        <f>IF($AO48="","",IFERROR(IMAGE(IF(REGEXMATCH($AO48,"\.(png|jpg|jpeg|gif)$"),$AO48,"https://s3.tradingview.com/snapshots/"&amp;LOWER(MID(REGEXEXTRACT($AO48,"/x/([A-Za-z0-9]+)"),1,1))&amp;"/"&amp;REGEXEXTRACT($AO48,"/x/([A-Za-z0-9]+)")&amp;".png"),1),"⚠️ link tidak dikenali"))</f>
        <v/>
      </c>
      <c r="AQ48" s="38">
        <f>IF($Z48="",0,IF(AND(OR('📊 Dashboard'!$B$4="(Semua)",$F48='📊 Dashboard'!$B$4),OR('📊 Dashboard'!$B$5="(Semua)",$H48='📊 Dashboard'!$B$5),OR('📊 Dashboard'!$B$6="(Semua)",$E48='📊 Dashboard'!$B$6),OR('📊 Dashboard'!$B$7="(Semua)",$AF48='📊 Dashboard'!$B$7),OR('📊 Dashboard'!$B$8="(Semua)",$AG48='📊 Dashboard'!$B$8),OR('📊 Dashboard'!$B$9="(Semua)",$K48='📊 Dashboard'!$B$9)),1,0))</f>
        <v/>
      </c>
    </row>
    <row r="49" ht="58" customHeight="1">
      <c r="A49" s="30">
        <f>IF($B49="","",ROW()-2)</f>
        <v/>
      </c>
      <c r="B49" s="31" t="n"/>
      <c r="C49" s="32" t="n"/>
      <c r="D49" s="32" t="n"/>
      <c r="E49" s="30">
        <f>IF($C49="","",IF(AND($C49&gt;=TIME(14,0,0),$C49&lt;TIME(19,30,0)),"London",IF(AND($C49&gt;=TIME(19,30,0),$C49&lt;TIME(23,0,0)),"Overlap LDN+NY",IF(OR($C49&gt;=TIME(23,0,0),$C49&lt;TIME(4,0,0)),"New York","Asia"))))</f>
        <v/>
      </c>
      <c r="F49" s="33" t="n"/>
      <c r="G49" s="33" t="n"/>
      <c r="H49" s="33" t="n"/>
      <c r="I49" s="33" t="n"/>
      <c r="J49" s="33" t="n"/>
      <c r="K49" s="33" t="n"/>
      <c r="L49" s="33" t="n"/>
      <c r="M49" s="33" t="n"/>
      <c r="N49" s="34" t="n"/>
      <c r="O49" s="34" t="n"/>
      <c r="P49" s="34" t="n"/>
      <c r="Q49" s="34" t="n"/>
      <c r="R49" s="35">
        <f>IFERROR(IF(OR($N49="",$O49="",$F49=""),"",ROUND(('⚙️ Setelan'!$B$3*'⚙️ Setelan'!$B$4/100)/(ABS($N49-$O49)*VLOOKUP($F49,'⚙️ Setelan'!$A$14:$F$20,4,FALSE)),2)),"")</f>
        <v/>
      </c>
      <c r="S49" s="36" t="n"/>
      <c r="T49" s="37">
        <f>IFERROR(IF(OR($N49="",$O49="",$S49=""),"",ABS($N49-$O49)*$S49*VLOOKUP($F49,'⚙️ Setelan'!$A$14:$F$20,4,FALSE)),"")</f>
        <v/>
      </c>
      <c r="U49" s="35">
        <f>IFERROR(IF(OR($N49="",$O49="",$P49=""),"",ROUND(ABS($P49-$N49)/ABS($N49-$O49),2)),"")</f>
        <v/>
      </c>
      <c r="V49" s="37">
        <f>IFERROR(IF(OR($Q49="",$N49="",$S49=""),"",($Q49-$N49)*IF($G49="Buy",1,-1)*$S49*VLOOKUP($F49,'⚙️ Setelan'!$A$14:$F$20,4,FALSE)),"")</f>
        <v/>
      </c>
      <c r="W49" s="37">
        <f>IFERROR(IF(OR($S49="",$F49=""),"",$S49*VLOOKUP($F49,'⚙️ Setelan'!$A$14:$F$20,5,FALSE)),"")</f>
        <v/>
      </c>
      <c r="X49" s="37">
        <f>IF($V49="","",$V49-IF($W49="",0,$W49))</f>
        <v/>
      </c>
      <c r="Y49" s="35">
        <f>IF(OR($X49="",$T49="",$T49=0),"",ROUND($X49/$T49,2))</f>
        <v/>
      </c>
      <c r="Z49" s="30">
        <f>IF($X49="","",IF($X49&gt;0,"Win",IF($X49&lt;0,"Loss","BE")))</f>
        <v/>
      </c>
      <c r="AA49" s="38">
        <f>IF(OR($C49="",$D49=""),"",ROUND(MOD($D49-$C49,1)*1440,0))</f>
        <v/>
      </c>
      <c r="AB49" s="34" t="n"/>
      <c r="AC49" s="34" t="n"/>
      <c r="AD49" s="35">
        <f>IFERROR(IF(OR($AB49="",$T49="",$T49=0),"",ROUND(ABS($N49-$AB49)*$S49*VLOOKUP($F49,'⚙️ Setelan'!$A$14:$F$20,4,FALSE)/$T49,2)),"")</f>
        <v/>
      </c>
      <c r="AE49" s="35">
        <f>IFERROR(IF(OR($AC49="",$T49="",$T49=0),"",ROUND(ABS($AC49-$N49)*$S49*VLOOKUP($F49,'⚙️ Setelan'!$A$14:$F$20,4,FALSE)/$T49,2)),"")</f>
        <v/>
      </c>
      <c r="AF49" s="33" t="n"/>
      <c r="AG49" s="33" t="n"/>
      <c r="AH49" s="33" t="n"/>
      <c r="AI49" s="33" t="n"/>
      <c r="AJ49" s="33" t="n"/>
      <c r="AK49" s="39" t="n"/>
      <c r="AL49" s="30">
        <f>IF(OR($C49="",$B49=""),"",IF(AND($Z48="Loss",$B49=$B48,MOD($C49-$D48,1)*1440&lt;'⚙️ Setelan'!$B$9),"⚠️ Revenge",""))</f>
        <v/>
      </c>
      <c r="AM49" s="40" t="n"/>
      <c r="AN49" s="30">
        <f>IF($AM49="","",IFERROR(IMAGE(IF(REGEXMATCH($AM49,"\.(png|jpg|jpeg|gif)$"),$AM49,"https://s3.tradingview.com/snapshots/"&amp;LOWER(MID(REGEXEXTRACT($AM49,"/x/([A-Za-z0-9]+)"),1,1))&amp;"/"&amp;REGEXEXTRACT($AM49,"/x/([A-Za-z0-9]+)")&amp;".png"),1),"⚠️ link tidak dikenali"))</f>
        <v/>
      </c>
      <c r="AO49" s="40" t="n"/>
      <c r="AP49" s="30">
        <f>IF($AO49="","",IFERROR(IMAGE(IF(REGEXMATCH($AO49,"\.(png|jpg|jpeg|gif)$"),$AO49,"https://s3.tradingview.com/snapshots/"&amp;LOWER(MID(REGEXEXTRACT($AO49,"/x/([A-Za-z0-9]+)"),1,1))&amp;"/"&amp;REGEXEXTRACT($AO49,"/x/([A-Za-z0-9]+)")&amp;".png"),1),"⚠️ link tidak dikenali"))</f>
        <v/>
      </c>
      <c r="AQ49" s="38">
        <f>IF($Z49="",0,IF(AND(OR('📊 Dashboard'!$B$4="(Semua)",$F49='📊 Dashboard'!$B$4),OR('📊 Dashboard'!$B$5="(Semua)",$H49='📊 Dashboard'!$B$5),OR('📊 Dashboard'!$B$6="(Semua)",$E49='📊 Dashboard'!$B$6),OR('📊 Dashboard'!$B$7="(Semua)",$AF49='📊 Dashboard'!$B$7),OR('📊 Dashboard'!$B$8="(Semua)",$AG49='📊 Dashboard'!$B$8),OR('📊 Dashboard'!$B$9="(Semua)",$K49='📊 Dashboard'!$B$9)),1,0))</f>
        <v/>
      </c>
    </row>
    <row r="50" ht="58" customHeight="1">
      <c r="A50" s="30">
        <f>IF($B50="","",ROW()-2)</f>
        <v/>
      </c>
      <c r="B50" s="31" t="n"/>
      <c r="C50" s="32" t="n"/>
      <c r="D50" s="32" t="n"/>
      <c r="E50" s="30">
        <f>IF($C50="","",IF(AND($C50&gt;=TIME(14,0,0),$C50&lt;TIME(19,30,0)),"London",IF(AND($C50&gt;=TIME(19,30,0),$C50&lt;TIME(23,0,0)),"Overlap LDN+NY",IF(OR($C50&gt;=TIME(23,0,0),$C50&lt;TIME(4,0,0)),"New York","Asia"))))</f>
        <v/>
      </c>
      <c r="F50" s="33" t="n"/>
      <c r="G50" s="33" t="n"/>
      <c r="H50" s="33" t="n"/>
      <c r="I50" s="33" t="n"/>
      <c r="J50" s="33" t="n"/>
      <c r="K50" s="33" t="n"/>
      <c r="L50" s="33" t="n"/>
      <c r="M50" s="33" t="n"/>
      <c r="N50" s="34" t="n"/>
      <c r="O50" s="34" t="n"/>
      <c r="P50" s="34" t="n"/>
      <c r="Q50" s="34" t="n"/>
      <c r="R50" s="35">
        <f>IFERROR(IF(OR($N50="",$O50="",$F50=""),"",ROUND(('⚙️ Setelan'!$B$3*'⚙️ Setelan'!$B$4/100)/(ABS($N50-$O50)*VLOOKUP($F50,'⚙️ Setelan'!$A$14:$F$20,4,FALSE)),2)),"")</f>
        <v/>
      </c>
      <c r="S50" s="36" t="n"/>
      <c r="T50" s="37">
        <f>IFERROR(IF(OR($N50="",$O50="",$S50=""),"",ABS($N50-$O50)*$S50*VLOOKUP($F50,'⚙️ Setelan'!$A$14:$F$20,4,FALSE)),"")</f>
        <v/>
      </c>
      <c r="U50" s="35">
        <f>IFERROR(IF(OR($N50="",$O50="",$P50=""),"",ROUND(ABS($P50-$N50)/ABS($N50-$O50),2)),"")</f>
        <v/>
      </c>
      <c r="V50" s="37">
        <f>IFERROR(IF(OR($Q50="",$N50="",$S50=""),"",($Q50-$N50)*IF($G50="Buy",1,-1)*$S50*VLOOKUP($F50,'⚙️ Setelan'!$A$14:$F$20,4,FALSE)),"")</f>
        <v/>
      </c>
      <c r="W50" s="37">
        <f>IFERROR(IF(OR($S50="",$F50=""),"",$S50*VLOOKUP($F50,'⚙️ Setelan'!$A$14:$F$20,5,FALSE)),"")</f>
        <v/>
      </c>
      <c r="X50" s="37">
        <f>IF($V50="","",$V50-IF($W50="",0,$W50))</f>
        <v/>
      </c>
      <c r="Y50" s="35">
        <f>IF(OR($X50="",$T50="",$T50=0),"",ROUND($X50/$T50,2))</f>
        <v/>
      </c>
      <c r="Z50" s="30">
        <f>IF($X50="","",IF($X50&gt;0,"Win",IF($X50&lt;0,"Loss","BE")))</f>
        <v/>
      </c>
      <c r="AA50" s="38">
        <f>IF(OR($C50="",$D50=""),"",ROUND(MOD($D50-$C50,1)*1440,0))</f>
        <v/>
      </c>
      <c r="AB50" s="34" t="n"/>
      <c r="AC50" s="34" t="n"/>
      <c r="AD50" s="35">
        <f>IFERROR(IF(OR($AB50="",$T50="",$T50=0),"",ROUND(ABS($N50-$AB50)*$S50*VLOOKUP($F50,'⚙️ Setelan'!$A$14:$F$20,4,FALSE)/$T50,2)),"")</f>
        <v/>
      </c>
      <c r="AE50" s="35">
        <f>IFERROR(IF(OR($AC50="",$T50="",$T50=0),"",ROUND(ABS($AC50-$N50)*$S50*VLOOKUP($F50,'⚙️ Setelan'!$A$14:$F$20,4,FALSE)/$T50,2)),"")</f>
        <v/>
      </c>
      <c r="AF50" s="33" t="n"/>
      <c r="AG50" s="33" t="n"/>
      <c r="AH50" s="33" t="n"/>
      <c r="AI50" s="33" t="n"/>
      <c r="AJ50" s="33" t="n"/>
      <c r="AK50" s="39" t="n"/>
      <c r="AL50" s="30">
        <f>IF(OR($C50="",$B50=""),"",IF(AND($Z49="Loss",$B50=$B49,MOD($C50-$D49,1)*1440&lt;'⚙️ Setelan'!$B$9),"⚠️ Revenge",""))</f>
        <v/>
      </c>
      <c r="AM50" s="40" t="n"/>
      <c r="AN50" s="30">
        <f>IF($AM50="","",IFERROR(IMAGE(IF(REGEXMATCH($AM50,"\.(png|jpg|jpeg|gif)$"),$AM50,"https://s3.tradingview.com/snapshots/"&amp;LOWER(MID(REGEXEXTRACT($AM50,"/x/([A-Za-z0-9]+)"),1,1))&amp;"/"&amp;REGEXEXTRACT($AM50,"/x/([A-Za-z0-9]+)")&amp;".png"),1),"⚠️ link tidak dikenali"))</f>
        <v/>
      </c>
      <c r="AO50" s="40" t="n"/>
      <c r="AP50" s="30">
        <f>IF($AO50="","",IFERROR(IMAGE(IF(REGEXMATCH($AO50,"\.(png|jpg|jpeg|gif)$"),$AO50,"https://s3.tradingview.com/snapshots/"&amp;LOWER(MID(REGEXEXTRACT($AO50,"/x/([A-Za-z0-9]+)"),1,1))&amp;"/"&amp;REGEXEXTRACT($AO50,"/x/([A-Za-z0-9]+)")&amp;".png"),1),"⚠️ link tidak dikenali"))</f>
        <v/>
      </c>
      <c r="AQ50" s="38">
        <f>IF($Z50="",0,IF(AND(OR('📊 Dashboard'!$B$4="(Semua)",$F50='📊 Dashboard'!$B$4),OR('📊 Dashboard'!$B$5="(Semua)",$H50='📊 Dashboard'!$B$5),OR('📊 Dashboard'!$B$6="(Semua)",$E50='📊 Dashboard'!$B$6),OR('📊 Dashboard'!$B$7="(Semua)",$AF50='📊 Dashboard'!$B$7),OR('📊 Dashboard'!$B$8="(Semua)",$AG50='📊 Dashboard'!$B$8),OR('📊 Dashboard'!$B$9="(Semua)",$K50='📊 Dashboard'!$B$9)),1,0))</f>
        <v/>
      </c>
    </row>
    <row r="51" ht="58" customHeight="1">
      <c r="A51" s="30">
        <f>IF($B51="","",ROW()-2)</f>
        <v/>
      </c>
      <c r="B51" s="31" t="n"/>
      <c r="C51" s="32" t="n"/>
      <c r="D51" s="32" t="n"/>
      <c r="E51" s="30">
        <f>IF($C51="","",IF(AND($C51&gt;=TIME(14,0,0),$C51&lt;TIME(19,30,0)),"London",IF(AND($C51&gt;=TIME(19,30,0),$C51&lt;TIME(23,0,0)),"Overlap LDN+NY",IF(OR($C51&gt;=TIME(23,0,0),$C51&lt;TIME(4,0,0)),"New York","Asia"))))</f>
        <v/>
      </c>
      <c r="F51" s="33" t="n"/>
      <c r="G51" s="33" t="n"/>
      <c r="H51" s="33" t="n"/>
      <c r="I51" s="33" t="n"/>
      <c r="J51" s="33" t="n"/>
      <c r="K51" s="33" t="n"/>
      <c r="L51" s="33" t="n"/>
      <c r="M51" s="33" t="n"/>
      <c r="N51" s="34" t="n"/>
      <c r="O51" s="34" t="n"/>
      <c r="P51" s="34" t="n"/>
      <c r="Q51" s="34" t="n"/>
      <c r="R51" s="35">
        <f>IFERROR(IF(OR($N51="",$O51="",$F51=""),"",ROUND(('⚙️ Setelan'!$B$3*'⚙️ Setelan'!$B$4/100)/(ABS($N51-$O51)*VLOOKUP($F51,'⚙️ Setelan'!$A$14:$F$20,4,FALSE)),2)),"")</f>
        <v/>
      </c>
      <c r="S51" s="36" t="n"/>
      <c r="T51" s="37">
        <f>IFERROR(IF(OR($N51="",$O51="",$S51=""),"",ABS($N51-$O51)*$S51*VLOOKUP($F51,'⚙️ Setelan'!$A$14:$F$20,4,FALSE)),"")</f>
        <v/>
      </c>
      <c r="U51" s="35">
        <f>IFERROR(IF(OR($N51="",$O51="",$P51=""),"",ROUND(ABS($P51-$N51)/ABS($N51-$O51),2)),"")</f>
        <v/>
      </c>
      <c r="V51" s="37">
        <f>IFERROR(IF(OR($Q51="",$N51="",$S51=""),"",($Q51-$N51)*IF($G51="Buy",1,-1)*$S51*VLOOKUP($F51,'⚙️ Setelan'!$A$14:$F$20,4,FALSE)),"")</f>
        <v/>
      </c>
      <c r="W51" s="37">
        <f>IFERROR(IF(OR($S51="",$F51=""),"",$S51*VLOOKUP($F51,'⚙️ Setelan'!$A$14:$F$20,5,FALSE)),"")</f>
        <v/>
      </c>
      <c r="X51" s="37">
        <f>IF($V51="","",$V51-IF($W51="",0,$W51))</f>
        <v/>
      </c>
      <c r="Y51" s="35">
        <f>IF(OR($X51="",$T51="",$T51=0),"",ROUND($X51/$T51,2))</f>
        <v/>
      </c>
      <c r="Z51" s="30">
        <f>IF($X51="","",IF($X51&gt;0,"Win",IF($X51&lt;0,"Loss","BE")))</f>
        <v/>
      </c>
      <c r="AA51" s="38">
        <f>IF(OR($C51="",$D51=""),"",ROUND(MOD($D51-$C51,1)*1440,0))</f>
        <v/>
      </c>
      <c r="AB51" s="34" t="n"/>
      <c r="AC51" s="34" t="n"/>
      <c r="AD51" s="35">
        <f>IFERROR(IF(OR($AB51="",$T51="",$T51=0),"",ROUND(ABS($N51-$AB51)*$S51*VLOOKUP($F51,'⚙️ Setelan'!$A$14:$F$20,4,FALSE)/$T51,2)),"")</f>
        <v/>
      </c>
      <c r="AE51" s="35">
        <f>IFERROR(IF(OR($AC51="",$T51="",$T51=0),"",ROUND(ABS($AC51-$N51)*$S51*VLOOKUP($F51,'⚙️ Setelan'!$A$14:$F$20,4,FALSE)/$T51,2)),"")</f>
        <v/>
      </c>
      <c r="AF51" s="33" t="n"/>
      <c r="AG51" s="33" t="n"/>
      <c r="AH51" s="33" t="n"/>
      <c r="AI51" s="33" t="n"/>
      <c r="AJ51" s="33" t="n"/>
      <c r="AK51" s="39" t="n"/>
      <c r="AL51" s="30">
        <f>IF(OR($C51="",$B51=""),"",IF(AND($Z50="Loss",$B51=$B50,MOD($C51-$D50,1)*1440&lt;'⚙️ Setelan'!$B$9),"⚠️ Revenge",""))</f>
        <v/>
      </c>
      <c r="AM51" s="40" t="n"/>
      <c r="AN51" s="30">
        <f>IF($AM51="","",IFERROR(IMAGE(IF(REGEXMATCH($AM51,"\.(png|jpg|jpeg|gif)$"),$AM51,"https://s3.tradingview.com/snapshots/"&amp;LOWER(MID(REGEXEXTRACT($AM51,"/x/([A-Za-z0-9]+)"),1,1))&amp;"/"&amp;REGEXEXTRACT($AM51,"/x/([A-Za-z0-9]+)")&amp;".png"),1),"⚠️ link tidak dikenali"))</f>
        <v/>
      </c>
      <c r="AO51" s="40" t="n"/>
      <c r="AP51" s="30">
        <f>IF($AO51="","",IFERROR(IMAGE(IF(REGEXMATCH($AO51,"\.(png|jpg|jpeg|gif)$"),$AO51,"https://s3.tradingview.com/snapshots/"&amp;LOWER(MID(REGEXEXTRACT($AO51,"/x/([A-Za-z0-9]+)"),1,1))&amp;"/"&amp;REGEXEXTRACT($AO51,"/x/([A-Za-z0-9]+)")&amp;".png"),1),"⚠️ link tidak dikenali"))</f>
        <v/>
      </c>
      <c r="AQ51" s="38">
        <f>IF($Z51="",0,IF(AND(OR('📊 Dashboard'!$B$4="(Semua)",$F51='📊 Dashboard'!$B$4),OR('📊 Dashboard'!$B$5="(Semua)",$H51='📊 Dashboard'!$B$5),OR('📊 Dashboard'!$B$6="(Semua)",$E51='📊 Dashboard'!$B$6),OR('📊 Dashboard'!$B$7="(Semua)",$AF51='📊 Dashboard'!$B$7),OR('📊 Dashboard'!$B$8="(Semua)",$AG51='📊 Dashboard'!$B$8),OR('📊 Dashboard'!$B$9="(Semua)",$K51='📊 Dashboard'!$B$9)),1,0))</f>
        <v/>
      </c>
    </row>
    <row r="52" ht="58" customHeight="1">
      <c r="A52" s="30">
        <f>IF($B52="","",ROW()-2)</f>
        <v/>
      </c>
      <c r="B52" s="31" t="n"/>
      <c r="C52" s="32" t="n"/>
      <c r="D52" s="32" t="n"/>
      <c r="E52" s="30">
        <f>IF($C52="","",IF(AND($C52&gt;=TIME(14,0,0),$C52&lt;TIME(19,30,0)),"London",IF(AND($C52&gt;=TIME(19,30,0),$C52&lt;TIME(23,0,0)),"Overlap LDN+NY",IF(OR($C52&gt;=TIME(23,0,0),$C52&lt;TIME(4,0,0)),"New York","Asia"))))</f>
        <v/>
      </c>
      <c r="F52" s="33" t="n"/>
      <c r="G52" s="33" t="n"/>
      <c r="H52" s="33" t="n"/>
      <c r="I52" s="33" t="n"/>
      <c r="J52" s="33" t="n"/>
      <c r="K52" s="33" t="n"/>
      <c r="L52" s="33" t="n"/>
      <c r="M52" s="33" t="n"/>
      <c r="N52" s="34" t="n"/>
      <c r="O52" s="34" t="n"/>
      <c r="P52" s="34" t="n"/>
      <c r="Q52" s="34" t="n"/>
      <c r="R52" s="35">
        <f>IFERROR(IF(OR($N52="",$O52="",$F52=""),"",ROUND(('⚙️ Setelan'!$B$3*'⚙️ Setelan'!$B$4/100)/(ABS($N52-$O52)*VLOOKUP($F52,'⚙️ Setelan'!$A$14:$F$20,4,FALSE)),2)),"")</f>
        <v/>
      </c>
      <c r="S52" s="36" t="n"/>
      <c r="T52" s="37">
        <f>IFERROR(IF(OR($N52="",$O52="",$S52=""),"",ABS($N52-$O52)*$S52*VLOOKUP($F52,'⚙️ Setelan'!$A$14:$F$20,4,FALSE)),"")</f>
        <v/>
      </c>
      <c r="U52" s="35">
        <f>IFERROR(IF(OR($N52="",$O52="",$P52=""),"",ROUND(ABS($P52-$N52)/ABS($N52-$O52),2)),"")</f>
        <v/>
      </c>
      <c r="V52" s="37">
        <f>IFERROR(IF(OR($Q52="",$N52="",$S52=""),"",($Q52-$N52)*IF($G52="Buy",1,-1)*$S52*VLOOKUP($F52,'⚙️ Setelan'!$A$14:$F$20,4,FALSE)),"")</f>
        <v/>
      </c>
      <c r="W52" s="37">
        <f>IFERROR(IF(OR($S52="",$F52=""),"",$S52*VLOOKUP($F52,'⚙️ Setelan'!$A$14:$F$20,5,FALSE)),"")</f>
        <v/>
      </c>
      <c r="X52" s="37">
        <f>IF($V52="","",$V52-IF($W52="",0,$W52))</f>
        <v/>
      </c>
      <c r="Y52" s="35">
        <f>IF(OR($X52="",$T52="",$T52=0),"",ROUND($X52/$T52,2))</f>
        <v/>
      </c>
      <c r="Z52" s="30">
        <f>IF($X52="","",IF($X52&gt;0,"Win",IF($X52&lt;0,"Loss","BE")))</f>
        <v/>
      </c>
      <c r="AA52" s="38">
        <f>IF(OR($C52="",$D52=""),"",ROUND(MOD($D52-$C52,1)*1440,0))</f>
        <v/>
      </c>
      <c r="AB52" s="34" t="n"/>
      <c r="AC52" s="34" t="n"/>
      <c r="AD52" s="35">
        <f>IFERROR(IF(OR($AB52="",$T52="",$T52=0),"",ROUND(ABS($N52-$AB52)*$S52*VLOOKUP($F52,'⚙️ Setelan'!$A$14:$F$20,4,FALSE)/$T52,2)),"")</f>
        <v/>
      </c>
      <c r="AE52" s="35">
        <f>IFERROR(IF(OR($AC52="",$T52="",$T52=0),"",ROUND(ABS($AC52-$N52)*$S52*VLOOKUP($F52,'⚙️ Setelan'!$A$14:$F$20,4,FALSE)/$T52,2)),"")</f>
        <v/>
      </c>
      <c r="AF52" s="33" t="n"/>
      <c r="AG52" s="33" t="n"/>
      <c r="AH52" s="33" t="n"/>
      <c r="AI52" s="33" t="n"/>
      <c r="AJ52" s="33" t="n"/>
      <c r="AK52" s="39" t="n"/>
      <c r="AL52" s="30">
        <f>IF(OR($C52="",$B52=""),"",IF(AND($Z51="Loss",$B52=$B51,MOD($C52-$D51,1)*1440&lt;'⚙️ Setelan'!$B$9),"⚠️ Revenge",""))</f>
        <v/>
      </c>
      <c r="AM52" s="40" t="n"/>
      <c r="AN52" s="30">
        <f>IF($AM52="","",IFERROR(IMAGE(IF(REGEXMATCH($AM52,"\.(png|jpg|jpeg|gif)$"),$AM52,"https://s3.tradingview.com/snapshots/"&amp;LOWER(MID(REGEXEXTRACT($AM52,"/x/([A-Za-z0-9]+)"),1,1))&amp;"/"&amp;REGEXEXTRACT($AM52,"/x/([A-Za-z0-9]+)")&amp;".png"),1),"⚠️ link tidak dikenali"))</f>
        <v/>
      </c>
      <c r="AO52" s="40" t="n"/>
      <c r="AP52" s="30">
        <f>IF($AO52="","",IFERROR(IMAGE(IF(REGEXMATCH($AO52,"\.(png|jpg|jpeg|gif)$"),$AO52,"https://s3.tradingview.com/snapshots/"&amp;LOWER(MID(REGEXEXTRACT($AO52,"/x/([A-Za-z0-9]+)"),1,1))&amp;"/"&amp;REGEXEXTRACT($AO52,"/x/([A-Za-z0-9]+)")&amp;".png"),1),"⚠️ link tidak dikenali"))</f>
        <v/>
      </c>
      <c r="AQ52" s="38">
        <f>IF($Z52="",0,IF(AND(OR('📊 Dashboard'!$B$4="(Semua)",$F52='📊 Dashboard'!$B$4),OR('📊 Dashboard'!$B$5="(Semua)",$H52='📊 Dashboard'!$B$5),OR('📊 Dashboard'!$B$6="(Semua)",$E52='📊 Dashboard'!$B$6),OR('📊 Dashboard'!$B$7="(Semua)",$AF52='📊 Dashboard'!$B$7),OR('📊 Dashboard'!$B$8="(Semua)",$AG52='📊 Dashboard'!$B$8),OR('📊 Dashboard'!$B$9="(Semua)",$K52='📊 Dashboard'!$B$9)),1,0))</f>
        <v/>
      </c>
    </row>
    <row r="53" ht="58" customHeight="1">
      <c r="A53" s="30">
        <f>IF($B53="","",ROW()-2)</f>
        <v/>
      </c>
      <c r="B53" s="31" t="n"/>
      <c r="C53" s="32" t="n"/>
      <c r="D53" s="32" t="n"/>
      <c r="E53" s="30">
        <f>IF($C53="","",IF(AND($C53&gt;=TIME(14,0,0),$C53&lt;TIME(19,30,0)),"London",IF(AND($C53&gt;=TIME(19,30,0),$C53&lt;TIME(23,0,0)),"Overlap LDN+NY",IF(OR($C53&gt;=TIME(23,0,0),$C53&lt;TIME(4,0,0)),"New York","Asia"))))</f>
        <v/>
      </c>
      <c r="F53" s="33" t="n"/>
      <c r="G53" s="33" t="n"/>
      <c r="H53" s="33" t="n"/>
      <c r="I53" s="33" t="n"/>
      <c r="J53" s="33" t="n"/>
      <c r="K53" s="33" t="n"/>
      <c r="L53" s="33" t="n"/>
      <c r="M53" s="33" t="n"/>
      <c r="N53" s="34" t="n"/>
      <c r="O53" s="34" t="n"/>
      <c r="P53" s="34" t="n"/>
      <c r="Q53" s="34" t="n"/>
      <c r="R53" s="35">
        <f>IFERROR(IF(OR($N53="",$O53="",$F53=""),"",ROUND(('⚙️ Setelan'!$B$3*'⚙️ Setelan'!$B$4/100)/(ABS($N53-$O53)*VLOOKUP($F53,'⚙️ Setelan'!$A$14:$F$20,4,FALSE)),2)),"")</f>
        <v/>
      </c>
      <c r="S53" s="36" t="n"/>
      <c r="T53" s="37">
        <f>IFERROR(IF(OR($N53="",$O53="",$S53=""),"",ABS($N53-$O53)*$S53*VLOOKUP($F53,'⚙️ Setelan'!$A$14:$F$20,4,FALSE)),"")</f>
        <v/>
      </c>
      <c r="U53" s="35">
        <f>IFERROR(IF(OR($N53="",$O53="",$P53=""),"",ROUND(ABS($P53-$N53)/ABS($N53-$O53),2)),"")</f>
        <v/>
      </c>
      <c r="V53" s="37">
        <f>IFERROR(IF(OR($Q53="",$N53="",$S53=""),"",($Q53-$N53)*IF($G53="Buy",1,-1)*$S53*VLOOKUP($F53,'⚙️ Setelan'!$A$14:$F$20,4,FALSE)),"")</f>
        <v/>
      </c>
      <c r="W53" s="37">
        <f>IFERROR(IF(OR($S53="",$F53=""),"",$S53*VLOOKUP($F53,'⚙️ Setelan'!$A$14:$F$20,5,FALSE)),"")</f>
        <v/>
      </c>
      <c r="X53" s="37">
        <f>IF($V53="","",$V53-IF($W53="",0,$W53))</f>
        <v/>
      </c>
      <c r="Y53" s="35">
        <f>IF(OR($X53="",$T53="",$T53=0),"",ROUND($X53/$T53,2))</f>
        <v/>
      </c>
      <c r="Z53" s="30">
        <f>IF($X53="","",IF($X53&gt;0,"Win",IF($X53&lt;0,"Loss","BE")))</f>
        <v/>
      </c>
      <c r="AA53" s="38">
        <f>IF(OR($C53="",$D53=""),"",ROUND(MOD($D53-$C53,1)*1440,0))</f>
        <v/>
      </c>
      <c r="AB53" s="34" t="n"/>
      <c r="AC53" s="34" t="n"/>
      <c r="AD53" s="35">
        <f>IFERROR(IF(OR($AB53="",$T53="",$T53=0),"",ROUND(ABS($N53-$AB53)*$S53*VLOOKUP($F53,'⚙️ Setelan'!$A$14:$F$20,4,FALSE)/$T53,2)),"")</f>
        <v/>
      </c>
      <c r="AE53" s="35">
        <f>IFERROR(IF(OR($AC53="",$T53="",$T53=0),"",ROUND(ABS($AC53-$N53)*$S53*VLOOKUP($F53,'⚙️ Setelan'!$A$14:$F$20,4,FALSE)/$T53,2)),"")</f>
        <v/>
      </c>
      <c r="AF53" s="33" t="n"/>
      <c r="AG53" s="33" t="n"/>
      <c r="AH53" s="33" t="n"/>
      <c r="AI53" s="33" t="n"/>
      <c r="AJ53" s="33" t="n"/>
      <c r="AK53" s="39" t="n"/>
      <c r="AL53" s="30">
        <f>IF(OR($C53="",$B53=""),"",IF(AND($Z52="Loss",$B53=$B52,MOD($C53-$D52,1)*1440&lt;'⚙️ Setelan'!$B$9),"⚠️ Revenge",""))</f>
        <v/>
      </c>
      <c r="AM53" s="40" t="n"/>
      <c r="AN53" s="30">
        <f>IF($AM53="","",IFERROR(IMAGE(IF(REGEXMATCH($AM53,"\.(png|jpg|jpeg|gif)$"),$AM53,"https://s3.tradingview.com/snapshots/"&amp;LOWER(MID(REGEXEXTRACT($AM53,"/x/([A-Za-z0-9]+)"),1,1))&amp;"/"&amp;REGEXEXTRACT($AM53,"/x/([A-Za-z0-9]+)")&amp;".png"),1),"⚠️ link tidak dikenali"))</f>
        <v/>
      </c>
      <c r="AO53" s="40" t="n"/>
      <c r="AP53" s="30">
        <f>IF($AO53="","",IFERROR(IMAGE(IF(REGEXMATCH($AO53,"\.(png|jpg|jpeg|gif)$"),$AO53,"https://s3.tradingview.com/snapshots/"&amp;LOWER(MID(REGEXEXTRACT($AO53,"/x/([A-Za-z0-9]+)"),1,1))&amp;"/"&amp;REGEXEXTRACT($AO53,"/x/([A-Za-z0-9]+)")&amp;".png"),1),"⚠️ link tidak dikenali"))</f>
        <v/>
      </c>
      <c r="AQ53" s="38">
        <f>IF($Z53="",0,IF(AND(OR('📊 Dashboard'!$B$4="(Semua)",$F53='📊 Dashboard'!$B$4),OR('📊 Dashboard'!$B$5="(Semua)",$H53='📊 Dashboard'!$B$5),OR('📊 Dashboard'!$B$6="(Semua)",$E53='📊 Dashboard'!$B$6),OR('📊 Dashboard'!$B$7="(Semua)",$AF53='📊 Dashboard'!$B$7),OR('📊 Dashboard'!$B$8="(Semua)",$AG53='📊 Dashboard'!$B$8),OR('📊 Dashboard'!$B$9="(Semua)",$K53='📊 Dashboard'!$B$9)),1,0))</f>
        <v/>
      </c>
    </row>
    <row r="54" ht="58" customHeight="1">
      <c r="A54" s="30">
        <f>IF($B54="","",ROW()-2)</f>
        <v/>
      </c>
      <c r="B54" s="31" t="n"/>
      <c r="C54" s="32" t="n"/>
      <c r="D54" s="32" t="n"/>
      <c r="E54" s="30">
        <f>IF($C54="","",IF(AND($C54&gt;=TIME(14,0,0),$C54&lt;TIME(19,30,0)),"London",IF(AND($C54&gt;=TIME(19,30,0),$C54&lt;TIME(23,0,0)),"Overlap LDN+NY",IF(OR($C54&gt;=TIME(23,0,0),$C54&lt;TIME(4,0,0)),"New York","Asia"))))</f>
        <v/>
      </c>
      <c r="F54" s="33" t="n"/>
      <c r="G54" s="33" t="n"/>
      <c r="H54" s="33" t="n"/>
      <c r="I54" s="33" t="n"/>
      <c r="J54" s="33" t="n"/>
      <c r="K54" s="33" t="n"/>
      <c r="L54" s="33" t="n"/>
      <c r="M54" s="33" t="n"/>
      <c r="N54" s="34" t="n"/>
      <c r="O54" s="34" t="n"/>
      <c r="P54" s="34" t="n"/>
      <c r="Q54" s="34" t="n"/>
      <c r="R54" s="35">
        <f>IFERROR(IF(OR($N54="",$O54="",$F54=""),"",ROUND(('⚙️ Setelan'!$B$3*'⚙️ Setelan'!$B$4/100)/(ABS($N54-$O54)*VLOOKUP($F54,'⚙️ Setelan'!$A$14:$F$20,4,FALSE)),2)),"")</f>
        <v/>
      </c>
      <c r="S54" s="36" t="n"/>
      <c r="T54" s="37">
        <f>IFERROR(IF(OR($N54="",$O54="",$S54=""),"",ABS($N54-$O54)*$S54*VLOOKUP($F54,'⚙️ Setelan'!$A$14:$F$20,4,FALSE)),"")</f>
        <v/>
      </c>
      <c r="U54" s="35">
        <f>IFERROR(IF(OR($N54="",$O54="",$P54=""),"",ROUND(ABS($P54-$N54)/ABS($N54-$O54),2)),"")</f>
        <v/>
      </c>
      <c r="V54" s="37">
        <f>IFERROR(IF(OR($Q54="",$N54="",$S54=""),"",($Q54-$N54)*IF($G54="Buy",1,-1)*$S54*VLOOKUP($F54,'⚙️ Setelan'!$A$14:$F$20,4,FALSE)),"")</f>
        <v/>
      </c>
      <c r="W54" s="37">
        <f>IFERROR(IF(OR($S54="",$F54=""),"",$S54*VLOOKUP($F54,'⚙️ Setelan'!$A$14:$F$20,5,FALSE)),"")</f>
        <v/>
      </c>
      <c r="X54" s="37">
        <f>IF($V54="","",$V54-IF($W54="",0,$W54))</f>
        <v/>
      </c>
      <c r="Y54" s="35">
        <f>IF(OR($X54="",$T54="",$T54=0),"",ROUND($X54/$T54,2))</f>
        <v/>
      </c>
      <c r="Z54" s="30">
        <f>IF($X54="","",IF($X54&gt;0,"Win",IF($X54&lt;0,"Loss","BE")))</f>
        <v/>
      </c>
      <c r="AA54" s="38">
        <f>IF(OR($C54="",$D54=""),"",ROUND(MOD($D54-$C54,1)*1440,0))</f>
        <v/>
      </c>
      <c r="AB54" s="34" t="n"/>
      <c r="AC54" s="34" t="n"/>
      <c r="AD54" s="35">
        <f>IFERROR(IF(OR($AB54="",$T54="",$T54=0),"",ROUND(ABS($N54-$AB54)*$S54*VLOOKUP($F54,'⚙️ Setelan'!$A$14:$F$20,4,FALSE)/$T54,2)),"")</f>
        <v/>
      </c>
      <c r="AE54" s="35">
        <f>IFERROR(IF(OR($AC54="",$T54="",$T54=0),"",ROUND(ABS($AC54-$N54)*$S54*VLOOKUP($F54,'⚙️ Setelan'!$A$14:$F$20,4,FALSE)/$T54,2)),"")</f>
        <v/>
      </c>
      <c r="AF54" s="33" t="n"/>
      <c r="AG54" s="33" t="n"/>
      <c r="AH54" s="33" t="n"/>
      <c r="AI54" s="33" t="n"/>
      <c r="AJ54" s="33" t="n"/>
      <c r="AK54" s="39" t="n"/>
      <c r="AL54" s="30">
        <f>IF(OR($C54="",$B54=""),"",IF(AND($Z53="Loss",$B54=$B53,MOD($C54-$D53,1)*1440&lt;'⚙️ Setelan'!$B$9),"⚠️ Revenge",""))</f>
        <v/>
      </c>
      <c r="AM54" s="40" t="n"/>
      <c r="AN54" s="30">
        <f>IF($AM54="","",IFERROR(IMAGE(IF(REGEXMATCH($AM54,"\.(png|jpg|jpeg|gif)$"),$AM54,"https://s3.tradingview.com/snapshots/"&amp;LOWER(MID(REGEXEXTRACT($AM54,"/x/([A-Za-z0-9]+)"),1,1))&amp;"/"&amp;REGEXEXTRACT($AM54,"/x/([A-Za-z0-9]+)")&amp;".png"),1),"⚠️ link tidak dikenali"))</f>
        <v/>
      </c>
      <c r="AO54" s="40" t="n"/>
      <c r="AP54" s="30">
        <f>IF($AO54="","",IFERROR(IMAGE(IF(REGEXMATCH($AO54,"\.(png|jpg|jpeg|gif)$"),$AO54,"https://s3.tradingview.com/snapshots/"&amp;LOWER(MID(REGEXEXTRACT($AO54,"/x/([A-Za-z0-9]+)"),1,1))&amp;"/"&amp;REGEXEXTRACT($AO54,"/x/([A-Za-z0-9]+)")&amp;".png"),1),"⚠️ link tidak dikenali"))</f>
        <v/>
      </c>
      <c r="AQ54" s="38">
        <f>IF($Z54="",0,IF(AND(OR('📊 Dashboard'!$B$4="(Semua)",$F54='📊 Dashboard'!$B$4),OR('📊 Dashboard'!$B$5="(Semua)",$H54='📊 Dashboard'!$B$5),OR('📊 Dashboard'!$B$6="(Semua)",$E54='📊 Dashboard'!$B$6),OR('📊 Dashboard'!$B$7="(Semua)",$AF54='📊 Dashboard'!$B$7),OR('📊 Dashboard'!$B$8="(Semua)",$AG54='📊 Dashboard'!$B$8),OR('📊 Dashboard'!$B$9="(Semua)",$K54='📊 Dashboard'!$B$9)),1,0))</f>
        <v/>
      </c>
    </row>
    <row r="55" ht="58" customHeight="1">
      <c r="A55" s="30">
        <f>IF($B55="","",ROW()-2)</f>
        <v/>
      </c>
      <c r="B55" s="31" t="n"/>
      <c r="C55" s="32" t="n"/>
      <c r="D55" s="32" t="n"/>
      <c r="E55" s="30">
        <f>IF($C55="","",IF(AND($C55&gt;=TIME(14,0,0),$C55&lt;TIME(19,30,0)),"London",IF(AND($C55&gt;=TIME(19,30,0),$C55&lt;TIME(23,0,0)),"Overlap LDN+NY",IF(OR($C55&gt;=TIME(23,0,0),$C55&lt;TIME(4,0,0)),"New York","Asia"))))</f>
        <v/>
      </c>
      <c r="F55" s="33" t="n"/>
      <c r="G55" s="33" t="n"/>
      <c r="H55" s="33" t="n"/>
      <c r="I55" s="33" t="n"/>
      <c r="J55" s="33" t="n"/>
      <c r="K55" s="33" t="n"/>
      <c r="L55" s="33" t="n"/>
      <c r="M55" s="33" t="n"/>
      <c r="N55" s="34" t="n"/>
      <c r="O55" s="34" t="n"/>
      <c r="P55" s="34" t="n"/>
      <c r="Q55" s="34" t="n"/>
      <c r="R55" s="35">
        <f>IFERROR(IF(OR($N55="",$O55="",$F55=""),"",ROUND(('⚙️ Setelan'!$B$3*'⚙️ Setelan'!$B$4/100)/(ABS($N55-$O55)*VLOOKUP($F55,'⚙️ Setelan'!$A$14:$F$20,4,FALSE)),2)),"")</f>
        <v/>
      </c>
      <c r="S55" s="36" t="n"/>
      <c r="T55" s="37">
        <f>IFERROR(IF(OR($N55="",$O55="",$S55=""),"",ABS($N55-$O55)*$S55*VLOOKUP($F55,'⚙️ Setelan'!$A$14:$F$20,4,FALSE)),"")</f>
        <v/>
      </c>
      <c r="U55" s="35">
        <f>IFERROR(IF(OR($N55="",$O55="",$P55=""),"",ROUND(ABS($P55-$N55)/ABS($N55-$O55),2)),"")</f>
        <v/>
      </c>
      <c r="V55" s="37">
        <f>IFERROR(IF(OR($Q55="",$N55="",$S55=""),"",($Q55-$N55)*IF($G55="Buy",1,-1)*$S55*VLOOKUP($F55,'⚙️ Setelan'!$A$14:$F$20,4,FALSE)),"")</f>
        <v/>
      </c>
      <c r="W55" s="37">
        <f>IFERROR(IF(OR($S55="",$F55=""),"",$S55*VLOOKUP($F55,'⚙️ Setelan'!$A$14:$F$20,5,FALSE)),"")</f>
        <v/>
      </c>
      <c r="X55" s="37">
        <f>IF($V55="","",$V55-IF($W55="",0,$W55))</f>
        <v/>
      </c>
      <c r="Y55" s="35">
        <f>IF(OR($X55="",$T55="",$T55=0),"",ROUND($X55/$T55,2))</f>
        <v/>
      </c>
      <c r="Z55" s="30">
        <f>IF($X55="","",IF($X55&gt;0,"Win",IF($X55&lt;0,"Loss","BE")))</f>
        <v/>
      </c>
      <c r="AA55" s="38">
        <f>IF(OR($C55="",$D55=""),"",ROUND(MOD($D55-$C55,1)*1440,0))</f>
        <v/>
      </c>
      <c r="AB55" s="34" t="n"/>
      <c r="AC55" s="34" t="n"/>
      <c r="AD55" s="35">
        <f>IFERROR(IF(OR($AB55="",$T55="",$T55=0),"",ROUND(ABS($N55-$AB55)*$S55*VLOOKUP($F55,'⚙️ Setelan'!$A$14:$F$20,4,FALSE)/$T55,2)),"")</f>
        <v/>
      </c>
      <c r="AE55" s="35">
        <f>IFERROR(IF(OR($AC55="",$T55="",$T55=0),"",ROUND(ABS($AC55-$N55)*$S55*VLOOKUP($F55,'⚙️ Setelan'!$A$14:$F$20,4,FALSE)/$T55,2)),"")</f>
        <v/>
      </c>
      <c r="AF55" s="33" t="n"/>
      <c r="AG55" s="33" t="n"/>
      <c r="AH55" s="33" t="n"/>
      <c r="AI55" s="33" t="n"/>
      <c r="AJ55" s="33" t="n"/>
      <c r="AK55" s="39" t="n"/>
      <c r="AL55" s="30">
        <f>IF(OR($C55="",$B55=""),"",IF(AND($Z54="Loss",$B55=$B54,MOD($C55-$D54,1)*1440&lt;'⚙️ Setelan'!$B$9),"⚠️ Revenge",""))</f>
        <v/>
      </c>
      <c r="AM55" s="40" t="n"/>
      <c r="AN55" s="30">
        <f>IF($AM55="","",IFERROR(IMAGE(IF(REGEXMATCH($AM55,"\.(png|jpg|jpeg|gif)$"),$AM55,"https://s3.tradingview.com/snapshots/"&amp;LOWER(MID(REGEXEXTRACT($AM55,"/x/([A-Za-z0-9]+)"),1,1))&amp;"/"&amp;REGEXEXTRACT($AM55,"/x/([A-Za-z0-9]+)")&amp;".png"),1),"⚠️ link tidak dikenali"))</f>
        <v/>
      </c>
      <c r="AO55" s="40" t="n"/>
      <c r="AP55" s="30">
        <f>IF($AO55="","",IFERROR(IMAGE(IF(REGEXMATCH($AO55,"\.(png|jpg|jpeg|gif)$"),$AO55,"https://s3.tradingview.com/snapshots/"&amp;LOWER(MID(REGEXEXTRACT($AO55,"/x/([A-Za-z0-9]+)"),1,1))&amp;"/"&amp;REGEXEXTRACT($AO55,"/x/([A-Za-z0-9]+)")&amp;".png"),1),"⚠️ link tidak dikenali"))</f>
        <v/>
      </c>
      <c r="AQ55" s="38">
        <f>IF($Z55="",0,IF(AND(OR('📊 Dashboard'!$B$4="(Semua)",$F55='📊 Dashboard'!$B$4),OR('📊 Dashboard'!$B$5="(Semua)",$H55='📊 Dashboard'!$B$5),OR('📊 Dashboard'!$B$6="(Semua)",$E55='📊 Dashboard'!$B$6),OR('📊 Dashboard'!$B$7="(Semua)",$AF55='📊 Dashboard'!$B$7),OR('📊 Dashboard'!$B$8="(Semua)",$AG55='📊 Dashboard'!$B$8),OR('📊 Dashboard'!$B$9="(Semua)",$K55='📊 Dashboard'!$B$9)),1,0))</f>
        <v/>
      </c>
    </row>
    <row r="56" ht="58" customHeight="1">
      <c r="A56" s="30">
        <f>IF($B56="","",ROW()-2)</f>
        <v/>
      </c>
      <c r="B56" s="31" t="n"/>
      <c r="C56" s="32" t="n"/>
      <c r="D56" s="32" t="n"/>
      <c r="E56" s="30">
        <f>IF($C56="","",IF(AND($C56&gt;=TIME(14,0,0),$C56&lt;TIME(19,30,0)),"London",IF(AND($C56&gt;=TIME(19,30,0),$C56&lt;TIME(23,0,0)),"Overlap LDN+NY",IF(OR($C56&gt;=TIME(23,0,0),$C56&lt;TIME(4,0,0)),"New York","Asia"))))</f>
        <v/>
      </c>
      <c r="F56" s="33" t="n"/>
      <c r="G56" s="33" t="n"/>
      <c r="H56" s="33" t="n"/>
      <c r="I56" s="33" t="n"/>
      <c r="J56" s="33" t="n"/>
      <c r="K56" s="33" t="n"/>
      <c r="L56" s="33" t="n"/>
      <c r="M56" s="33" t="n"/>
      <c r="N56" s="34" t="n"/>
      <c r="O56" s="34" t="n"/>
      <c r="P56" s="34" t="n"/>
      <c r="Q56" s="34" t="n"/>
      <c r="R56" s="35">
        <f>IFERROR(IF(OR($N56="",$O56="",$F56=""),"",ROUND(('⚙️ Setelan'!$B$3*'⚙️ Setelan'!$B$4/100)/(ABS($N56-$O56)*VLOOKUP($F56,'⚙️ Setelan'!$A$14:$F$20,4,FALSE)),2)),"")</f>
        <v/>
      </c>
      <c r="S56" s="36" t="n"/>
      <c r="T56" s="37">
        <f>IFERROR(IF(OR($N56="",$O56="",$S56=""),"",ABS($N56-$O56)*$S56*VLOOKUP($F56,'⚙️ Setelan'!$A$14:$F$20,4,FALSE)),"")</f>
        <v/>
      </c>
      <c r="U56" s="35">
        <f>IFERROR(IF(OR($N56="",$O56="",$P56=""),"",ROUND(ABS($P56-$N56)/ABS($N56-$O56),2)),"")</f>
        <v/>
      </c>
      <c r="V56" s="37">
        <f>IFERROR(IF(OR($Q56="",$N56="",$S56=""),"",($Q56-$N56)*IF($G56="Buy",1,-1)*$S56*VLOOKUP($F56,'⚙️ Setelan'!$A$14:$F$20,4,FALSE)),"")</f>
        <v/>
      </c>
      <c r="W56" s="37">
        <f>IFERROR(IF(OR($S56="",$F56=""),"",$S56*VLOOKUP($F56,'⚙️ Setelan'!$A$14:$F$20,5,FALSE)),"")</f>
        <v/>
      </c>
      <c r="X56" s="37">
        <f>IF($V56="","",$V56-IF($W56="",0,$W56))</f>
        <v/>
      </c>
      <c r="Y56" s="35">
        <f>IF(OR($X56="",$T56="",$T56=0),"",ROUND($X56/$T56,2))</f>
        <v/>
      </c>
      <c r="Z56" s="30">
        <f>IF($X56="","",IF($X56&gt;0,"Win",IF($X56&lt;0,"Loss","BE")))</f>
        <v/>
      </c>
      <c r="AA56" s="38">
        <f>IF(OR($C56="",$D56=""),"",ROUND(MOD($D56-$C56,1)*1440,0))</f>
        <v/>
      </c>
      <c r="AB56" s="34" t="n"/>
      <c r="AC56" s="34" t="n"/>
      <c r="AD56" s="35">
        <f>IFERROR(IF(OR($AB56="",$T56="",$T56=0),"",ROUND(ABS($N56-$AB56)*$S56*VLOOKUP($F56,'⚙️ Setelan'!$A$14:$F$20,4,FALSE)/$T56,2)),"")</f>
        <v/>
      </c>
      <c r="AE56" s="35">
        <f>IFERROR(IF(OR($AC56="",$T56="",$T56=0),"",ROUND(ABS($AC56-$N56)*$S56*VLOOKUP($F56,'⚙️ Setelan'!$A$14:$F$20,4,FALSE)/$T56,2)),"")</f>
        <v/>
      </c>
      <c r="AF56" s="33" t="n"/>
      <c r="AG56" s="33" t="n"/>
      <c r="AH56" s="33" t="n"/>
      <c r="AI56" s="33" t="n"/>
      <c r="AJ56" s="33" t="n"/>
      <c r="AK56" s="39" t="n"/>
      <c r="AL56" s="30">
        <f>IF(OR($C56="",$B56=""),"",IF(AND($Z55="Loss",$B56=$B55,MOD($C56-$D55,1)*1440&lt;'⚙️ Setelan'!$B$9),"⚠️ Revenge",""))</f>
        <v/>
      </c>
      <c r="AM56" s="40" t="n"/>
      <c r="AN56" s="30">
        <f>IF($AM56="","",IFERROR(IMAGE(IF(REGEXMATCH($AM56,"\.(png|jpg|jpeg|gif)$"),$AM56,"https://s3.tradingview.com/snapshots/"&amp;LOWER(MID(REGEXEXTRACT($AM56,"/x/([A-Za-z0-9]+)"),1,1))&amp;"/"&amp;REGEXEXTRACT($AM56,"/x/([A-Za-z0-9]+)")&amp;".png"),1),"⚠️ link tidak dikenali"))</f>
        <v/>
      </c>
      <c r="AO56" s="40" t="n"/>
      <c r="AP56" s="30">
        <f>IF($AO56="","",IFERROR(IMAGE(IF(REGEXMATCH($AO56,"\.(png|jpg|jpeg|gif)$"),$AO56,"https://s3.tradingview.com/snapshots/"&amp;LOWER(MID(REGEXEXTRACT($AO56,"/x/([A-Za-z0-9]+)"),1,1))&amp;"/"&amp;REGEXEXTRACT($AO56,"/x/([A-Za-z0-9]+)")&amp;".png"),1),"⚠️ link tidak dikenali"))</f>
        <v/>
      </c>
      <c r="AQ56" s="38">
        <f>IF($Z56="",0,IF(AND(OR('📊 Dashboard'!$B$4="(Semua)",$F56='📊 Dashboard'!$B$4),OR('📊 Dashboard'!$B$5="(Semua)",$H56='📊 Dashboard'!$B$5),OR('📊 Dashboard'!$B$6="(Semua)",$E56='📊 Dashboard'!$B$6),OR('📊 Dashboard'!$B$7="(Semua)",$AF56='📊 Dashboard'!$B$7),OR('📊 Dashboard'!$B$8="(Semua)",$AG56='📊 Dashboard'!$B$8),OR('📊 Dashboard'!$B$9="(Semua)",$K56='📊 Dashboard'!$B$9)),1,0))</f>
        <v/>
      </c>
    </row>
    <row r="57" ht="58" customHeight="1">
      <c r="A57" s="30">
        <f>IF($B57="","",ROW()-2)</f>
        <v/>
      </c>
      <c r="B57" s="31" t="n"/>
      <c r="C57" s="32" t="n"/>
      <c r="D57" s="32" t="n"/>
      <c r="E57" s="30">
        <f>IF($C57="","",IF(AND($C57&gt;=TIME(14,0,0),$C57&lt;TIME(19,30,0)),"London",IF(AND($C57&gt;=TIME(19,30,0),$C57&lt;TIME(23,0,0)),"Overlap LDN+NY",IF(OR($C57&gt;=TIME(23,0,0),$C57&lt;TIME(4,0,0)),"New York","Asia"))))</f>
        <v/>
      </c>
      <c r="F57" s="33" t="n"/>
      <c r="G57" s="33" t="n"/>
      <c r="H57" s="33" t="n"/>
      <c r="I57" s="33" t="n"/>
      <c r="J57" s="33" t="n"/>
      <c r="K57" s="33" t="n"/>
      <c r="L57" s="33" t="n"/>
      <c r="M57" s="33" t="n"/>
      <c r="N57" s="34" t="n"/>
      <c r="O57" s="34" t="n"/>
      <c r="P57" s="34" t="n"/>
      <c r="Q57" s="34" t="n"/>
      <c r="R57" s="35">
        <f>IFERROR(IF(OR($N57="",$O57="",$F57=""),"",ROUND(('⚙️ Setelan'!$B$3*'⚙️ Setelan'!$B$4/100)/(ABS($N57-$O57)*VLOOKUP($F57,'⚙️ Setelan'!$A$14:$F$20,4,FALSE)),2)),"")</f>
        <v/>
      </c>
      <c r="S57" s="36" t="n"/>
      <c r="T57" s="37">
        <f>IFERROR(IF(OR($N57="",$O57="",$S57=""),"",ABS($N57-$O57)*$S57*VLOOKUP($F57,'⚙️ Setelan'!$A$14:$F$20,4,FALSE)),"")</f>
        <v/>
      </c>
      <c r="U57" s="35">
        <f>IFERROR(IF(OR($N57="",$O57="",$P57=""),"",ROUND(ABS($P57-$N57)/ABS($N57-$O57),2)),"")</f>
        <v/>
      </c>
      <c r="V57" s="37">
        <f>IFERROR(IF(OR($Q57="",$N57="",$S57=""),"",($Q57-$N57)*IF($G57="Buy",1,-1)*$S57*VLOOKUP($F57,'⚙️ Setelan'!$A$14:$F$20,4,FALSE)),"")</f>
        <v/>
      </c>
      <c r="W57" s="37">
        <f>IFERROR(IF(OR($S57="",$F57=""),"",$S57*VLOOKUP($F57,'⚙️ Setelan'!$A$14:$F$20,5,FALSE)),"")</f>
        <v/>
      </c>
      <c r="X57" s="37">
        <f>IF($V57="","",$V57-IF($W57="",0,$W57))</f>
        <v/>
      </c>
      <c r="Y57" s="35">
        <f>IF(OR($X57="",$T57="",$T57=0),"",ROUND($X57/$T57,2))</f>
        <v/>
      </c>
      <c r="Z57" s="30">
        <f>IF($X57="","",IF($X57&gt;0,"Win",IF($X57&lt;0,"Loss","BE")))</f>
        <v/>
      </c>
      <c r="AA57" s="38">
        <f>IF(OR($C57="",$D57=""),"",ROUND(MOD($D57-$C57,1)*1440,0))</f>
        <v/>
      </c>
      <c r="AB57" s="34" t="n"/>
      <c r="AC57" s="34" t="n"/>
      <c r="AD57" s="35">
        <f>IFERROR(IF(OR($AB57="",$T57="",$T57=0),"",ROUND(ABS($N57-$AB57)*$S57*VLOOKUP($F57,'⚙️ Setelan'!$A$14:$F$20,4,FALSE)/$T57,2)),"")</f>
        <v/>
      </c>
      <c r="AE57" s="35">
        <f>IFERROR(IF(OR($AC57="",$T57="",$T57=0),"",ROUND(ABS($AC57-$N57)*$S57*VLOOKUP($F57,'⚙️ Setelan'!$A$14:$F$20,4,FALSE)/$T57,2)),"")</f>
        <v/>
      </c>
      <c r="AF57" s="33" t="n"/>
      <c r="AG57" s="33" t="n"/>
      <c r="AH57" s="33" t="n"/>
      <c r="AI57" s="33" t="n"/>
      <c r="AJ57" s="33" t="n"/>
      <c r="AK57" s="39" t="n"/>
      <c r="AL57" s="30">
        <f>IF(OR($C57="",$B57=""),"",IF(AND($Z56="Loss",$B57=$B56,MOD($C57-$D56,1)*1440&lt;'⚙️ Setelan'!$B$9),"⚠️ Revenge",""))</f>
        <v/>
      </c>
      <c r="AM57" s="40" t="n"/>
      <c r="AN57" s="30">
        <f>IF($AM57="","",IFERROR(IMAGE(IF(REGEXMATCH($AM57,"\.(png|jpg|jpeg|gif)$"),$AM57,"https://s3.tradingview.com/snapshots/"&amp;LOWER(MID(REGEXEXTRACT($AM57,"/x/([A-Za-z0-9]+)"),1,1))&amp;"/"&amp;REGEXEXTRACT($AM57,"/x/([A-Za-z0-9]+)")&amp;".png"),1),"⚠️ link tidak dikenali"))</f>
        <v/>
      </c>
      <c r="AO57" s="40" t="n"/>
      <c r="AP57" s="30">
        <f>IF($AO57="","",IFERROR(IMAGE(IF(REGEXMATCH($AO57,"\.(png|jpg|jpeg|gif)$"),$AO57,"https://s3.tradingview.com/snapshots/"&amp;LOWER(MID(REGEXEXTRACT($AO57,"/x/([A-Za-z0-9]+)"),1,1))&amp;"/"&amp;REGEXEXTRACT($AO57,"/x/([A-Za-z0-9]+)")&amp;".png"),1),"⚠️ link tidak dikenali"))</f>
        <v/>
      </c>
      <c r="AQ57" s="38">
        <f>IF($Z57="",0,IF(AND(OR('📊 Dashboard'!$B$4="(Semua)",$F57='📊 Dashboard'!$B$4),OR('📊 Dashboard'!$B$5="(Semua)",$H57='📊 Dashboard'!$B$5),OR('📊 Dashboard'!$B$6="(Semua)",$E57='📊 Dashboard'!$B$6),OR('📊 Dashboard'!$B$7="(Semua)",$AF57='📊 Dashboard'!$B$7),OR('📊 Dashboard'!$B$8="(Semua)",$AG57='📊 Dashboard'!$B$8),OR('📊 Dashboard'!$B$9="(Semua)",$K57='📊 Dashboard'!$B$9)),1,0))</f>
        <v/>
      </c>
    </row>
    <row r="58" ht="58" customHeight="1">
      <c r="A58" s="30">
        <f>IF($B58="","",ROW()-2)</f>
        <v/>
      </c>
      <c r="B58" s="31" t="n"/>
      <c r="C58" s="32" t="n"/>
      <c r="D58" s="32" t="n"/>
      <c r="E58" s="30">
        <f>IF($C58="","",IF(AND($C58&gt;=TIME(14,0,0),$C58&lt;TIME(19,30,0)),"London",IF(AND($C58&gt;=TIME(19,30,0),$C58&lt;TIME(23,0,0)),"Overlap LDN+NY",IF(OR($C58&gt;=TIME(23,0,0),$C58&lt;TIME(4,0,0)),"New York","Asia"))))</f>
        <v/>
      </c>
      <c r="F58" s="33" t="n"/>
      <c r="G58" s="33" t="n"/>
      <c r="H58" s="33" t="n"/>
      <c r="I58" s="33" t="n"/>
      <c r="J58" s="33" t="n"/>
      <c r="K58" s="33" t="n"/>
      <c r="L58" s="33" t="n"/>
      <c r="M58" s="33" t="n"/>
      <c r="N58" s="34" t="n"/>
      <c r="O58" s="34" t="n"/>
      <c r="P58" s="34" t="n"/>
      <c r="Q58" s="34" t="n"/>
      <c r="R58" s="35">
        <f>IFERROR(IF(OR($N58="",$O58="",$F58=""),"",ROUND(('⚙️ Setelan'!$B$3*'⚙️ Setelan'!$B$4/100)/(ABS($N58-$O58)*VLOOKUP($F58,'⚙️ Setelan'!$A$14:$F$20,4,FALSE)),2)),"")</f>
        <v/>
      </c>
      <c r="S58" s="36" t="n"/>
      <c r="T58" s="37">
        <f>IFERROR(IF(OR($N58="",$O58="",$S58=""),"",ABS($N58-$O58)*$S58*VLOOKUP($F58,'⚙️ Setelan'!$A$14:$F$20,4,FALSE)),"")</f>
        <v/>
      </c>
      <c r="U58" s="35">
        <f>IFERROR(IF(OR($N58="",$O58="",$P58=""),"",ROUND(ABS($P58-$N58)/ABS($N58-$O58),2)),"")</f>
        <v/>
      </c>
      <c r="V58" s="37">
        <f>IFERROR(IF(OR($Q58="",$N58="",$S58=""),"",($Q58-$N58)*IF($G58="Buy",1,-1)*$S58*VLOOKUP($F58,'⚙️ Setelan'!$A$14:$F$20,4,FALSE)),"")</f>
        <v/>
      </c>
      <c r="W58" s="37">
        <f>IFERROR(IF(OR($S58="",$F58=""),"",$S58*VLOOKUP($F58,'⚙️ Setelan'!$A$14:$F$20,5,FALSE)),"")</f>
        <v/>
      </c>
      <c r="X58" s="37">
        <f>IF($V58="","",$V58-IF($W58="",0,$W58))</f>
        <v/>
      </c>
      <c r="Y58" s="35">
        <f>IF(OR($X58="",$T58="",$T58=0),"",ROUND($X58/$T58,2))</f>
        <v/>
      </c>
      <c r="Z58" s="30">
        <f>IF($X58="","",IF($X58&gt;0,"Win",IF($X58&lt;0,"Loss","BE")))</f>
        <v/>
      </c>
      <c r="AA58" s="38">
        <f>IF(OR($C58="",$D58=""),"",ROUND(MOD($D58-$C58,1)*1440,0))</f>
        <v/>
      </c>
      <c r="AB58" s="34" t="n"/>
      <c r="AC58" s="34" t="n"/>
      <c r="AD58" s="35">
        <f>IFERROR(IF(OR($AB58="",$T58="",$T58=0),"",ROUND(ABS($N58-$AB58)*$S58*VLOOKUP($F58,'⚙️ Setelan'!$A$14:$F$20,4,FALSE)/$T58,2)),"")</f>
        <v/>
      </c>
      <c r="AE58" s="35">
        <f>IFERROR(IF(OR($AC58="",$T58="",$T58=0),"",ROUND(ABS($AC58-$N58)*$S58*VLOOKUP($F58,'⚙️ Setelan'!$A$14:$F$20,4,FALSE)/$T58,2)),"")</f>
        <v/>
      </c>
      <c r="AF58" s="33" t="n"/>
      <c r="AG58" s="33" t="n"/>
      <c r="AH58" s="33" t="n"/>
      <c r="AI58" s="33" t="n"/>
      <c r="AJ58" s="33" t="n"/>
      <c r="AK58" s="39" t="n"/>
      <c r="AL58" s="30">
        <f>IF(OR($C58="",$B58=""),"",IF(AND($Z57="Loss",$B58=$B57,MOD($C58-$D57,1)*1440&lt;'⚙️ Setelan'!$B$9),"⚠️ Revenge",""))</f>
        <v/>
      </c>
      <c r="AM58" s="40" t="n"/>
      <c r="AN58" s="30">
        <f>IF($AM58="","",IFERROR(IMAGE(IF(REGEXMATCH($AM58,"\.(png|jpg|jpeg|gif)$"),$AM58,"https://s3.tradingview.com/snapshots/"&amp;LOWER(MID(REGEXEXTRACT($AM58,"/x/([A-Za-z0-9]+)"),1,1))&amp;"/"&amp;REGEXEXTRACT($AM58,"/x/([A-Za-z0-9]+)")&amp;".png"),1),"⚠️ link tidak dikenali"))</f>
        <v/>
      </c>
      <c r="AO58" s="40" t="n"/>
      <c r="AP58" s="30">
        <f>IF($AO58="","",IFERROR(IMAGE(IF(REGEXMATCH($AO58,"\.(png|jpg|jpeg|gif)$"),$AO58,"https://s3.tradingview.com/snapshots/"&amp;LOWER(MID(REGEXEXTRACT($AO58,"/x/([A-Za-z0-9]+)"),1,1))&amp;"/"&amp;REGEXEXTRACT($AO58,"/x/([A-Za-z0-9]+)")&amp;".png"),1),"⚠️ link tidak dikenali"))</f>
        <v/>
      </c>
      <c r="AQ58" s="38">
        <f>IF($Z58="",0,IF(AND(OR('📊 Dashboard'!$B$4="(Semua)",$F58='📊 Dashboard'!$B$4),OR('📊 Dashboard'!$B$5="(Semua)",$H58='📊 Dashboard'!$B$5),OR('📊 Dashboard'!$B$6="(Semua)",$E58='📊 Dashboard'!$B$6),OR('📊 Dashboard'!$B$7="(Semua)",$AF58='📊 Dashboard'!$B$7),OR('📊 Dashboard'!$B$8="(Semua)",$AG58='📊 Dashboard'!$B$8),OR('📊 Dashboard'!$B$9="(Semua)",$K58='📊 Dashboard'!$B$9)),1,0))</f>
        <v/>
      </c>
    </row>
    <row r="59" ht="58" customHeight="1">
      <c r="A59" s="30">
        <f>IF($B59="","",ROW()-2)</f>
        <v/>
      </c>
      <c r="B59" s="31" t="n"/>
      <c r="C59" s="32" t="n"/>
      <c r="D59" s="32" t="n"/>
      <c r="E59" s="30">
        <f>IF($C59="","",IF(AND($C59&gt;=TIME(14,0,0),$C59&lt;TIME(19,30,0)),"London",IF(AND($C59&gt;=TIME(19,30,0),$C59&lt;TIME(23,0,0)),"Overlap LDN+NY",IF(OR($C59&gt;=TIME(23,0,0),$C59&lt;TIME(4,0,0)),"New York","Asia"))))</f>
        <v/>
      </c>
      <c r="F59" s="33" t="n"/>
      <c r="G59" s="33" t="n"/>
      <c r="H59" s="33" t="n"/>
      <c r="I59" s="33" t="n"/>
      <c r="J59" s="33" t="n"/>
      <c r="K59" s="33" t="n"/>
      <c r="L59" s="33" t="n"/>
      <c r="M59" s="33" t="n"/>
      <c r="N59" s="34" t="n"/>
      <c r="O59" s="34" t="n"/>
      <c r="P59" s="34" t="n"/>
      <c r="Q59" s="34" t="n"/>
      <c r="R59" s="35">
        <f>IFERROR(IF(OR($N59="",$O59="",$F59=""),"",ROUND(('⚙️ Setelan'!$B$3*'⚙️ Setelan'!$B$4/100)/(ABS($N59-$O59)*VLOOKUP($F59,'⚙️ Setelan'!$A$14:$F$20,4,FALSE)),2)),"")</f>
        <v/>
      </c>
      <c r="S59" s="36" t="n"/>
      <c r="T59" s="37">
        <f>IFERROR(IF(OR($N59="",$O59="",$S59=""),"",ABS($N59-$O59)*$S59*VLOOKUP($F59,'⚙️ Setelan'!$A$14:$F$20,4,FALSE)),"")</f>
        <v/>
      </c>
      <c r="U59" s="35">
        <f>IFERROR(IF(OR($N59="",$O59="",$P59=""),"",ROUND(ABS($P59-$N59)/ABS($N59-$O59),2)),"")</f>
        <v/>
      </c>
      <c r="V59" s="37">
        <f>IFERROR(IF(OR($Q59="",$N59="",$S59=""),"",($Q59-$N59)*IF($G59="Buy",1,-1)*$S59*VLOOKUP($F59,'⚙️ Setelan'!$A$14:$F$20,4,FALSE)),"")</f>
        <v/>
      </c>
      <c r="W59" s="37">
        <f>IFERROR(IF(OR($S59="",$F59=""),"",$S59*VLOOKUP($F59,'⚙️ Setelan'!$A$14:$F$20,5,FALSE)),"")</f>
        <v/>
      </c>
      <c r="X59" s="37">
        <f>IF($V59="","",$V59-IF($W59="",0,$W59))</f>
        <v/>
      </c>
      <c r="Y59" s="35">
        <f>IF(OR($X59="",$T59="",$T59=0),"",ROUND($X59/$T59,2))</f>
        <v/>
      </c>
      <c r="Z59" s="30">
        <f>IF($X59="","",IF($X59&gt;0,"Win",IF($X59&lt;0,"Loss","BE")))</f>
        <v/>
      </c>
      <c r="AA59" s="38">
        <f>IF(OR($C59="",$D59=""),"",ROUND(MOD($D59-$C59,1)*1440,0))</f>
        <v/>
      </c>
      <c r="AB59" s="34" t="n"/>
      <c r="AC59" s="34" t="n"/>
      <c r="AD59" s="35">
        <f>IFERROR(IF(OR($AB59="",$T59="",$T59=0),"",ROUND(ABS($N59-$AB59)*$S59*VLOOKUP($F59,'⚙️ Setelan'!$A$14:$F$20,4,FALSE)/$T59,2)),"")</f>
        <v/>
      </c>
      <c r="AE59" s="35">
        <f>IFERROR(IF(OR($AC59="",$T59="",$T59=0),"",ROUND(ABS($AC59-$N59)*$S59*VLOOKUP($F59,'⚙️ Setelan'!$A$14:$F$20,4,FALSE)/$T59,2)),"")</f>
        <v/>
      </c>
      <c r="AF59" s="33" t="n"/>
      <c r="AG59" s="33" t="n"/>
      <c r="AH59" s="33" t="n"/>
      <c r="AI59" s="33" t="n"/>
      <c r="AJ59" s="33" t="n"/>
      <c r="AK59" s="39" t="n"/>
      <c r="AL59" s="30">
        <f>IF(OR($C59="",$B59=""),"",IF(AND($Z58="Loss",$B59=$B58,MOD($C59-$D58,1)*1440&lt;'⚙️ Setelan'!$B$9),"⚠️ Revenge",""))</f>
        <v/>
      </c>
      <c r="AM59" s="40" t="n"/>
      <c r="AN59" s="30">
        <f>IF($AM59="","",IFERROR(IMAGE(IF(REGEXMATCH($AM59,"\.(png|jpg|jpeg|gif)$"),$AM59,"https://s3.tradingview.com/snapshots/"&amp;LOWER(MID(REGEXEXTRACT($AM59,"/x/([A-Za-z0-9]+)"),1,1))&amp;"/"&amp;REGEXEXTRACT($AM59,"/x/([A-Za-z0-9]+)")&amp;".png"),1),"⚠️ link tidak dikenali"))</f>
        <v/>
      </c>
      <c r="AO59" s="40" t="n"/>
      <c r="AP59" s="30">
        <f>IF($AO59="","",IFERROR(IMAGE(IF(REGEXMATCH($AO59,"\.(png|jpg|jpeg|gif)$"),$AO59,"https://s3.tradingview.com/snapshots/"&amp;LOWER(MID(REGEXEXTRACT($AO59,"/x/([A-Za-z0-9]+)"),1,1))&amp;"/"&amp;REGEXEXTRACT($AO59,"/x/([A-Za-z0-9]+)")&amp;".png"),1),"⚠️ link tidak dikenali"))</f>
        <v/>
      </c>
      <c r="AQ59" s="38">
        <f>IF($Z59="",0,IF(AND(OR('📊 Dashboard'!$B$4="(Semua)",$F59='📊 Dashboard'!$B$4),OR('📊 Dashboard'!$B$5="(Semua)",$H59='📊 Dashboard'!$B$5),OR('📊 Dashboard'!$B$6="(Semua)",$E59='📊 Dashboard'!$B$6),OR('📊 Dashboard'!$B$7="(Semua)",$AF59='📊 Dashboard'!$B$7),OR('📊 Dashboard'!$B$8="(Semua)",$AG59='📊 Dashboard'!$B$8),OR('📊 Dashboard'!$B$9="(Semua)",$K59='📊 Dashboard'!$B$9)),1,0))</f>
        <v/>
      </c>
    </row>
    <row r="60" ht="58" customHeight="1">
      <c r="A60" s="30">
        <f>IF($B60="","",ROW()-2)</f>
        <v/>
      </c>
      <c r="B60" s="31" t="n"/>
      <c r="C60" s="32" t="n"/>
      <c r="D60" s="32" t="n"/>
      <c r="E60" s="30">
        <f>IF($C60="","",IF(AND($C60&gt;=TIME(14,0,0),$C60&lt;TIME(19,30,0)),"London",IF(AND($C60&gt;=TIME(19,30,0),$C60&lt;TIME(23,0,0)),"Overlap LDN+NY",IF(OR($C60&gt;=TIME(23,0,0),$C60&lt;TIME(4,0,0)),"New York","Asia"))))</f>
        <v/>
      </c>
      <c r="F60" s="33" t="n"/>
      <c r="G60" s="33" t="n"/>
      <c r="H60" s="33" t="n"/>
      <c r="I60" s="33" t="n"/>
      <c r="J60" s="33" t="n"/>
      <c r="K60" s="33" t="n"/>
      <c r="L60" s="33" t="n"/>
      <c r="M60" s="33" t="n"/>
      <c r="N60" s="34" t="n"/>
      <c r="O60" s="34" t="n"/>
      <c r="P60" s="34" t="n"/>
      <c r="Q60" s="34" t="n"/>
      <c r="R60" s="35">
        <f>IFERROR(IF(OR($N60="",$O60="",$F60=""),"",ROUND(('⚙️ Setelan'!$B$3*'⚙️ Setelan'!$B$4/100)/(ABS($N60-$O60)*VLOOKUP($F60,'⚙️ Setelan'!$A$14:$F$20,4,FALSE)),2)),"")</f>
        <v/>
      </c>
      <c r="S60" s="36" t="n"/>
      <c r="T60" s="37">
        <f>IFERROR(IF(OR($N60="",$O60="",$S60=""),"",ABS($N60-$O60)*$S60*VLOOKUP($F60,'⚙️ Setelan'!$A$14:$F$20,4,FALSE)),"")</f>
        <v/>
      </c>
      <c r="U60" s="35">
        <f>IFERROR(IF(OR($N60="",$O60="",$P60=""),"",ROUND(ABS($P60-$N60)/ABS($N60-$O60),2)),"")</f>
        <v/>
      </c>
      <c r="V60" s="37">
        <f>IFERROR(IF(OR($Q60="",$N60="",$S60=""),"",($Q60-$N60)*IF($G60="Buy",1,-1)*$S60*VLOOKUP($F60,'⚙️ Setelan'!$A$14:$F$20,4,FALSE)),"")</f>
        <v/>
      </c>
      <c r="W60" s="37">
        <f>IFERROR(IF(OR($S60="",$F60=""),"",$S60*VLOOKUP($F60,'⚙️ Setelan'!$A$14:$F$20,5,FALSE)),"")</f>
        <v/>
      </c>
      <c r="X60" s="37">
        <f>IF($V60="","",$V60-IF($W60="",0,$W60))</f>
        <v/>
      </c>
      <c r="Y60" s="35">
        <f>IF(OR($X60="",$T60="",$T60=0),"",ROUND($X60/$T60,2))</f>
        <v/>
      </c>
      <c r="Z60" s="30">
        <f>IF($X60="","",IF($X60&gt;0,"Win",IF($X60&lt;0,"Loss","BE")))</f>
        <v/>
      </c>
      <c r="AA60" s="38">
        <f>IF(OR($C60="",$D60=""),"",ROUND(MOD($D60-$C60,1)*1440,0))</f>
        <v/>
      </c>
      <c r="AB60" s="34" t="n"/>
      <c r="AC60" s="34" t="n"/>
      <c r="AD60" s="35">
        <f>IFERROR(IF(OR($AB60="",$T60="",$T60=0),"",ROUND(ABS($N60-$AB60)*$S60*VLOOKUP($F60,'⚙️ Setelan'!$A$14:$F$20,4,FALSE)/$T60,2)),"")</f>
        <v/>
      </c>
      <c r="AE60" s="35">
        <f>IFERROR(IF(OR($AC60="",$T60="",$T60=0),"",ROUND(ABS($AC60-$N60)*$S60*VLOOKUP($F60,'⚙️ Setelan'!$A$14:$F$20,4,FALSE)/$T60,2)),"")</f>
        <v/>
      </c>
      <c r="AF60" s="33" t="n"/>
      <c r="AG60" s="33" t="n"/>
      <c r="AH60" s="33" t="n"/>
      <c r="AI60" s="33" t="n"/>
      <c r="AJ60" s="33" t="n"/>
      <c r="AK60" s="39" t="n"/>
      <c r="AL60" s="30">
        <f>IF(OR($C60="",$B60=""),"",IF(AND($Z59="Loss",$B60=$B59,MOD($C60-$D59,1)*1440&lt;'⚙️ Setelan'!$B$9),"⚠️ Revenge",""))</f>
        <v/>
      </c>
      <c r="AM60" s="40" t="n"/>
      <c r="AN60" s="30">
        <f>IF($AM60="","",IFERROR(IMAGE(IF(REGEXMATCH($AM60,"\.(png|jpg|jpeg|gif)$"),$AM60,"https://s3.tradingview.com/snapshots/"&amp;LOWER(MID(REGEXEXTRACT($AM60,"/x/([A-Za-z0-9]+)"),1,1))&amp;"/"&amp;REGEXEXTRACT($AM60,"/x/([A-Za-z0-9]+)")&amp;".png"),1),"⚠️ link tidak dikenali"))</f>
        <v/>
      </c>
      <c r="AO60" s="40" t="n"/>
      <c r="AP60" s="30">
        <f>IF($AO60="","",IFERROR(IMAGE(IF(REGEXMATCH($AO60,"\.(png|jpg|jpeg|gif)$"),$AO60,"https://s3.tradingview.com/snapshots/"&amp;LOWER(MID(REGEXEXTRACT($AO60,"/x/([A-Za-z0-9]+)"),1,1))&amp;"/"&amp;REGEXEXTRACT($AO60,"/x/([A-Za-z0-9]+)")&amp;".png"),1),"⚠️ link tidak dikenali"))</f>
        <v/>
      </c>
      <c r="AQ60" s="38">
        <f>IF($Z60="",0,IF(AND(OR('📊 Dashboard'!$B$4="(Semua)",$F60='📊 Dashboard'!$B$4),OR('📊 Dashboard'!$B$5="(Semua)",$H60='📊 Dashboard'!$B$5),OR('📊 Dashboard'!$B$6="(Semua)",$E60='📊 Dashboard'!$B$6),OR('📊 Dashboard'!$B$7="(Semua)",$AF60='📊 Dashboard'!$B$7),OR('📊 Dashboard'!$B$8="(Semua)",$AG60='📊 Dashboard'!$B$8),OR('📊 Dashboard'!$B$9="(Semua)",$K60='📊 Dashboard'!$B$9)),1,0))</f>
        <v/>
      </c>
    </row>
    <row r="61" ht="58" customHeight="1">
      <c r="A61" s="30">
        <f>IF($B61="","",ROW()-2)</f>
        <v/>
      </c>
      <c r="B61" s="31" t="n"/>
      <c r="C61" s="32" t="n"/>
      <c r="D61" s="32" t="n"/>
      <c r="E61" s="30">
        <f>IF($C61="","",IF(AND($C61&gt;=TIME(14,0,0),$C61&lt;TIME(19,30,0)),"London",IF(AND($C61&gt;=TIME(19,30,0),$C61&lt;TIME(23,0,0)),"Overlap LDN+NY",IF(OR($C61&gt;=TIME(23,0,0),$C61&lt;TIME(4,0,0)),"New York","Asia"))))</f>
        <v/>
      </c>
      <c r="F61" s="33" t="n"/>
      <c r="G61" s="33" t="n"/>
      <c r="H61" s="33" t="n"/>
      <c r="I61" s="33" t="n"/>
      <c r="J61" s="33" t="n"/>
      <c r="K61" s="33" t="n"/>
      <c r="L61" s="33" t="n"/>
      <c r="M61" s="33" t="n"/>
      <c r="N61" s="34" t="n"/>
      <c r="O61" s="34" t="n"/>
      <c r="P61" s="34" t="n"/>
      <c r="Q61" s="34" t="n"/>
      <c r="R61" s="35">
        <f>IFERROR(IF(OR($N61="",$O61="",$F61=""),"",ROUND(('⚙️ Setelan'!$B$3*'⚙️ Setelan'!$B$4/100)/(ABS($N61-$O61)*VLOOKUP($F61,'⚙️ Setelan'!$A$14:$F$20,4,FALSE)),2)),"")</f>
        <v/>
      </c>
      <c r="S61" s="36" t="n"/>
      <c r="T61" s="37">
        <f>IFERROR(IF(OR($N61="",$O61="",$S61=""),"",ABS($N61-$O61)*$S61*VLOOKUP($F61,'⚙️ Setelan'!$A$14:$F$20,4,FALSE)),"")</f>
        <v/>
      </c>
      <c r="U61" s="35">
        <f>IFERROR(IF(OR($N61="",$O61="",$P61=""),"",ROUND(ABS($P61-$N61)/ABS($N61-$O61),2)),"")</f>
        <v/>
      </c>
      <c r="V61" s="37">
        <f>IFERROR(IF(OR($Q61="",$N61="",$S61=""),"",($Q61-$N61)*IF($G61="Buy",1,-1)*$S61*VLOOKUP($F61,'⚙️ Setelan'!$A$14:$F$20,4,FALSE)),"")</f>
        <v/>
      </c>
      <c r="W61" s="37">
        <f>IFERROR(IF(OR($S61="",$F61=""),"",$S61*VLOOKUP($F61,'⚙️ Setelan'!$A$14:$F$20,5,FALSE)),"")</f>
        <v/>
      </c>
      <c r="X61" s="37">
        <f>IF($V61="","",$V61-IF($W61="",0,$W61))</f>
        <v/>
      </c>
      <c r="Y61" s="35">
        <f>IF(OR($X61="",$T61="",$T61=0),"",ROUND($X61/$T61,2))</f>
        <v/>
      </c>
      <c r="Z61" s="30">
        <f>IF($X61="","",IF($X61&gt;0,"Win",IF($X61&lt;0,"Loss","BE")))</f>
        <v/>
      </c>
      <c r="AA61" s="38">
        <f>IF(OR($C61="",$D61=""),"",ROUND(MOD($D61-$C61,1)*1440,0))</f>
        <v/>
      </c>
      <c r="AB61" s="34" t="n"/>
      <c r="AC61" s="34" t="n"/>
      <c r="AD61" s="35">
        <f>IFERROR(IF(OR($AB61="",$T61="",$T61=0),"",ROUND(ABS($N61-$AB61)*$S61*VLOOKUP($F61,'⚙️ Setelan'!$A$14:$F$20,4,FALSE)/$T61,2)),"")</f>
        <v/>
      </c>
      <c r="AE61" s="35">
        <f>IFERROR(IF(OR($AC61="",$T61="",$T61=0),"",ROUND(ABS($AC61-$N61)*$S61*VLOOKUP($F61,'⚙️ Setelan'!$A$14:$F$20,4,FALSE)/$T61,2)),"")</f>
        <v/>
      </c>
      <c r="AF61" s="33" t="n"/>
      <c r="AG61" s="33" t="n"/>
      <c r="AH61" s="33" t="n"/>
      <c r="AI61" s="33" t="n"/>
      <c r="AJ61" s="33" t="n"/>
      <c r="AK61" s="39" t="n"/>
      <c r="AL61" s="30">
        <f>IF(OR($C61="",$B61=""),"",IF(AND($Z60="Loss",$B61=$B60,MOD($C61-$D60,1)*1440&lt;'⚙️ Setelan'!$B$9),"⚠️ Revenge",""))</f>
        <v/>
      </c>
      <c r="AM61" s="40" t="n"/>
      <c r="AN61" s="30">
        <f>IF($AM61="","",IFERROR(IMAGE(IF(REGEXMATCH($AM61,"\.(png|jpg|jpeg|gif)$"),$AM61,"https://s3.tradingview.com/snapshots/"&amp;LOWER(MID(REGEXEXTRACT($AM61,"/x/([A-Za-z0-9]+)"),1,1))&amp;"/"&amp;REGEXEXTRACT($AM61,"/x/([A-Za-z0-9]+)")&amp;".png"),1),"⚠️ link tidak dikenali"))</f>
        <v/>
      </c>
      <c r="AO61" s="40" t="n"/>
      <c r="AP61" s="30">
        <f>IF($AO61="","",IFERROR(IMAGE(IF(REGEXMATCH($AO61,"\.(png|jpg|jpeg|gif)$"),$AO61,"https://s3.tradingview.com/snapshots/"&amp;LOWER(MID(REGEXEXTRACT($AO61,"/x/([A-Za-z0-9]+)"),1,1))&amp;"/"&amp;REGEXEXTRACT($AO61,"/x/([A-Za-z0-9]+)")&amp;".png"),1),"⚠️ link tidak dikenali"))</f>
        <v/>
      </c>
      <c r="AQ61" s="38">
        <f>IF($Z61="",0,IF(AND(OR('📊 Dashboard'!$B$4="(Semua)",$F61='📊 Dashboard'!$B$4),OR('📊 Dashboard'!$B$5="(Semua)",$H61='📊 Dashboard'!$B$5),OR('📊 Dashboard'!$B$6="(Semua)",$E61='📊 Dashboard'!$B$6),OR('📊 Dashboard'!$B$7="(Semua)",$AF61='📊 Dashboard'!$B$7),OR('📊 Dashboard'!$B$8="(Semua)",$AG61='📊 Dashboard'!$B$8),OR('📊 Dashboard'!$B$9="(Semua)",$K61='📊 Dashboard'!$B$9)),1,0))</f>
        <v/>
      </c>
    </row>
    <row r="62" ht="58" customHeight="1">
      <c r="A62" s="30">
        <f>IF($B62="","",ROW()-2)</f>
        <v/>
      </c>
      <c r="B62" s="31" t="n"/>
      <c r="C62" s="32" t="n"/>
      <c r="D62" s="32" t="n"/>
      <c r="E62" s="30">
        <f>IF($C62="","",IF(AND($C62&gt;=TIME(14,0,0),$C62&lt;TIME(19,30,0)),"London",IF(AND($C62&gt;=TIME(19,30,0),$C62&lt;TIME(23,0,0)),"Overlap LDN+NY",IF(OR($C62&gt;=TIME(23,0,0),$C62&lt;TIME(4,0,0)),"New York","Asia"))))</f>
        <v/>
      </c>
      <c r="F62" s="33" t="n"/>
      <c r="G62" s="33" t="n"/>
      <c r="H62" s="33" t="n"/>
      <c r="I62" s="33" t="n"/>
      <c r="J62" s="33" t="n"/>
      <c r="K62" s="33" t="n"/>
      <c r="L62" s="33" t="n"/>
      <c r="M62" s="33" t="n"/>
      <c r="N62" s="34" t="n"/>
      <c r="O62" s="34" t="n"/>
      <c r="P62" s="34" t="n"/>
      <c r="Q62" s="34" t="n"/>
      <c r="R62" s="35">
        <f>IFERROR(IF(OR($N62="",$O62="",$F62=""),"",ROUND(('⚙️ Setelan'!$B$3*'⚙️ Setelan'!$B$4/100)/(ABS($N62-$O62)*VLOOKUP($F62,'⚙️ Setelan'!$A$14:$F$20,4,FALSE)),2)),"")</f>
        <v/>
      </c>
      <c r="S62" s="36" t="n"/>
      <c r="T62" s="37">
        <f>IFERROR(IF(OR($N62="",$O62="",$S62=""),"",ABS($N62-$O62)*$S62*VLOOKUP($F62,'⚙️ Setelan'!$A$14:$F$20,4,FALSE)),"")</f>
        <v/>
      </c>
      <c r="U62" s="35">
        <f>IFERROR(IF(OR($N62="",$O62="",$P62=""),"",ROUND(ABS($P62-$N62)/ABS($N62-$O62),2)),"")</f>
        <v/>
      </c>
      <c r="V62" s="37">
        <f>IFERROR(IF(OR($Q62="",$N62="",$S62=""),"",($Q62-$N62)*IF($G62="Buy",1,-1)*$S62*VLOOKUP($F62,'⚙️ Setelan'!$A$14:$F$20,4,FALSE)),"")</f>
        <v/>
      </c>
      <c r="W62" s="37">
        <f>IFERROR(IF(OR($S62="",$F62=""),"",$S62*VLOOKUP($F62,'⚙️ Setelan'!$A$14:$F$20,5,FALSE)),"")</f>
        <v/>
      </c>
      <c r="X62" s="37">
        <f>IF($V62="","",$V62-IF($W62="",0,$W62))</f>
        <v/>
      </c>
      <c r="Y62" s="35">
        <f>IF(OR($X62="",$T62="",$T62=0),"",ROUND($X62/$T62,2))</f>
        <v/>
      </c>
      <c r="Z62" s="30">
        <f>IF($X62="","",IF($X62&gt;0,"Win",IF($X62&lt;0,"Loss","BE")))</f>
        <v/>
      </c>
      <c r="AA62" s="38">
        <f>IF(OR($C62="",$D62=""),"",ROUND(MOD($D62-$C62,1)*1440,0))</f>
        <v/>
      </c>
      <c r="AB62" s="34" t="n"/>
      <c r="AC62" s="34" t="n"/>
      <c r="AD62" s="35">
        <f>IFERROR(IF(OR($AB62="",$T62="",$T62=0),"",ROUND(ABS($N62-$AB62)*$S62*VLOOKUP($F62,'⚙️ Setelan'!$A$14:$F$20,4,FALSE)/$T62,2)),"")</f>
        <v/>
      </c>
      <c r="AE62" s="35">
        <f>IFERROR(IF(OR($AC62="",$T62="",$T62=0),"",ROUND(ABS($AC62-$N62)*$S62*VLOOKUP($F62,'⚙️ Setelan'!$A$14:$F$20,4,FALSE)/$T62,2)),"")</f>
        <v/>
      </c>
      <c r="AF62" s="33" t="n"/>
      <c r="AG62" s="33" t="n"/>
      <c r="AH62" s="33" t="n"/>
      <c r="AI62" s="33" t="n"/>
      <c r="AJ62" s="33" t="n"/>
      <c r="AK62" s="39" t="n"/>
      <c r="AL62" s="30">
        <f>IF(OR($C62="",$B62=""),"",IF(AND($Z61="Loss",$B62=$B61,MOD($C62-$D61,1)*1440&lt;'⚙️ Setelan'!$B$9),"⚠️ Revenge",""))</f>
        <v/>
      </c>
      <c r="AM62" s="40" t="n"/>
      <c r="AN62" s="30">
        <f>IF($AM62="","",IFERROR(IMAGE(IF(REGEXMATCH($AM62,"\.(png|jpg|jpeg|gif)$"),$AM62,"https://s3.tradingview.com/snapshots/"&amp;LOWER(MID(REGEXEXTRACT($AM62,"/x/([A-Za-z0-9]+)"),1,1))&amp;"/"&amp;REGEXEXTRACT($AM62,"/x/([A-Za-z0-9]+)")&amp;".png"),1),"⚠️ link tidak dikenali"))</f>
        <v/>
      </c>
      <c r="AO62" s="40" t="n"/>
      <c r="AP62" s="30">
        <f>IF($AO62="","",IFERROR(IMAGE(IF(REGEXMATCH($AO62,"\.(png|jpg|jpeg|gif)$"),$AO62,"https://s3.tradingview.com/snapshots/"&amp;LOWER(MID(REGEXEXTRACT($AO62,"/x/([A-Za-z0-9]+)"),1,1))&amp;"/"&amp;REGEXEXTRACT($AO62,"/x/([A-Za-z0-9]+)")&amp;".png"),1),"⚠️ link tidak dikenali"))</f>
        <v/>
      </c>
      <c r="AQ62" s="38">
        <f>IF($Z62="",0,IF(AND(OR('📊 Dashboard'!$B$4="(Semua)",$F62='📊 Dashboard'!$B$4),OR('📊 Dashboard'!$B$5="(Semua)",$H62='📊 Dashboard'!$B$5),OR('📊 Dashboard'!$B$6="(Semua)",$E62='📊 Dashboard'!$B$6),OR('📊 Dashboard'!$B$7="(Semua)",$AF62='📊 Dashboard'!$B$7),OR('📊 Dashboard'!$B$8="(Semua)",$AG62='📊 Dashboard'!$B$8),OR('📊 Dashboard'!$B$9="(Semua)",$K62='📊 Dashboard'!$B$9)),1,0))</f>
        <v/>
      </c>
    </row>
    <row r="63" ht="58" customHeight="1">
      <c r="A63" s="30">
        <f>IF($B63="","",ROW()-2)</f>
        <v/>
      </c>
      <c r="B63" s="31" t="n"/>
      <c r="C63" s="32" t="n"/>
      <c r="D63" s="32" t="n"/>
      <c r="E63" s="30">
        <f>IF($C63="","",IF(AND($C63&gt;=TIME(14,0,0),$C63&lt;TIME(19,30,0)),"London",IF(AND($C63&gt;=TIME(19,30,0),$C63&lt;TIME(23,0,0)),"Overlap LDN+NY",IF(OR($C63&gt;=TIME(23,0,0),$C63&lt;TIME(4,0,0)),"New York","Asia"))))</f>
        <v/>
      </c>
      <c r="F63" s="33" t="n"/>
      <c r="G63" s="33" t="n"/>
      <c r="H63" s="33" t="n"/>
      <c r="I63" s="33" t="n"/>
      <c r="J63" s="33" t="n"/>
      <c r="K63" s="33" t="n"/>
      <c r="L63" s="33" t="n"/>
      <c r="M63" s="33" t="n"/>
      <c r="N63" s="34" t="n"/>
      <c r="O63" s="34" t="n"/>
      <c r="P63" s="34" t="n"/>
      <c r="Q63" s="34" t="n"/>
      <c r="R63" s="35">
        <f>IFERROR(IF(OR($N63="",$O63="",$F63=""),"",ROUND(('⚙️ Setelan'!$B$3*'⚙️ Setelan'!$B$4/100)/(ABS($N63-$O63)*VLOOKUP($F63,'⚙️ Setelan'!$A$14:$F$20,4,FALSE)),2)),"")</f>
        <v/>
      </c>
      <c r="S63" s="36" t="n"/>
      <c r="T63" s="37">
        <f>IFERROR(IF(OR($N63="",$O63="",$S63=""),"",ABS($N63-$O63)*$S63*VLOOKUP($F63,'⚙️ Setelan'!$A$14:$F$20,4,FALSE)),"")</f>
        <v/>
      </c>
      <c r="U63" s="35">
        <f>IFERROR(IF(OR($N63="",$O63="",$P63=""),"",ROUND(ABS($P63-$N63)/ABS($N63-$O63),2)),"")</f>
        <v/>
      </c>
      <c r="V63" s="37">
        <f>IFERROR(IF(OR($Q63="",$N63="",$S63=""),"",($Q63-$N63)*IF($G63="Buy",1,-1)*$S63*VLOOKUP($F63,'⚙️ Setelan'!$A$14:$F$20,4,FALSE)),"")</f>
        <v/>
      </c>
      <c r="W63" s="37">
        <f>IFERROR(IF(OR($S63="",$F63=""),"",$S63*VLOOKUP($F63,'⚙️ Setelan'!$A$14:$F$20,5,FALSE)),"")</f>
        <v/>
      </c>
      <c r="X63" s="37">
        <f>IF($V63="","",$V63-IF($W63="",0,$W63))</f>
        <v/>
      </c>
      <c r="Y63" s="35">
        <f>IF(OR($X63="",$T63="",$T63=0),"",ROUND($X63/$T63,2))</f>
        <v/>
      </c>
      <c r="Z63" s="30">
        <f>IF($X63="","",IF($X63&gt;0,"Win",IF($X63&lt;0,"Loss","BE")))</f>
        <v/>
      </c>
      <c r="AA63" s="38">
        <f>IF(OR($C63="",$D63=""),"",ROUND(MOD($D63-$C63,1)*1440,0))</f>
        <v/>
      </c>
      <c r="AB63" s="34" t="n"/>
      <c r="AC63" s="34" t="n"/>
      <c r="AD63" s="35">
        <f>IFERROR(IF(OR($AB63="",$T63="",$T63=0),"",ROUND(ABS($N63-$AB63)*$S63*VLOOKUP($F63,'⚙️ Setelan'!$A$14:$F$20,4,FALSE)/$T63,2)),"")</f>
        <v/>
      </c>
      <c r="AE63" s="35">
        <f>IFERROR(IF(OR($AC63="",$T63="",$T63=0),"",ROUND(ABS($AC63-$N63)*$S63*VLOOKUP($F63,'⚙️ Setelan'!$A$14:$F$20,4,FALSE)/$T63,2)),"")</f>
        <v/>
      </c>
      <c r="AF63" s="33" t="n"/>
      <c r="AG63" s="33" t="n"/>
      <c r="AH63" s="33" t="n"/>
      <c r="AI63" s="33" t="n"/>
      <c r="AJ63" s="33" t="n"/>
      <c r="AK63" s="39" t="n"/>
      <c r="AL63" s="30">
        <f>IF(OR($C63="",$B63=""),"",IF(AND($Z62="Loss",$B63=$B62,MOD($C63-$D62,1)*1440&lt;'⚙️ Setelan'!$B$9),"⚠️ Revenge",""))</f>
        <v/>
      </c>
      <c r="AM63" s="40" t="n"/>
      <c r="AN63" s="30">
        <f>IF($AM63="","",IFERROR(IMAGE(IF(REGEXMATCH($AM63,"\.(png|jpg|jpeg|gif)$"),$AM63,"https://s3.tradingview.com/snapshots/"&amp;LOWER(MID(REGEXEXTRACT($AM63,"/x/([A-Za-z0-9]+)"),1,1))&amp;"/"&amp;REGEXEXTRACT($AM63,"/x/([A-Za-z0-9]+)")&amp;".png"),1),"⚠️ link tidak dikenali"))</f>
        <v/>
      </c>
      <c r="AO63" s="40" t="n"/>
      <c r="AP63" s="30">
        <f>IF($AO63="","",IFERROR(IMAGE(IF(REGEXMATCH($AO63,"\.(png|jpg|jpeg|gif)$"),$AO63,"https://s3.tradingview.com/snapshots/"&amp;LOWER(MID(REGEXEXTRACT($AO63,"/x/([A-Za-z0-9]+)"),1,1))&amp;"/"&amp;REGEXEXTRACT($AO63,"/x/([A-Za-z0-9]+)")&amp;".png"),1),"⚠️ link tidak dikenali"))</f>
        <v/>
      </c>
      <c r="AQ63" s="38">
        <f>IF($Z63="",0,IF(AND(OR('📊 Dashboard'!$B$4="(Semua)",$F63='📊 Dashboard'!$B$4),OR('📊 Dashboard'!$B$5="(Semua)",$H63='📊 Dashboard'!$B$5),OR('📊 Dashboard'!$B$6="(Semua)",$E63='📊 Dashboard'!$B$6),OR('📊 Dashboard'!$B$7="(Semua)",$AF63='📊 Dashboard'!$B$7),OR('📊 Dashboard'!$B$8="(Semua)",$AG63='📊 Dashboard'!$B$8),OR('📊 Dashboard'!$B$9="(Semua)",$K63='📊 Dashboard'!$B$9)),1,0))</f>
        <v/>
      </c>
    </row>
    <row r="64" ht="58" customHeight="1">
      <c r="A64" s="30">
        <f>IF($B64="","",ROW()-2)</f>
        <v/>
      </c>
      <c r="B64" s="31" t="n"/>
      <c r="C64" s="32" t="n"/>
      <c r="D64" s="32" t="n"/>
      <c r="E64" s="30">
        <f>IF($C64="","",IF(AND($C64&gt;=TIME(14,0,0),$C64&lt;TIME(19,30,0)),"London",IF(AND($C64&gt;=TIME(19,30,0),$C64&lt;TIME(23,0,0)),"Overlap LDN+NY",IF(OR($C64&gt;=TIME(23,0,0),$C64&lt;TIME(4,0,0)),"New York","Asia"))))</f>
        <v/>
      </c>
      <c r="F64" s="33" t="n"/>
      <c r="G64" s="33" t="n"/>
      <c r="H64" s="33" t="n"/>
      <c r="I64" s="33" t="n"/>
      <c r="J64" s="33" t="n"/>
      <c r="K64" s="33" t="n"/>
      <c r="L64" s="33" t="n"/>
      <c r="M64" s="33" t="n"/>
      <c r="N64" s="34" t="n"/>
      <c r="O64" s="34" t="n"/>
      <c r="P64" s="34" t="n"/>
      <c r="Q64" s="34" t="n"/>
      <c r="R64" s="35">
        <f>IFERROR(IF(OR($N64="",$O64="",$F64=""),"",ROUND(('⚙️ Setelan'!$B$3*'⚙️ Setelan'!$B$4/100)/(ABS($N64-$O64)*VLOOKUP($F64,'⚙️ Setelan'!$A$14:$F$20,4,FALSE)),2)),"")</f>
        <v/>
      </c>
      <c r="S64" s="36" t="n"/>
      <c r="T64" s="37">
        <f>IFERROR(IF(OR($N64="",$O64="",$S64=""),"",ABS($N64-$O64)*$S64*VLOOKUP($F64,'⚙️ Setelan'!$A$14:$F$20,4,FALSE)),"")</f>
        <v/>
      </c>
      <c r="U64" s="35">
        <f>IFERROR(IF(OR($N64="",$O64="",$P64=""),"",ROUND(ABS($P64-$N64)/ABS($N64-$O64),2)),"")</f>
        <v/>
      </c>
      <c r="V64" s="37">
        <f>IFERROR(IF(OR($Q64="",$N64="",$S64=""),"",($Q64-$N64)*IF($G64="Buy",1,-1)*$S64*VLOOKUP($F64,'⚙️ Setelan'!$A$14:$F$20,4,FALSE)),"")</f>
        <v/>
      </c>
      <c r="W64" s="37">
        <f>IFERROR(IF(OR($S64="",$F64=""),"",$S64*VLOOKUP($F64,'⚙️ Setelan'!$A$14:$F$20,5,FALSE)),"")</f>
        <v/>
      </c>
      <c r="X64" s="37">
        <f>IF($V64="","",$V64-IF($W64="",0,$W64))</f>
        <v/>
      </c>
      <c r="Y64" s="35">
        <f>IF(OR($X64="",$T64="",$T64=0),"",ROUND($X64/$T64,2))</f>
        <v/>
      </c>
      <c r="Z64" s="30">
        <f>IF($X64="","",IF($X64&gt;0,"Win",IF($X64&lt;0,"Loss","BE")))</f>
        <v/>
      </c>
      <c r="AA64" s="38">
        <f>IF(OR($C64="",$D64=""),"",ROUND(MOD($D64-$C64,1)*1440,0))</f>
        <v/>
      </c>
      <c r="AB64" s="34" t="n"/>
      <c r="AC64" s="34" t="n"/>
      <c r="AD64" s="35">
        <f>IFERROR(IF(OR($AB64="",$T64="",$T64=0),"",ROUND(ABS($N64-$AB64)*$S64*VLOOKUP($F64,'⚙️ Setelan'!$A$14:$F$20,4,FALSE)/$T64,2)),"")</f>
        <v/>
      </c>
      <c r="AE64" s="35">
        <f>IFERROR(IF(OR($AC64="",$T64="",$T64=0),"",ROUND(ABS($AC64-$N64)*$S64*VLOOKUP($F64,'⚙️ Setelan'!$A$14:$F$20,4,FALSE)/$T64,2)),"")</f>
        <v/>
      </c>
      <c r="AF64" s="33" t="n"/>
      <c r="AG64" s="33" t="n"/>
      <c r="AH64" s="33" t="n"/>
      <c r="AI64" s="33" t="n"/>
      <c r="AJ64" s="33" t="n"/>
      <c r="AK64" s="39" t="n"/>
      <c r="AL64" s="30">
        <f>IF(OR($C64="",$B64=""),"",IF(AND($Z63="Loss",$B64=$B63,MOD($C64-$D63,1)*1440&lt;'⚙️ Setelan'!$B$9),"⚠️ Revenge",""))</f>
        <v/>
      </c>
      <c r="AM64" s="40" t="n"/>
      <c r="AN64" s="30">
        <f>IF($AM64="","",IFERROR(IMAGE(IF(REGEXMATCH($AM64,"\.(png|jpg|jpeg|gif)$"),$AM64,"https://s3.tradingview.com/snapshots/"&amp;LOWER(MID(REGEXEXTRACT($AM64,"/x/([A-Za-z0-9]+)"),1,1))&amp;"/"&amp;REGEXEXTRACT($AM64,"/x/([A-Za-z0-9]+)")&amp;".png"),1),"⚠️ link tidak dikenali"))</f>
        <v/>
      </c>
      <c r="AO64" s="40" t="n"/>
      <c r="AP64" s="30">
        <f>IF($AO64="","",IFERROR(IMAGE(IF(REGEXMATCH($AO64,"\.(png|jpg|jpeg|gif)$"),$AO64,"https://s3.tradingview.com/snapshots/"&amp;LOWER(MID(REGEXEXTRACT($AO64,"/x/([A-Za-z0-9]+)"),1,1))&amp;"/"&amp;REGEXEXTRACT($AO64,"/x/([A-Za-z0-9]+)")&amp;".png"),1),"⚠️ link tidak dikenali"))</f>
        <v/>
      </c>
      <c r="AQ64" s="38">
        <f>IF($Z64="",0,IF(AND(OR('📊 Dashboard'!$B$4="(Semua)",$F64='📊 Dashboard'!$B$4),OR('📊 Dashboard'!$B$5="(Semua)",$H64='📊 Dashboard'!$B$5),OR('📊 Dashboard'!$B$6="(Semua)",$E64='📊 Dashboard'!$B$6),OR('📊 Dashboard'!$B$7="(Semua)",$AF64='📊 Dashboard'!$B$7),OR('📊 Dashboard'!$B$8="(Semua)",$AG64='📊 Dashboard'!$B$8),OR('📊 Dashboard'!$B$9="(Semua)",$K64='📊 Dashboard'!$B$9)),1,0))</f>
        <v/>
      </c>
    </row>
    <row r="65" ht="58" customHeight="1">
      <c r="A65" s="30">
        <f>IF($B65="","",ROW()-2)</f>
        <v/>
      </c>
      <c r="B65" s="31" t="n"/>
      <c r="C65" s="32" t="n"/>
      <c r="D65" s="32" t="n"/>
      <c r="E65" s="30">
        <f>IF($C65="","",IF(AND($C65&gt;=TIME(14,0,0),$C65&lt;TIME(19,30,0)),"London",IF(AND($C65&gt;=TIME(19,30,0),$C65&lt;TIME(23,0,0)),"Overlap LDN+NY",IF(OR($C65&gt;=TIME(23,0,0),$C65&lt;TIME(4,0,0)),"New York","Asia"))))</f>
        <v/>
      </c>
      <c r="F65" s="33" t="n"/>
      <c r="G65" s="33" t="n"/>
      <c r="H65" s="33" t="n"/>
      <c r="I65" s="33" t="n"/>
      <c r="J65" s="33" t="n"/>
      <c r="K65" s="33" t="n"/>
      <c r="L65" s="33" t="n"/>
      <c r="M65" s="33" t="n"/>
      <c r="N65" s="34" t="n"/>
      <c r="O65" s="34" t="n"/>
      <c r="P65" s="34" t="n"/>
      <c r="Q65" s="34" t="n"/>
      <c r="R65" s="35">
        <f>IFERROR(IF(OR($N65="",$O65="",$F65=""),"",ROUND(('⚙️ Setelan'!$B$3*'⚙️ Setelan'!$B$4/100)/(ABS($N65-$O65)*VLOOKUP($F65,'⚙️ Setelan'!$A$14:$F$20,4,FALSE)),2)),"")</f>
        <v/>
      </c>
      <c r="S65" s="36" t="n"/>
      <c r="T65" s="37">
        <f>IFERROR(IF(OR($N65="",$O65="",$S65=""),"",ABS($N65-$O65)*$S65*VLOOKUP($F65,'⚙️ Setelan'!$A$14:$F$20,4,FALSE)),"")</f>
        <v/>
      </c>
      <c r="U65" s="35">
        <f>IFERROR(IF(OR($N65="",$O65="",$P65=""),"",ROUND(ABS($P65-$N65)/ABS($N65-$O65),2)),"")</f>
        <v/>
      </c>
      <c r="V65" s="37">
        <f>IFERROR(IF(OR($Q65="",$N65="",$S65=""),"",($Q65-$N65)*IF($G65="Buy",1,-1)*$S65*VLOOKUP($F65,'⚙️ Setelan'!$A$14:$F$20,4,FALSE)),"")</f>
        <v/>
      </c>
      <c r="W65" s="37">
        <f>IFERROR(IF(OR($S65="",$F65=""),"",$S65*VLOOKUP($F65,'⚙️ Setelan'!$A$14:$F$20,5,FALSE)),"")</f>
        <v/>
      </c>
      <c r="X65" s="37">
        <f>IF($V65="","",$V65-IF($W65="",0,$W65))</f>
        <v/>
      </c>
      <c r="Y65" s="35">
        <f>IF(OR($X65="",$T65="",$T65=0),"",ROUND($X65/$T65,2))</f>
        <v/>
      </c>
      <c r="Z65" s="30">
        <f>IF($X65="","",IF($X65&gt;0,"Win",IF($X65&lt;0,"Loss","BE")))</f>
        <v/>
      </c>
      <c r="AA65" s="38">
        <f>IF(OR($C65="",$D65=""),"",ROUND(MOD($D65-$C65,1)*1440,0))</f>
        <v/>
      </c>
      <c r="AB65" s="34" t="n"/>
      <c r="AC65" s="34" t="n"/>
      <c r="AD65" s="35">
        <f>IFERROR(IF(OR($AB65="",$T65="",$T65=0),"",ROUND(ABS($N65-$AB65)*$S65*VLOOKUP($F65,'⚙️ Setelan'!$A$14:$F$20,4,FALSE)/$T65,2)),"")</f>
        <v/>
      </c>
      <c r="AE65" s="35">
        <f>IFERROR(IF(OR($AC65="",$T65="",$T65=0),"",ROUND(ABS($AC65-$N65)*$S65*VLOOKUP($F65,'⚙️ Setelan'!$A$14:$F$20,4,FALSE)/$T65,2)),"")</f>
        <v/>
      </c>
      <c r="AF65" s="33" t="n"/>
      <c r="AG65" s="33" t="n"/>
      <c r="AH65" s="33" t="n"/>
      <c r="AI65" s="33" t="n"/>
      <c r="AJ65" s="33" t="n"/>
      <c r="AK65" s="39" t="n"/>
      <c r="AL65" s="30">
        <f>IF(OR($C65="",$B65=""),"",IF(AND($Z64="Loss",$B65=$B64,MOD($C65-$D64,1)*1440&lt;'⚙️ Setelan'!$B$9),"⚠️ Revenge",""))</f>
        <v/>
      </c>
      <c r="AM65" s="40" t="n"/>
      <c r="AN65" s="30">
        <f>IF($AM65="","",IFERROR(IMAGE(IF(REGEXMATCH($AM65,"\.(png|jpg|jpeg|gif)$"),$AM65,"https://s3.tradingview.com/snapshots/"&amp;LOWER(MID(REGEXEXTRACT($AM65,"/x/([A-Za-z0-9]+)"),1,1))&amp;"/"&amp;REGEXEXTRACT($AM65,"/x/([A-Za-z0-9]+)")&amp;".png"),1),"⚠️ link tidak dikenali"))</f>
        <v/>
      </c>
      <c r="AO65" s="40" t="n"/>
      <c r="AP65" s="30">
        <f>IF($AO65="","",IFERROR(IMAGE(IF(REGEXMATCH($AO65,"\.(png|jpg|jpeg|gif)$"),$AO65,"https://s3.tradingview.com/snapshots/"&amp;LOWER(MID(REGEXEXTRACT($AO65,"/x/([A-Za-z0-9]+)"),1,1))&amp;"/"&amp;REGEXEXTRACT($AO65,"/x/([A-Za-z0-9]+)")&amp;".png"),1),"⚠️ link tidak dikenali"))</f>
        <v/>
      </c>
      <c r="AQ65" s="38">
        <f>IF($Z65="",0,IF(AND(OR('📊 Dashboard'!$B$4="(Semua)",$F65='📊 Dashboard'!$B$4),OR('📊 Dashboard'!$B$5="(Semua)",$H65='📊 Dashboard'!$B$5),OR('📊 Dashboard'!$B$6="(Semua)",$E65='📊 Dashboard'!$B$6),OR('📊 Dashboard'!$B$7="(Semua)",$AF65='📊 Dashboard'!$B$7),OR('📊 Dashboard'!$B$8="(Semua)",$AG65='📊 Dashboard'!$B$8),OR('📊 Dashboard'!$B$9="(Semua)",$K65='📊 Dashboard'!$B$9)),1,0))</f>
        <v/>
      </c>
    </row>
    <row r="66" ht="58" customHeight="1">
      <c r="A66" s="30">
        <f>IF($B66="","",ROW()-2)</f>
        <v/>
      </c>
      <c r="B66" s="31" t="n"/>
      <c r="C66" s="32" t="n"/>
      <c r="D66" s="32" t="n"/>
      <c r="E66" s="30">
        <f>IF($C66="","",IF(AND($C66&gt;=TIME(14,0,0),$C66&lt;TIME(19,30,0)),"London",IF(AND($C66&gt;=TIME(19,30,0),$C66&lt;TIME(23,0,0)),"Overlap LDN+NY",IF(OR($C66&gt;=TIME(23,0,0),$C66&lt;TIME(4,0,0)),"New York","Asia"))))</f>
        <v/>
      </c>
      <c r="F66" s="33" t="n"/>
      <c r="G66" s="33" t="n"/>
      <c r="H66" s="33" t="n"/>
      <c r="I66" s="33" t="n"/>
      <c r="J66" s="33" t="n"/>
      <c r="K66" s="33" t="n"/>
      <c r="L66" s="33" t="n"/>
      <c r="M66" s="33" t="n"/>
      <c r="N66" s="34" t="n"/>
      <c r="O66" s="34" t="n"/>
      <c r="P66" s="34" t="n"/>
      <c r="Q66" s="34" t="n"/>
      <c r="R66" s="35">
        <f>IFERROR(IF(OR($N66="",$O66="",$F66=""),"",ROUND(('⚙️ Setelan'!$B$3*'⚙️ Setelan'!$B$4/100)/(ABS($N66-$O66)*VLOOKUP($F66,'⚙️ Setelan'!$A$14:$F$20,4,FALSE)),2)),"")</f>
        <v/>
      </c>
      <c r="S66" s="36" t="n"/>
      <c r="T66" s="37">
        <f>IFERROR(IF(OR($N66="",$O66="",$S66=""),"",ABS($N66-$O66)*$S66*VLOOKUP($F66,'⚙️ Setelan'!$A$14:$F$20,4,FALSE)),"")</f>
        <v/>
      </c>
      <c r="U66" s="35">
        <f>IFERROR(IF(OR($N66="",$O66="",$P66=""),"",ROUND(ABS($P66-$N66)/ABS($N66-$O66),2)),"")</f>
        <v/>
      </c>
      <c r="V66" s="37">
        <f>IFERROR(IF(OR($Q66="",$N66="",$S66=""),"",($Q66-$N66)*IF($G66="Buy",1,-1)*$S66*VLOOKUP($F66,'⚙️ Setelan'!$A$14:$F$20,4,FALSE)),"")</f>
        <v/>
      </c>
      <c r="W66" s="37">
        <f>IFERROR(IF(OR($S66="",$F66=""),"",$S66*VLOOKUP($F66,'⚙️ Setelan'!$A$14:$F$20,5,FALSE)),"")</f>
        <v/>
      </c>
      <c r="X66" s="37">
        <f>IF($V66="","",$V66-IF($W66="",0,$W66))</f>
        <v/>
      </c>
      <c r="Y66" s="35">
        <f>IF(OR($X66="",$T66="",$T66=0),"",ROUND($X66/$T66,2))</f>
        <v/>
      </c>
      <c r="Z66" s="30">
        <f>IF($X66="","",IF($X66&gt;0,"Win",IF($X66&lt;0,"Loss","BE")))</f>
        <v/>
      </c>
      <c r="AA66" s="38">
        <f>IF(OR($C66="",$D66=""),"",ROUND(MOD($D66-$C66,1)*1440,0))</f>
        <v/>
      </c>
      <c r="AB66" s="34" t="n"/>
      <c r="AC66" s="34" t="n"/>
      <c r="AD66" s="35">
        <f>IFERROR(IF(OR($AB66="",$T66="",$T66=0),"",ROUND(ABS($N66-$AB66)*$S66*VLOOKUP($F66,'⚙️ Setelan'!$A$14:$F$20,4,FALSE)/$T66,2)),"")</f>
        <v/>
      </c>
      <c r="AE66" s="35">
        <f>IFERROR(IF(OR($AC66="",$T66="",$T66=0),"",ROUND(ABS($AC66-$N66)*$S66*VLOOKUP($F66,'⚙️ Setelan'!$A$14:$F$20,4,FALSE)/$T66,2)),"")</f>
        <v/>
      </c>
      <c r="AF66" s="33" t="n"/>
      <c r="AG66" s="33" t="n"/>
      <c r="AH66" s="33" t="n"/>
      <c r="AI66" s="33" t="n"/>
      <c r="AJ66" s="33" t="n"/>
      <c r="AK66" s="39" t="n"/>
      <c r="AL66" s="30">
        <f>IF(OR($C66="",$B66=""),"",IF(AND($Z65="Loss",$B66=$B65,MOD($C66-$D65,1)*1440&lt;'⚙️ Setelan'!$B$9),"⚠️ Revenge",""))</f>
        <v/>
      </c>
      <c r="AM66" s="40" t="n"/>
      <c r="AN66" s="30">
        <f>IF($AM66="","",IFERROR(IMAGE(IF(REGEXMATCH($AM66,"\.(png|jpg|jpeg|gif)$"),$AM66,"https://s3.tradingview.com/snapshots/"&amp;LOWER(MID(REGEXEXTRACT($AM66,"/x/([A-Za-z0-9]+)"),1,1))&amp;"/"&amp;REGEXEXTRACT($AM66,"/x/([A-Za-z0-9]+)")&amp;".png"),1),"⚠️ link tidak dikenali"))</f>
        <v/>
      </c>
      <c r="AO66" s="40" t="n"/>
      <c r="AP66" s="30">
        <f>IF($AO66="","",IFERROR(IMAGE(IF(REGEXMATCH($AO66,"\.(png|jpg|jpeg|gif)$"),$AO66,"https://s3.tradingview.com/snapshots/"&amp;LOWER(MID(REGEXEXTRACT($AO66,"/x/([A-Za-z0-9]+)"),1,1))&amp;"/"&amp;REGEXEXTRACT($AO66,"/x/([A-Za-z0-9]+)")&amp;".png"),1),"⚠️ link tidak dikenali"))</f>
        <v/>
      </c>
      <c r="AQ66" s="38">
        <f>IF($Z66="",0,IF(AND(OR('📊 Dashboard'!$B$4="(Semua)",$F66='📊 Dashboard'!$B$4),OR('📊 Dashboard'!$B$5="(Semua)",$H66='📊 Dashboard'!$B$5),OR('📊 Dashboard'!$B$6="(Semua)",$E66='📊 Dashboard'!$B$6),OR('📊 Dashboard'!$B$7="(Semua)",$AF66='📊 Dashboard'!$B$7),OR('📊 Dashboard'!$B$8="(Semua)",$AG66='📊 Dashboard'!$B$8),OR('📊 Dashboard'!$B$9="(Semua)",$K66='📊 Dashboard'!$B$9)),1,0))</f>
        <v/>
      </c>
    </row>
    <row r="67" ht="58" customHeight="1">
      <c r="A67" s="30">
        <f>IF($B67="","",ROW()-2)</f>
        <v/>
      </c>
      <c r="B67" s="31" t="n"/>
      <c r="C67" s="32" t="n"/>
      <c r="D67" s="32" t="n"/>
      <c r="E67" s="30">
        <f>IF($C67="","",IF(AND($C67&gt;=TIME(14,0,0),$C67&lt;TIME(19,30,0)),"London",IF(AND($C67&gt;=TIME(19,30,0),$C67&lt;TIME(23,0,0)),"Overlap LDN+NY",IF(OR($C67&gt;=TIME(23,0,0),$C67&lt;TIME(4,0,0)),"New York","Asia"))))</f>
        <v/>
      </c>
      <c r="F67" s="33" t="n"/>
      <c r="G67" s="33" t="n"/>
      <c r="H67" s="33" t="n"/>
      <c r="I67" s="33" t="n"/>
      <c r="J67" s="33" t="n"/>
      <c r="K67" s="33" t="n"/>
      <c r="L67" s="33" t="n"/>
      <c r="M67" s="33" t="n"/>
      <c r="N67" s="34" t="n"/>
      <c r="O67" s="34" t="n"/>
      <c r="P67" s="34" t="n"/>
      <c r="Q67" s="34" t="n"/>
      <c r="R67" s="35">
        <f>IFERROR(IF(OR($N67="",$O67="",$F67=""),"",ROUND(('⚙️ Setelan'!$B$3*'⚙️ Setelan'!$B$4/100)/(ABS($N67-$O67)*VLOOKUP($F67,'⚙️ Setelan'!$A$14:$F$20,4,FALSE)),2)),"")</f>
        <v/>
      </c>
      <c r="S67" s="36" t="n"/>
      <c r="T67" s="37">
        <f>IFERROR(IF(OR($N67="",$O67="",$S67=""),"",ABS($N67-$O67)*$S67*VLOOKUP($F67,'⚙️ Setelan'!$A$14:$F$20,4,FALSE)),"")</f>
        <v/>
      </c>
      <c r="U67" s="35">
        <f>IFERROR(IF(OR($N67="",$O67="",$P67=""),"",ROUND(ABS($P67-$N67)/ABS($N67-$O67),2)),"")</f>
        <v/>
      </c>
      <c r="V67" s="37">
        <f>IFERROR(IF(OR($Q67="",$N67="",$S67=""),"",($Q67-$N67)*IF($G67="Buy",1,-1)*$S67*VLOOKUP($F67,'⚙️ Setelan'!$A$14:$F$20,4,FALSE)),"")</f>
        <v/>
      </c>
      <c r="W67" s="37">
        <f>IFERROR(IF(OR($S67="",$F67=""),"",$S67*VLOOKUP($F67,'⚙️ Setelan'!$A$14:$F$20,5,FALSE)),"")</f>
        <v/>
      </c>
      <c r="X67" s="37">
        <f>IF($V67="","",$V67-IF($W67="",0,$W67))</f>
        <v/>
      </c>
      <c r="Y67" s="35">
        <f>IF(OR($X67="",$T67="",$T67=0),"",ROUND($X67/$T67,2))</f>
        <v/>
      </c>
      <c r="Z67" s="30">
        <f>IF($X67="","",IF($X67&gt;0,"Win",IF($X67&lt;0,"Loss","BE")))</f>
        <v/>
      </c>
      <c r="AA67" s="38">
        <f>IF(OR($C67="",$D67=""),"",ROUND(MOD($D67-$C67,1)*1440,0))</f>
        <v/>
      </c>
      <c r="AB67" s="34" t="n"/>
      <c r="AC67" s="34" t="n"/>
      <c r="AD67" s="35">
        <f>IFERROR(IF(OR($AB67="",$T67="",$T67=0),"",ROUND(ABS($N67-$AB67)*$S67*VLOOKUP($F67,'⚙️ Setelan'!$A$14:$F$20,4,FALSE)/$T67,2)),"")</f>
        <v/>
      </c>
      <c r="AE67" s="35">
        <f>IFERROR(IF(OR($AC67="",$T67="",$T67=0),"",ROUND(ABS($AC67-$N67)*$S67*VLOOKUP($F67,'⚙️ Setelan'!$A$14:$F$20,4,FALSE)/$T67,2)),"")</f>
        <v/>
      </c>
      <c r="AF67" s="33" t="n"/>
      <c r="AG67" s="33" t="n"/>
      <c r="AH67" s="33" t="n"/>
      <c r="AI67" s="33" t="n"/>
      <c r="AJ67" s="33" t="n"/>
      <c r="AK67" s="39" t="n"/>
      <c r="AL67" s="30">
        <f>IF(OR($C67="",$B67=""),"",IF(AND($Z66="Loss",$B67=$B66,MOD($C67-$D66,1)*1440&lt;'⚙️ Setelan'!$B$9),"⚠️ Revenge",""))</f>
        <v/>
      </c>
      <c r="AM67" s="40" t="n"/>
      <c r="AN67" s="30">
        <f>IF($AM67="","",IFERROR(IMAGE(IF(REGEXMATCH($AM67,"\.(png|jpg|jpeg|gif)$"),$AM67,"https://s3.tradingview.com/snapshots/"&amp;LOWER(MID(REGEXEXTRACT($AM67,"/x/([A-Za-z0-9]+)"),1,1))&amp;"/"&amp;REGEXEXTRACT($AM67,"/x/([A-Za-z0-9]+)")&amp;".png"),1),"⚠️ link tidak dikenali"))</f>
        <v/>
      </c>
      <c r="AO67" s="40" t="n"/>
      <c r="AP67" s="30">
        <f>IF($AO67="","",IFERROR(IMAGE(IF(REGEXMATCH($AO67,"\.(png|jpg|jpeg|gif)$"),$AO67,"https://s3.tradingview.com/snapshots/"&amp;LOWER(MID(REGEXEXTRACT($AO67,"/x/([A-Za-z0-9]+)"),1,1))&amp;"/"&amp;REGEXEXTRACT($AO67,"/x/([A-Za-z0-9]+)")&amp;".png"),1),"⚠️ link tidak dikenali"))</f>
        <v/>
      </c>
      <c r="AQ67" s="38">
        <f>IF($Z67="",0,IF(AND(OR('📊 Dashboard'!$B$4="(Semua)",$F67='📊 Dashboard'!$B$4),OR('📊 Dashboard'!$B$5="(Semua)",$H67='📊 Dashboard'!$B$5),OR('📊 Dashboard'!$B$6="(Semua)",$E67='📊 Dashboard'!$B$6),OR('📊 Dashboard'!$B$7="(Semua)",$AF67='📊 Dashboard'!$B$7),OR('📊 Dashboard'!$B$8="(Semua)",$AG67='📊 Dashboard'!$B$8),OR('📊 Dashboard'!$B$9="(Semua)",$K67='📊 Dashboard'!$B$9)),1,0))</f>
        <v/>
      </c>
    </row>
    <row r="68" ht="58" customHeight="1">
      <c r="A68" s="30">
        <f>IF($B68="","",ROW()-2)</f>
        <v/>
      </c>
      <c r="B68" s="31" t="n"/>
      <c r="C68" s="32" t="n"/>
      <c r="D68" s="32" t="n"/>
      <c r="E68" s="30">
        <f>IF($C68="","",IF(AND($C68&gt;=TIME(14,0,0),$C68&lt;TIME(19,30,0)),"London",IF(AND($C68&gt;=TIME(19,30,0),$C68&lt;TIME(23,0,0)),"Overlap LDN+NY",IF(OR($C68&gt;=TIME(23,0,0),$C68&lt;TIME(4,0,0)),"New York","Asia"))))</f>
        <v/>
      </c>
      <c r="F68" s="33" t="n"/>
      <c r="G68" s="33" t="n"/>
      <c r="H68" s="33" t="n"/>
      <c r="I68" s="33" t="n"/>
      <c r="J68" s="33" t="n"/>
      <c r="K68" s="33" t="n"/>
      <c r="L68" s="33" t="n"/>
      <c r="M68" s="33" t="n"/>
      <c r="N68" s="34" t="n"/>
      <c r="O68" s="34" t="n"/>
      <c r="P68" s="34" t="n"/>
      <c r="Q68" s="34" t="n"/>
      <c r="R68" s="35">
        <f>IFERROR(IF(OR($N68="",$O68="",$F68=""),"",ROUND(('⚙️ Setelan'!$B$3*'⚙️ Setelan'!$B$4/100)/(ABS($N68-$O68)*VLOOKUP($F68,'⚙️ Setelan'!$A$14:$F$20,4,FALSE)),2)),"")</f>
        <v/>
      </c>
      <c r="S68" s="36" t="n"/>
      <c r="T68" s="37">
        <f>IFERROR(IF(OR($N68="",$O68="",$S68=""),"",ABS($N68-$O68)*$S68*VLOOKUP($F68,'⚙️ Setelan'!$A$14:$F$20,4,FALSE)),"")</f>
        <v/>
      </c>
      <c r="U68" s="35">
        <f>IFERROR(IF(OR($N68="",$O68="",$P68=""),"",ROUND(ABS($P68-$N68)/ABS($N68-$O68),2)),"")</f>
        <v/>
      </c>
      <c r="V68" s="37">
        <f>IFERROR(IF(OR($Q68="",$N68="",$S68=""),"",($Q68-$N68)*IF($G68="Buy",1,-1)*$S68*VLOOKUP($F68,'⚙️ Setelan'!$A$14:$F$20,4,FALSE)),"")</f>
        <v/>
      </c>
      <c r="W68" s="37">
        <f>IFERROR(IF(OR($S68="",$F68=""),"",$S68*VLOOKUP($F68,'⚙️ Setelan'!$A$14:$F$20,5,FALSE)),"")</f>
        <v/>
      </c>
      <c r="X68" s="37">
        <f>IF($V68="","",$V68-IF($W68="",0,$W68))</f>
        <v/>
      </c>
      <c r="Y68" s="35">
        <f>IF(OR($X68="",$T68="",$T68=0),"",ROUND($X68/$T68,2))</f>
        <v/>
      </c>
      <c r="Z68" s="30">
        <f>IF($X68="","",IF($X68&gt;0,"Win",IF($X68&lt;0,"Loss","BE")))</f>
        <v/>
      </c>
      <c r="AA68" s="38">
        <f>IF(OR($C68="",$D68=""),"",ROUND(MOD($D68-$C68,1)*1440,0))</f>
        <v/>
      </c>
      <c r="AB68" s="34" t="n"/>
      <c r="AC68" s="34" t="n"/>
      <c r="AD68" s="35">
        <f>IFERROR(IF(OR($AB68="",$T68="",$T68=0),"",ROUND(ABS($N68-$AB68)*$S68*VLOOKUP($F68,'⚙️ Setelan'!$A$14:$F$20,4,FALSE)/$T68,2)),"")</f>
        <v/>
      </c>
      <c r="AE68" s="35">
        <f>IFERROR(IF(OR($AC68="",$T68="",$T68=0),"",ROUND(ABS($AC68-$N68)*$S68*VLOOKUP($F68,'⚙️ Setelan'!$A$14:$F$20,4,FALSE)/$T68,2)),"")</f>
        <v/>
      </c>
      <c r="AF68" s="33" t="n"/>
      <c r="AG68" s="33" t="n"/>
      <c r="AH68" s="33" t="n"/>
      <c r="AI68" s="33" t="n"/>
      <c r="AJ68" s="33" t="n"/>
      <c r="AK68" s="39" t="n"/>
      <c r="AL68" s="30">
        <f>IF(OR($C68="",$B68=""),"",IF(AND($Z67="Loss",$B68=$B67,MOD($C68-$D67,1)*1440&lt;'⚙️ Setelan'!$B$9),"⚠️ Revenge",""))</f>
        <v/>
      </c>
      <c r="AM68" s="40" t="n"/>
      <c r="AN68" s="30">
        <f>IF($AM68="","",IFERROR(IMAGE(IF(REGEXMATCH($AM68,"\.(png|jpg|jpeg|gif)$"),$AM68,"https://s3.tradingview.com/snapshots/"&amp;LOWER(MID(REGEXEXTRACT($AM68,"/x/([A-Za-z0-9]+)"),1,1))&amp;"/"&amp;REGEXEXTRACT($AM68,"/x/([A-Za-z0-9]+)")&amp;".png"),1),"⚠️ link tidak dikenali"))</f>
        <v/>
      </c>
      <c r="AO68" s="40" t="n"/>
      <c r="AP68" s="30">
        <f>IF($AO68="","",IFERROR(IMAGE(IF(REGEXMATCH($AO68,"\.(png|jpg|jpeg|gif)$"),$AO68,"https://s3.tradingview.com/snapshots/"&amp;LOWER(MID(REGEXEXTRACT($AO68,"/x/([A-Za-z0-9]+)"),1,1))&amp;"/"&amp;REGEXEXTRACT($AO68,"/x/([A-Za-z0-9]+)")&amp;".png"),1),"⚠️ link tidak dikenali"))</f>
        <v/>
      </c>
      <c r="AQ68" s="38">
        <f>IF($Z68="",0,IF(AND(OR('📊 Dashboard'!$B$4="(Semua)",$F68='📊 Dashboard'!$B$4),OR('📊 Dashboard'!$B$5="(Semua)",$H68='📊 Dashboard'!$B$5),OR('📊 Dashboard'!$B$6="(Semua)",$E68='📊 Dashboard'!$B$6),OR('📊 Dashboard'!$B$7="(Semua)",$AF68='📊 Dashboard'!$B$7),OR('📊 Dashboard'!$B$8="(Semua)",$AG68='📊 Dashboard'!$B$8),OR('📊 Dashboard'!$B$9="(Semua)",$K68='📊 Dashboard'!$B$9)),1,0))</f>
        <v/>
      </c>
    </row>
    <row r="69" ht="58" customHeight="1">
      <c r="A69" s="30">
        <f>IF($B69="","",ROW()-2)</f>
        <v/>
      </c>
      <c r="B69" s="31" t="n"/>
      <c r="C69" s="32" t="n"/>
      <c r="D69" s="32" t="n"/>
      <c r="E69" s="30">
        <f>IF($C69="","",IF(AND($C69&gt;=TIME(14,0,0),$C69&lt;TIME(19,30,0)),"London",IF(AND($C69&gt;=TIME(19,30,0),$C69&lt;TIME(23,0,0)),"Overlap LDN+NY",IF(OR($C69&gt;=TIME(23,0,0),$C69&lt;TIME(4,0,0)),"New York","Asia"))))</f>
        <v/>
      </c>
      <c r="F69" s="33" t="n"/>
      <c r="G69" s="33" t="n"/>
      <c r="H69" s="33" t="n"/>
      <c r="I69" s="33" t="n"/>
      <c r="J69" s="33" t="n"/>
      <c r="K69" s="33" t="n"/>
      <c r="L69" s="33" t="n"/>
      <c r="M69" s="33" t="n"/>
      <c r="N69" s="34" t="n"/>
      <c r="O69" s="34" t="n"/>
      <c r="P69" s="34" t="n"/>
      <c r="Q69" s="34" t="n"/>
      <c r="R69" s="35">
        <f>IFERROR(IF(OR($N69="",$O69="",$F69=""),"",ROUND(('⚙️ Setelan'!$B$3*'⚙️ Setelan'!$B$4/100)/(ABS($N69-$O69)*VLOOKUP($F69,'⚙️ Setelan'!$A$14:$F$20,4,FALSE)),2)),"")</f>
        <v/>
      </c>
      <c r="S69" s="36" t="n"/>
      <c r="T69" s="37">
        <f>IFERROR(IF(OR($N69="",$O69="",$S69=""),"",ABS($N69-$O69)*$S69*VLOOKUP($F69,'⚙️ Setelan'!$A$14:$F$20,4,FALSE)),"")</f>
        <v/>
      </c>
      <c r="U69" s="35">
        <f>IFERROR(IF(OR($N69="",$O69="",$P69=""),"",ROUND(ABS($P69-$N69)/ABS($N69-$O69),2)),"")</f>
        <v/>
      </c>
      <c r="V69" s="37">
        <f>IFERROR(IF(OR($Q69="",$N69="",$S69=""),"",($Q69-$N69)*IF($G69="Buy",1,-1)*$S69*VLOOKUP($F69,'⚙️ Setelan'!$A$14:$F$20,4,FALSE)),"")</f>
        <v/>
      </c>
      <c r="W69" s="37">
        <f>IFERROR(IF(OR($S69="",$F69=""),"",$S69*VLOOKUP($F69,'⚙️ Setelan'!$A$14:$F$20,5,FALSE)),"")</f>
        <v/>
      </c>
      <c r="X69" s="37">
        <f>IF($V69="","",$V69-IF($W69="",0,$W69))</f>
        <v/>
      </c>
      <c r="Y69" s="35">
        <f>IF(OR($X69="",$T69="",$T69=0),"",ROUND($X69/$T69,2))</f>
        <v/>
      </c>
      <c r="Z69" s="30">
        <f>IF($X69="","",IF($X69&gt;0,"Win",IF($X69&lt;0,"Loss","BE")))</f>
        <v/>
      </c>
      <c r="AA69" s="38">
        <f>IF(OR($C69="",$D69=""),"",ROUND(MOD($D69-$C69,1)*1440,0))</f>
        <v/>
      </c>
      <c r="AB69" s="34" t="n"/>
      <c r="AC69" s="34" t="n"/>
      <c r="AD69" s="35">
        <f>IFERROR(IF(OR($AB69="",$T69="",$T69=0),"",ROUND(ABS($N69-$AB69)*$S69*VLOOKUP($F69,'⚙️ Setelan'!$A$14:$F$20,4,FALSE)/$T69,2)),"")</f>
        <v/>
      </c>
      <c r="AE69" s="35">
        <f>IFERROR(IF(OR($AC69="",$T69="",$T69=0),"",ROUND(ABS($AC69-$N69)*$S69*VLOOKUP($F69,'⚙️ Setelan'!$A$14:$F$20,4,FALSE)/$T69,2)),"")</f>
        <v/>
      </c>
      <c r="AF69" s="33" t="n"/>
      <c r="AG69" s="33" t="n"/>
      <c r="AH69" s="33" t="n"/>
      <c r="AI69" s="33" t="n"/>
      <c r="AJ69" s="33" t="n"/>
      <c r="AK69" s="39" t="n"/>
      <c r="AL69" s="30">
        <f>IF(OR($C69="",$B69=""),"",IF(AND($Z68="Loss",$B69=$B68,MOD($C69-$D68,1)*1440&lt;'⚙️ Setelan'!$B$9),"⚠️ Revenge",""))</f>
        <v/>
      </c>
      <c r="AM69" s="40" t="n"/>
      <c r="AN69" s="30">
        <f>IF($AM69="","",IFERROR(IMAGE(IF(REGEXMATCH($AM69,"\.(png|jpg|jpeg|gif)$"),$AM69,"https://s3.tradingview.com/snapshots/"&amp;LOWER(MID(REGEXEXTRACT($AM69,"/x/([A-Za-z0-9]+)"),1,1))&amp;"/"&amp;REGEXEXTRACT($AM69,"/x/([A-Za-z0-9]+)")&amp;".png"),1),"⚠️ link tidak dikenali"))</f>
        <v/>
      </c>
      <c r="AO69" s="40" t="n"/>
      <c r="AP69" s="30">
        <f>IF($AO69="","",IFERROR(IMAGE(IF(REGEXMATCH($AO69,"\.(png|jpg|jpeg|gif)$"),$AO69,"https://s3.tradingview.com/snapshots/"&amp;LOWER(MID(REGEXEXTRACT($AO69,"/x/([A-Za-z0-9]+)"),1,1))&amp;"/"&amp;REGEXEXTRACT($AO69,"/x/([A-Za-z0-9]+)")&amp;".png"),1),"⚠️ link tidak dikenali"))</f>
        <v/>
      </c>
      <c r="AQ69" s="38">
        <f>IF($Z69="",0,IF(AND(OR('📊 Dashboard'!$B$4="(Semua)",$F69='📊 Dashboard'!$B$4),OR('📊 Dashboard'!$B$5="(Semua)",$H69='📊 Dashboard'!$B$5),OR('📊 Dashboard'!$B$6="(Semua)",$E69='📊 Dashboard'!$B$6),OR('📊 Dashboard'!$B$7="(Semua)",$AF69='📊 Dashboard'!$B$7),OR('📊 Dashboard'!$B$8="(Semua)",$AG69='📊 Dashboard'!$B$8),OR('📊 Dashboard'!$B$9="(Semua)",$K69='📊 Dashboard'!$B$9)),1,0))</f>
        <v/>
      </c>
    </row>
    <row r="70" ht="58" customHeight="1">
      <c r="A70" s="30">
        <f>IF($B70="","",ROW()-2)</f>
        <v/>
      </c>
      <c r="B70" s="31" t="n"/>
      <c r="C70" s="32" t="n"/>
      <c r="D70" s="32" t="n"/>
      <c r="E70" s="30">
        <f>IF($C70="","",IF(AND($C70&gt;=TIME(14,0,0),$C70&lt;TIME(19,30,0)),"London",IF(AND($C70&gt;=TIME(19,30,0),$C70&lt;TIME(23,0,0)),"Overlap LDN+NY",IF(OR($C70&gt;=TIME(23,0,0),$C70&lt;TIME(4,0,0)),"New York","Asia"))))</f>
        <v/>
      </c>
      <c r="F70" s="33" t="n"/>
      <c r="G70" s="33" t="n"/>
      <c r="H70" s="33" t="n"/>
      <c r="I70" s="33" t="n"/>
      <c r="J70" s="33" t="n"/>
      <c r="K70" s="33" t="n"/>
      <c r="L70" s="33" t="n"/>
      <c r="M70" s="33" t="n"/>
      <c r="N70" s="34" t="n"/>
      <c r="O70" s="34" t="n"/>
      <c r="P70" s="34" t="n"/>
      <c r="Q70" s="34" t="n"/>
      <c r="R70" s="35">
        <f>IFERROR(IF(OR($N70="",$O70="",$F70=""),"",ROUND(('⚙️ Setelan'!$B$3*'⚙️ Setelan'!$B$4/100)/(ABS($N70-$O70)*VLOOKUP($F70,'⚙️ Setelan'!$A$14:$F$20,4,FALSE)),2)),"")</f>
        <v/>
      </c>
      <c r="S70" s="36" t="n"/>
      <c r="T70" s="37">
        <f>IFERROR(IF(OR($N70="",$O70="",$S70=""),"",ABS($N70-$O70)*$S70*VLOOKUP($F70,'⚙️ Setelan'!$A$14:$F$20,4,FALSE)),"")</f>
        <v/>
      </c>
      <c r="U70" s="35">
        <f>IFERROR(IF(OR($N70="",$O70="",$P70=""),"",ROUND(ABS($P70-$N70)/ABS($N70-$O70),2)),"")</f>
        <v/>
      </c>
      <c r="V70" s="37">
        <f>IFERROR(IF(OR($Q70="",$N70="",$S70=""),"",($Q70-$N70)*IF($G70="Buy",1,-1)*$S70*VLOOKUP($F70,'⚙️ Setelan'!$A$14:$F$20,4,FALSE)),"")</f>
        <v/>
      </c>
      <c r="W70" s="37">
        <f>IFERROR(IF(OR($S70="",$F70=""),"",$S70*VLOOKUP($F70,'⚙️ Setelan'!$A$14:$F$20,5,FALSE)),"")</f>
        <v/>
      </c>
      <c r="X70" s="37">
        <f>IF($V70="","",$V70-IF($W70="",0,$W70))</f>
        <v/>
      </c>
      <c r="Y70" s="35">
        <f>IF(OR($X70="",$T70="",$T70=0),"",ROUND($X70/$T70,2))</f>
        <v/>
      </c>
      <c r="Z70" s="30">
        <f>IF($X70="","",IF($X70&gt;0,"Win",IF($X70&lt;0,"Loss","BE")))</f>
        <v/>
      </c>
      <c r="AA70" s="38">
        <f>IF(OR($C70="",$D70=""),"",ROUND(MOD($D70-$C70,1)*1440,0))</f>
        <v/>
      </c>
      <c r="AB70" s="34" t="n"/>
      <c r="AC70" s="34" t="n"/>
      <c r="AD70" s="35">
        <f>IFERROR(IF(OR($AB70="",$T70="",$T70=0),"",ROUND(ABS($N70-$AB70)*$S70*VLOOKUP($F70,'⚙️ Setelan'!$A$14:$F$20,4,FALSE)/$T70,2)),"")</f>
        <v/>
      </c>
      <c r="AE70" s="35">
        <f>IFERROR(IF(OR($AC70="",$T70="",$T70=0),"",ROUND(ABS($AC70-$N70)*$S70*VLOOKUP($F70,'⚙️ Setelan'!$A$14:$F$20,4,FALSE)/$T70,2)),"")</f>
        <v/>
      </c>
      <c r="AF70" s="33" t="n"/>
      <c r="AG70" s="33" t="n"/>
      <c r="AH70" s="33" t="n"/>
      <c r="AI70" s="33" t="n"/>
      <c r="AJ70" s="33" t="n"/>
      <c r="AK70" s="39" t="n"/>
      <c r="AL70" s="30">
        <f>IF(OR($C70="",$B70=""),"",IF(AND($Z69="Loss",$B70=$B69,MOD($C70-$D69,1)*1440&lt;'⚙️ Setelan'!$B$9),"⚠️ Revenge",""))</f>
        <v/>
      </c>
      <c r="AM70" s="40" t="n"/>
      <c r="AN70" s="30">
        <f>IF($AM70="","",IFERROR(IMAGE(IF(REGEXMATCH($AM70,"\.(png|jpg|jpeg|gif)$"),$AM70,"https://s3.tradingview.com/snapshots/"&amp;LOWER(MID(REGEXEXTRACT($AM70,"/x/([A-Za-z0-9]+)"),1,1))&amp;"/"&amp;REGEXEXTRACT($AM70,"/x/([A-Za-z0-9]+)")&amp;".png"),1),"⚠️ link tidak dikenali"))</f>
        <v/>
      </c>
      <c r="AO70" s="40" t="n"/>
      <c r="AP70" s="30">
        <f>IF($AO70="","",IFERROR(IMAGE(IF(REGEXMATCH($AO70,"\.(png|jpg|jpeg|gif)$"),$AO70,"https://s3.tradingview.com/snapshots/"&amp;LOWER(MID(REGEXEXTRACT($AO70,"/x/([A-Za-z0-9]+)"),1,1))&amp;"/"&amp;REGEXEXTRACT($AO70,"/x/([A-Za-z0-9]+)")&amp;".png"),1),"⚠️ link tidak dikenali"))</f>
        <v/>
      </c>
      <c r="AQ70" s="38">
        <f>IF($Z70="",0,IF(AND(OR('📊 Dashboard'!$B$4="(Semua)",$F70='📊 Dashboard'!$B$4),OR('📊 Dashboard'!$B$5="(Semua)",$H70='📊 Dashboard'!$B$5),OR('📊 Dashboard'!$B$6="(Semua)",$E70='📊 Dashboard'!$B$6),OR('📊 Dashboard'!$B$7="(Semua)",$AF70='📊 Dashboard'!$B$7),OR('📊 Dashboard'!$B$8="(Semua)",$AG70='📊 Dashboard'!$B$8),OR('📊 Dashboard'!$B$9="(Semua)",$K70='📊 Dashboard'!$B$9)),1,0))</f>
        <v/>
      </c>
    </row>
    <row r="71" ht="58" customHeight="1">
      <c r="A71" s="30">
        <f>IF($B71="","",ROW()-2)</f>
        <v/>
      </c>
      <c r="B71" s="31" t="n"/>
      <c r="C71" s="32" t="n"/>
      <c r="D71" s="32" t="n"/>
      <c r="E71" s="30">
        <f>IF($C71="","",IF(AND($C71&gt;=TIME(14,0,0),$C71&lt;TIME(19,30,0)),"London",IF(AND($C71&gt;=TIME(19,30,0),$C71&lt;TIME(23,0,0)),"Overlap LDN+NY",IF(OR($C71&gt;=TIME(23,0,0),$C71&lt;TIME(4,0,0)),"New York","Asia"))))</f>
        <v/>
      </c>
      <c r="F71" s="33" t="n"/>
      <c r="G71" s="33" t="n"/>
      <c r="H71" s="33" t="n"/>
      <c r="I71" s="33" t="n"/>
      <c r="J71" s="33" t="n"/>
      <c r="K71" s="33" t="n"/>
      <c r="L71" s="33" t="n"/>
      <c r="M71" s="33" t="n"/>
      <c r="N71" s="34" t="n"/>
      <c r="O71" s="34" t="n"/>
      <c r="P71" s="34" t="n"/>
      <c r="Q71" s="34" t="n"/>
      <c r="R71" s="35">
        <f>IFERROR(IF(OR($N71="",$O71="",$F71=""),"",ROUND(('⚙️ Setelan'!$B$3*'⚙️ Setelan'!$B$4/100)/(ABS($N71-$O71)*VLOOKUP($F71,'⚙️ Setelan'!$A$14:$F$20,4,FALSE)),2)),"")</f>
        <v/>
      </c>
      <c r="S71" s="36" t="n"/>
      <c r="T71" s="37">
        <f>IFERROR(IF(OR($N71="",$O71="",$S71=""),"",ABS($N71-$O71)*$S71*VLOOKUP($F71,'⚙️ Setelan'!$A$14:$F$20,4,FALSE)),"")</f>
        <v/>
      </c>
      <c r="U71" s="35">
        <f>IFERROR(IF(OR($N71="",$O71="",$P71=""),"",ROUND(ABS($P71-$N71)/ABS($N71-$O71),2)),"")</f>
        <v/>
      </c>
      <c r="V71" s="37">
        <f>IFERROR(IF(OR($Q71="",$N71="",$S71=""),"",($Q71-$N71)*IF($G71="Buy",1,-1)*$S71*VLOOKUP($F71,'⚙️ Setelan'!$A$14:$F$20,4,FALSE)),"")</f>
        <v/>
      </c>
      <c r="W71" s="37">
        <f>IFERROR(IF(OR($S71="",$F71=""),"",$S71*VLOOKUP($F71,'⚙️ Setelan'!$A$14:$F$20,5,FALSE)),"")</f>
        <v/>
      </c>
      <c r="X71" s="37">
        <f>IF($V71="","",$V71-IF($W71="",0,$W71))</f>
        <v/>
      </c>
      <c r="Y71" s="35">
        <f>IF(OR($X71="",$T71="",$T71=0),"",ROUND($X71/$T71,2))</f>
        <v/>
      </c>
      <c r="Z71" s="30">
        <f>IF($X71="","",IF($X71&gt;0,"Win",IF($X71&lt;0,"Loss","BE")))</f>
        <v/>
      </c>
      <c r="AA71" s="38">
        <f>IF(OR($C71="",$D71=""),"",ROUND(MOD($D71-$C71,1)*1440,0))</f>
        <v/>
      </c>
      <c r="AB71" s="34" t="n"/>
      <c r="AC71" s="34" t="n"/>
      <c r="AD71" s="35">
        <f>IFERROR(IF(OR($AB71="",$T71="",$T71=0),"",ROUND(ABS($N71-$AB71)*$S71*VLOOKUP($F71,'⚙️ Setelan'!$A$14:$F$20,4,FALSE)/$T71,2)),"")</f>
        <v/>
      </c>
      <c r="AE71" s="35">
        <f>IFERROR(IF(OR($AC71="",$T71="",$T71=0),"",ROUND(ABS($AC71-$N71)*$S71*VLOOKUP($F71,'⚙️ Setelan'!$A$14:$F$20,4,FALSE)/$T71,2)),"")</f>
        <v/>
      </c>
      <c r="AF71" s="33" t="n"/>
      <c r="AG71" s="33" t="n"/>
      <c r="AH71" s="33" t="n"/>
      <c r="AI71" s="33" t="n"/>
      <c r="AJ71" s="33" t="n"/>
      <c r="AK71" s="39" t="n"/>
      <c r="AL71" s="30">
        <f>IF(OR($C71="",$B71=""),"",IF(AND($Z70="Loss",$B71=$B70,MOD($C71-$D70,1)*1440&lt;'⚙️ Setelan'!$B$9),"⚠️ Revenge",""))</f>
        <v/>
      </c>
      <c r="AM71" s="40" t="n"/>
      <c r="AN71" s="30">
        <f>IF($AM71="","",IFERROR(IMAGE(IF(REGEXMATCH($AM71,"\.(png|jpg|jpeg|gif)$"),$AM71,"https://s3.tradingview.com/snapshots/"&amp;LOWER(MID(REGEXEXTRACT($AM71,"/x/([A-Za-z0-9]+)"),1,1))&amp;"/"&amp;REGEXEXTRACT($AM71,"/x/([A-Za-z0-9]+)")&amp;".png"),1),"⚠️ link tidak dikenali"))</f>
        <v/>
      </c>
      <c r="AO71" s="40" t="n"/>
      <c r="AP71" s="30">
        <f>IF($AO71="","",IFERROR(IMAGE(IF(REGEXMATCH($AO71,"\.(png|jpg|jpeg|gif)$"),$AO71,"https://s3.tradingview.com/snapshots/"&amp;LOWER(MID(REGEXEXTRACT($AO71,"/x/([A-Za-z0-9]+)"),1,1))&amp;"/"&amp;REGEXEXTRACT($AO71,"/x/([A-Za-z0-9]+)")&amp;".png"),1),"⚠️ link tidak dikenali"))</f>
        <v/>
      </c>
      <c r="AQ71" s="38">
        <f>IF($Z71="",0,IF(AND(OR('📊 Dashboard'!$B$4="(Semua)",$F71='📊 Dashboard'!$B$4),OR('📊 Dashboard'!$B$5="(Semua)",$H71='📊 Dashboard'!$B$5),OR('📊 Dashboard'!$B$6="(Semua)",$E71='📊 Dashboard'!$B$6),OR('📊 Dashboard'!$B$7="(Semua)",$AF71='📊 Dashboard'!$B$7),OR('📊 Dashboard'!$B$8="(Semua)",$AG71='📊 Dashboard'!$B$8),OR('📊 Dashboard'!$B$9="(Semua)",$K71='📊 Dashboard'!$B$9)),1,0))</f>
        <v/>
      </c>
    </row>
    <row r="72" ht="58" customHeight="1">
      <c r="A72" s="30">
        <f>IF($B72="","",ROW()-2)</f>
        <v/>
      </c>
      <c r="B72" s="31" t="n"/>
      <c r="C72" s="32" t="n"/>
      <c r="D72" s="32" t="n"/>
      <c r="E72" s="30">
        <f>IF($C72="","",IF(AND($C72&gt;=TIME(14,0,0),$C72&lt;TIME(19,30,0)),"London",IF(AND($C72&gt;=TIME(19,30,0),$C72&lt;TIME(23,0,0)),"Overlap LDN+NY",IF(OR($C72&gt;=TIME(23,0,0),$C72&lt;TIME(4,0,0)),"New York","Asia"))))</f>
        <v/>
      </c>
      <c r="F72" s="33" t="n"/>
      <c r="G72" s="33" t="n"/>
      <c r="H72" s="33" t="n"/>
      <c r="I72" s="33" t="n"/>
      <c r="J72" s="33" t="n"/>
      <c r="K72" s="33" t="n"/>
      <c r="L72" s="33" t="n"/>
      <c r="M72" s="33" t="n"/>
      <c r="N72" s="34" t="n"/>
      <c r="O72" s="34" t="n"/>
      <c r="P72" s="34" t="n"/>
      <c r="Q72" s="34" t="n"/>
      <c r="R72" s="35">
        <f>IFERROR(IF(OR($N72="",$O72="",$F72=""),"",ROUND(('⚙️ Setelan'!$B$3*'⚙️ Setelan'!$B$4/100)/(ABS($N72-$O72)*VLOOKUP($F72,'⚙️ Setelan'!$A$14:$F$20,4,FALSE)),2)),"")</f>
        <v/>
      </c>
      <c r="S72" s="36" t="n"/>
      <c r="T72" s="37">
        <f>IFERROR(IF(OR($N72="",$O72="",$S72=""),"",ABS($N72-$O72)*$S72*VLOOKUP($F72,'⚙️ Setelan'!$A$14:$F$20,4,FALSE)),"")</f>
        <v/>
      </c>
      <c r="U72" s="35">
        <f>IFERROR(IF(OR($N72="",$O72="",$P72=""),"",ROUND(ABS($P72-$N72)/ABS($N72-$O72),2)),"")</f>
        <v/>
      </c>
      <c r="V72" s="37">
        <f>IFERROR(IF(OR($Q72="",$N72="",$S72=""),"",($Q72-$N72)*IF($G72="Buy",1,-1)*$S72*VLOOKUP($F72,'⚙️ Setelan'!$A$14:$F$20,4,FALSE)),"")</f>
        <v/>
      </c>
      <c r="W72" s="37">
        <f>IFERROR(IF(OR($S72="",$F72=""),"",$S72*VLOOKUP($F72,'⚙️ Setelan'!$A$14:$F$20,5,FALSE)),"")</f>
        <v/>
      </c>
      <c r="X72" s="37">
        <f>IF($V72="","",$V72-IF($W72="",0,$W72))</f>
        <v/>
      </c>
      <c r="Y72" s="35">
        <f>IF(OR($X72="",$T72="",$T72=0),"",ROUND($X72/$T72,2))</f>
        <v/>
      </c>
      <c r="Z72" s="30">
        <f>IF($X72="","",IF($X72&gt;0,"Win",IF($X72&lt;0,"Loss","BE")))</f>
        <v/>
      </c>
      <c r="AA72" s="38">
        <f>IF(OR($C72="",$D72=""),"",ROUND(MOD($D72-$C72,1)*1440,0))</f>
        <v/>
      </c>
      <c r="AB72" s="34" t="n"/>
      <c r="AC72" s="34" t="n"/>
      <c r="AD72" s="35">
        <f>IFERROR(IF(OR($AB72="",$T72="",$T72=0),"",ROUND(ABS($N72-$AB72)*$S72*VLOOKUP($F72,'⚙️ Setelan'!$A$14:$F$20,4,FALSE)/$T72,2)),"")</f>
        <v/>
      </c>
      <c r="AE72" s="35">
        <f>IFERROR(IF(OR($AC72="",$T72="",$T72=0),"",ROUND(ABS($AC72-$N72)*$S72*VLOOKUP($F72,'⚙️ Setelan'!$A$14:$F$20,4,FALSE)/$T72,2)),"")</f>
        <v/>
      </c>
      <c r="AF72" s="33" t="n"/>
      <c r="AG72" s="33" t="n"/>
      <c r="AH72" s="33" t="n"/>
      <c r="AI72" s="33" t="n"/>
      <c r="AJ72" s="33" t="n"/>
      <c r="AK72" s="39" t="n"/>
      <c r="AL72" s="30">
        <f>IF(OR($C72="",$B72=""),"",IF(AND($Z71="Loss",$B72=$B71,MOD($C72-$D71,1)*1440&lt;'⚙️ Setelan'!$B$9),"⚠️ Revenge",""))</f>
        <v/>
      </c>
      <c r="AM72" s="40" t="n"/>
      <c r="AN72" s="30">
        <f>IF($AM72="","",IFERROR(IMAGE(IF(REGEXMATCH($AM72,"\.(png|jpg|jpeg|gif)$"),$AM72,"https://s3.tradingview.com/snapshots/"&amp;LOWER(MID(REGEXEXTRACT($AM72,"/x/([A-Za-z0-9]+)"),1,1))&amp;"/"&amp;REGEXEXTRACT($AM72,"/x/([A-Za-z0-9]+)")&amp;".png"),1),"⚠️ link tidak dikenali"))</f>
        <v/>
      </c>
      <c r="AO72" s="40" t="n"/>
      <c r="AP72" s="30">
        <f>IF($AO72="","",IFERROR(IMAGE(IF(REGEXMATCH($AO72,"\.(png|jpg|jpeg|gif)$"),$AO72,"https://s3.tradingview.com/snapshots/"&amp;LOWER(MID(REGEXEXTRACT($AO72,"/x/([A-Za-z0-9]+)"),1,1))&amp;"/"&amp;REGEXEXTRACT($AO72,"/x/([A-Za-z0-9]+)")&amp;".png"),1),"⚠️ link tidak dikenali"))</f>
        <v/>
      </c>
      <c r="AQ72" s="38">
        <f>IF($Z72="",0,IF(AND(OR('📊 Dashboard'!$B$4="(Semua)",$F72='📊 Dashboard'!$B$4),OR('📊 Dashboard'!$B$5="(Semua)",$H72='📊 Dashboard'!$B$5),OR('📊 Dashboard'!$B$6="(Semua)",$E72='📊 Dashboard'!$B$6),OR('📊 Dashboard'!$B$7="(Semua)",$AF72='📊 Dashboard'!$B$7),OR('📊 Dashboard'!$B$8="(Semua)",$AG72='📊 Dashboard'!$B$8),OR('📊 Dashboard'!$B$9="(Semua)",$K72='📊 Dashboard'!$B$9)),1,0))</f>
        <v/>
      </c>
    </row>
    <row r="73" ht="58" customHeight="1">
      <c r="A73" s="30">
        <f>IF($B73="","",ROW()-2)</f>
        <v/>
      </c>
      <c r="B73" s="31" t="n"/>
      <c r="C73" s="32" t="n"/>
      <c r="D73" s="32" t="n"/>
      <c r="E73" s="30">
        <f>IF($C73="","",IF(AND($C73&gt;=TIME(14,0,0),$C73&lt;TIME(19,30,0)),"London",IF(AND($C73&gt;=TIME(19,30,0),$C73&lt;TIME(23,0,0)),"Overlap LDN+NY",IF(OR($C73&gt;=TIME(23,0,0),$C73&lt;TIME(4,0,0)),"New York","Asia"))))</f>
        <v/>
      </c>
      <c r="F73" s="33" t="n"/>
      <c r="G73" s="33" t="n"/>
      <c r="H73" s="33" t="n"/>
      <c r="I73" s="33" t="n"/>
      <c r="J73" s="33" t="n"/>
      <c r="K73" s="33" t="n"/>
      <c r="L73" s="33" t="n"/>
      <c r="M73" s="33" t="n"/>
      <c r="N73" s="34" t="n"/>
      <c r="O73" s="34" t="n"/>
      <c r="P73" s="34" t="n"/>
      <c r="Q73" s="34" t="n"/>
      <c r="R73" s="35">
        <f>IFERROR(IF(OR($N73="",$O73="",$F73=""),"",ROUND(('⚙️ Setelan'!$B$3*'⚙️ Setelan'!$B$4/100)/(ABS($N73-$O73)*VLOOKUP($F73,'⚙️ Setelan'!$A$14:$F$20,4,FALSE)),2)),"")</f>
        <v/>
      </c>
      <c r="S73" s="36" t="n"/>
      <c r="T73" s="37">
        <f>IFERROR(IF(OR($N73="",$O73="",$S73=""),"",ABS($N73-$O73)*$S73*VLOOKUP($F73,'⚙️ Setelan'!$A$14:$F$20,4,FALSE)),"")</f>
        <v/>
      </c>
      <c r="U73" s="35">
        <f>IFERROR(IF(OR($N73="",$O73="",$P73=""),"",ROUND(ABS($P73-$N73)/ABS($N73-$O73),2)),"")</f>
        <v/>
      </c>
      <c r="V73" s="37">
        <f>IFERROR(IF(OR($Q73="",$N73="",$S73=""),"",($Q73-$N73)*IF($G73="Buy",1,-1)*$S73*VLOOKUP($F73,'⚙️ Setelan'!$A$14:$F$20,4,FALSE)),"")</f>
        <v/>
      </c>
      <c r="W73" s="37">
        <f>IFERROR(IF(OR($S73="",$F73=""),"",$S73*VLOOKUP($F73,'⚙️ Setelan'!$A$14:$F$20,5,FALSE)),"")</f>
        <v/>
      </c>
      <c r="X73" s="37">
        <f>IF($V73="","",$V73-IF($W73="",0,$W73))</f>
        <v/>
      </c>
      <c r="Y73" s="35">
        <f>IF(OR($X73="",$T73="",$T73=0),"",ROUND($X73/$T73,2))</f>
        <v/>
      </c>
      <c r="Z73" s="30">
        <f>IF($X73="","",IF($X73&gt;0,"Win",IF($X73&lt;0,"Loss","BE")))</f>
        <v/>
      </c>
      <c r="AA73" s="38">
        <f>IF(OR($C73="",$D73=""),"",ROUND(MOD($D73-$C73,1)*1440,0))</f>
        <v/>
      </c>
      <c r="AB73" s="34" t="n"/>
      <c r="AC73" s="34" t="n"/>
      <c r="AD73" s="35">
        <f>IFERROR(IF(OR($AB73="",$T73="",$T73=0),"",ROUND(ABS($N73-$AB73)*$S73*VLOOKUP($F73,'⚙️ Setelan'!$A$14:$F$20,4,FALSE)/$T73,2)),"")</f>
        <v/>
      </c>
      <c r="AE73" s="35">
        <f>IFERROR(IF(OR($AC73="",$T73="",$T73=0),"",ROUND(ABS($AC73-$N73)*$S73*VLOOKUP($F73,'⚙️ Setelan'!$A$14:$F$20,4,FALSE)/$T73,2)),"")</f>
        <v/>
      </c>
      <c r="AF73" s="33" t="n"/>
      <c r="AG73" s="33" t="n"/>
      <c r="AH73" s="33" t="n"/>
      <c r="AI73" s="33" t="n"/>
      <c r="AJ73" s="33" t="n"/>
      <c r="AK73" s="39" t="n"/>
      <c r="AL73" s="30">
        <f>IF(OR($C73="",$B73=""),"",IF(AND($Z72="Loss",$B73=$B72,MOD($C73-$D72,1)*1440&lt;'⚙️ Setelan'!$B$9),"⚠️ Revenge",""))</f>
        <v/>
      </c>
      <c r="AM73" s="40" t="n"/>
      <c r="AN73" s="30">
        <f>IF($AM73="","",IFERROR(IMAGE(IF(REGEXMATCH($AM73,"\.(png|jpg|jpeg|gif)$"),$AM73,"https://s3.tradingview.com/snapshots/"&amp;LOWER(MID(REGEXEXTRACT($AM73,"/x/([A-Za-z0-9]+)"),1,1))&amp;"/"&amp;REGEXEXTRACT($AM73,"/x/([A-Za-z0-9]+)")&amp;".png"),1),"⚠️ link tidak dikenali"))</f>
        <v/>
      </c>
      <c r="AO73" s="40" t="n"/>
      <c r="AP73" s="30">
        <f>IF($AO73="","",IFERROR(IMAGE(IF(REGEXMATCH($AO73,"\.(png|jpg|jpeg|gif)$"),$AO73,"https://s3.tradingview.com/snapshots/"&amp;LOWER(MID(REGEXEXTRACT($AO73,"/x/([A-Za-z0-9]+)"),1,1))&amp;"/"&amp;REGEXEXTRACT($AO73,"/x/([A-Za-z0-9]+)")&amp;".png"),1),"⚠️ link tidak dikenali"))</f>
        <v/>
      </c>
      <c r="AQ73" s="38">
        <f>IF($Z73="",0,IF(AND(OR('📊 Dashboard'!$B$4="(Semua)",$F73='📊 Dashboard'!$B$4),OR('📊 Dashboard'!$B$5="(Semua)",$H73='📊 Dashboard'!$B$5),OR('📊 Dashboard'!$B$6="(Semua)",$E73='📊 Dashboard'!$B$6),OR('📊 Dashboard'!$B$7="(Semua)",$AF73='📊 Dashboard'!$B$7),OR('📊 Dashboard'!$B$8="(Semua)",$AG73='📊 Dashboard'!$B$8),OR('📊 Dashboard'!$B$9="(Semua)",$K73='📊 Dashboard'!$B$9)),1,0))</f>
        <v/>
      </c>
    </row>
    <row r="74" ht="58" customHeight="1">
      <c r="A74" s="30">
        <f>IF($B74="","",ROW()-2)</f>
        <v/>
      </c>
      <c r="B74" s="31" t="n"/>
      <c r="C74" s="32" t="n"/>
      <c r="D74" s="32" t="n"/>
      <c r="E74" s="30">
        <f>IF($C74="","",IF(AND($C74&gt;=TIME(14,0,0),$C74&lt;TIME(19,30,0)),"London",IF(AND($C74&gt;=TIME(19,30,0),$C74&lt;TIME(23,0,0)),"Overlap LDN+NY",IF(OR($C74&gt;=TIME(23,0,0),$C74&lt;TIME(4,0,0)),"New York","Asia"))))</f>
        <v/>
      </c>
      <c r="F74" s="33" t="n"/>
      <c r="G74" s="33" t="n"/>
      <c r="H74" s="33" t="n"/>
      <c r="I74" s="33" t="n"/>
      <c r="J74" s="33" t="n"/>
      <c r="K74" s="33" t="n"/>
      <c r="L74" s="33" t="n"/>
      <c r="M74" s="33" t="n"/>
      <c r="N74" s="34" t="n"/>
      <c r="O74" s="34" t="n"/>
      <c r="P74" s="34" t="n"/>
      <c r="Q74" s="34" t="n"/>
      <c r="R74" s="35">
        <f>IFERROR(IF(OR($N74="",$O74="",$F74=""),"",ROUND(('⚙️ Setelan'!$B$3*'⚙️ Setelan'!$B$4/100)/(ABS($N74-$O74)*VLOOKUP($F74,'⚙️ Setelan'!$A$14:$F$20,4,FALSE)),2)),"")</f>
        <v/>
      </c>
      <c r="S74" s="36" t="n"/>
      <c r="T74" s="37">
        <f>IFERROR(IF(OR($N74="",$O74="",$S74=""),"",ABS($N74-$O74)*$S74*VLOOKUP($F74,'⚙️ Setelan'!$A$14:$F$20,4,FALSE)),"")</f>
        <v/>
      </c>
      <c r="U74" s="35">
        <f>IFERROR(IF(OR($N74="",$O74="",$P74=""),"",ROUND(ABS($P74-$N74)/ABS($N74-$O74),2)),"")</f>
        <v/>
      </c>
      <c r="V74" s="37">
        <f>IFERROR(IF(OR($Q74="",$N74="",$S74=""),"",($Q74-$N74)*IF($G74="Buy",1,-1)*$S74*VLOOKUP($F74,'⚙️ Setelan'!$A$14:$F$20,4,FALSE)),"")</f>
        <v/>
      </c>
      <c r="W74" s="37">
        <f>IFERROR(IF(OR($S74="",$F74=""),"",$S74*VLOOKUP($F74,'⚙️ Setelan'!$A$14:$F$20,5,FALSE)),"")</f>
        <v/>
      </c>
      <c r="X74" s="37">
        <f>IF($V74="","",$V74-IF($W74="",0,$W74))</f>
        <v/>
      </c>
      <c r="Y74" s="35">
        <f>IF(OR($X74="",$T74="",$T74=0),"",ROUND($X74/$T74,2))</f>
        <v/>
      </c>
      <c r="Z74" s="30">
        <f>IF($X74="","",IF($X74&gt;0,"Win",IF($X74&lt;0,"Loss","BE")))</f>
        <v/>
      </c>
      <c r="AA74" s="38">
        <f>IF(OR($C74="",$D74=""),"",ROUND(MOD($D74-$C74,1)*1440,0))</f>
        <v/>
      </c>
      <c r="AB74" s="34" t="n"/>
      <c r="AC74" s="34" t="n"/>
      <c r="AD74" s="35">
        <f>IFERROR(IF(OR($AB74="",$T74="",$T74=0),"",ROUND(ABS($N74-$AB74)*$S74*VLOOKUP($F74,'⚙️ Setelan'!$A$14:$F$20,4,FALSE)/$T74,2)),"")</f>
        <v/>
      </c>
      <c r="AE74" s="35">
        <f>IFERROR(IF(OR($AC74="",$T74="",$T74=0),"",ROUND(ABS($AC74-$N74)*$S74*VLOOKUP($F74,'⚙️ Setelan'!$A$14:$F$20,4,FALSE)/$T74,2)),"")</f>
        <v/>
      </c>
      <c r="AF74" s="33" t="n"/>
      <c r="AG74" s="33" t="n"/>
      <c r="AH74" s="33" t="n"/>
      <c r="AI74" s="33" t="n"/>
      <c r="AJ74" s="33" t="n"/>
      <c r="AK74" s="39" t="n"/>
      <c r="AL74" s="30">
        <f>IF(OR($C74="",$B74=""),"",IF(AND($Z73="Loss",$B74=$B73,MOD($C74-$D73,1)*1440&lt;'⚙️ Setelan'!$B$9),"⚠️ Revenge",""))</f>
        <v/>
      </c>
      <c r="AM74" s="40" t="n"/>
      <c r="AN74" s="30">
        <f>IF($AM74="","",IFERROR(IMAGE(IF(REGEXMATCH($AM74,"\.(png|jpg|jpeg|gif)$"),$AM74,"https://s3.tradingview.com/snapshots/"&amp;LOWER(MID(REGEXEXTRACT($AM74,"/x/([A-Za-z0-9]+)"),1,1))&amp;"/"&amp;REGEXEXTRACT($AM74,"/x/([A-Za-z0-9]+)")&amp;".png"),1),"⚠️ link tidak dikenali"))</f>
        <v/>
      </c>
      <c r="AO74" s="40" t="n"/>
      <c r="AP74" s="30">
        <f>IF($AO74="","",IFERROR(IMAGE(IF(REGEXMATCH($AO74,"\.(png|jpg|jpeg|gif)$"),$AO74,"https://s3.tradingview.com/snapshots/"&amp;LOWER(MID(REGEXEXTRACT($AO74,"/x/([A-Za-z0-9]+)"),1,1))&amp;"/"&amp;REGEXEXTRACT($AO74,"/x/([A-Za-z0-9]+)")&amp;".png"),1),"⚠️ link tidak dikenali"))</f>
        <v/>
      </c>
      <c r="AQ74" s="38">
        <f>IF($Z74="",0,IF(AND(OR('📊 Dashboard'!$B$4="(Semua)",$F74='📊 Dashboard'!$B$4),OR('📊 Dashboard'!$B$5="(Semua)",$H74='📊 Dashboard'!$B$5),OR('📊 Dashboard'!$B$6="(Semua)",$E74='📊 Dashboard'!$B$6),OR('📊 Dashboard'!$B$7="(Semua)",$AF74='📊 Dashboard'!$B$7),OR('📊 Dashboard'!$B$8="(Semua)",$AG74='📊 Dashboard'!$B$8),OR('📊 Dashboard'!$B$9="(Semua)",$K74='📊 Dashboard'!$B$9)),1,0))</f>
        <v/>
      </c>
    </row>
    <row r="75" ht="58" customHeight="1">
      <c r="A75" s="30">
        <f>IF($B75="","",ROW()-2)</f>
        <v/>
      </c>
      <c r="B75" s="31" t="n"/>
      <c r="C75" s="32" t="n"/>
      <c r="D75" s="32" t="n"/>
      <c r="E75" s="30">
        <f>IF($C75="","",IF(AND($C75&gt;=TIME(14,0,0),$C75&lt;TIME(19,30,0)),"London",IF(AND($C75&gt;=TIME(19,30,0),$C75&lt;TIME(23,0,0)),"Overlap LDN+NY",IF(OR($C75&gt;=TIME(23,0,0),$C75&lt;TIME(4,0,0)),"New York","Asia"))))</f>
        <v/>
      </c>
      <c r="F75" s="33" t="n"/>
      <c r="G75" s="33" t="n"/>
      <c r="H75" s="33" t="n"/>
      <c r="I75" s="33" t="n"/>
      <c r="J75" s="33" t="n"/>
      <c r="K75" s="33" t="n"/>
      <c r="L75" s="33" t="n"/>
      <c r="M75" s="33" t="n"/>
      <c r="N75" s="34" t="n"/>
      <c r="O75" s="34" t="n"/>
      <c r="P75" s="34" t="n"/>
      <c r="Q75" s="34" t="n"/>
      <c r="R75" s="35">
        <f>IFERROR(IF(OR($N75="",$O75="",$F75=""),"",ROUND(('⚙️ Setelan'!$B$3*'⚙️ Setelan'!$B$4/100)/(ABS($N75-$O75)*VLOOKUP($F75,'⚙️ Setelan'!$A$14:$F$20,4,FALSE)),2)),"")</f>
        <v/>
      </c>
      <c r="S75" s="36" t="n"/>
      <c r="T75" s="37">
        <f>IFERROR(IF(OR($N75="",$O75="",$S75=""),"",ABS($N75-$O75)*$S75*VLOOKUP($F75,'⚙️ Setelan'!$A$14:$F$20,4,FALSE)),"")</f>
        <v/>
      </c>
      <c r="U75" s="35">
        <f>IFERROR(IF(OR($N75="",$O75="",$P75=""),"",ROUND(ABS($P75-$N75)/ABS($N75-$O75),2)),"")</f>
        <v/>
      </c>
      <c r="V75" s="37">
        <f>IFERROR(IF(OR($Q75="",$N75="",$S75=""),"",($Q75-$N75)*IF($G75="Buy",1,-1)*$S75*VLOOKUP($F75,'⚙️ Setelan'!$A$14:$F$20,4,FALSE)),"")</f>
        <v/>
      </c>
      <c r="W75" s="37">
        <f>IFERROR(IF(OR($S75="",$F75=""),"",$S75*VLOOKUP($F75,'⚙️ Setelan'!$A$14:$F$20,5,FALSE)),"")</f>
        <v/>
      </c>
      <c r="X75" s="37">
        <f>IF($V75="","",$V75-IF($W75="",0,$W75))</f>
        <v/>
      </c>
      <c r="Y75" s="35">
        <f>IF(OR($X75="",$T75="",$T75=0),"",ROUND($X75/$T75,2))</f>
        <v/>
      </c>
      <c r="Z75" s="30">
        <f>IF($X75="","",IF($X75&gt;0,"Win",IF($X75&lt;0,"Loss","BE")))</f>
        <v/>
      </c>
      <c r="AA75" s="38">
        <f>IF(OR($C75="",$D75=""),"",ROUND(MOD($D75-$C75,1)*1440,0))</f>
        <v/>
      </c>
      <c r="AB75" s="34" t="n"/>
      <c r="AC75" s="34" t="n"/>
      <c r="AD75" s="35">
        <f>IFERROR(IF(OR($AB75="",$T75="",$T75=0),"",ROUND(ABS($N75-$AB75)*$S75*VLOOKUP($F75,'⚙️ Setelan'!$A$14:$F$20,4,FALSE)/$T75,2)),"")</f>
        <v/>
      </c>
      <c r="AE75" s="35">
        <f>IFERROR(IF(OR($AC75="",$T75="",$T75=0),"",ROUND(ABS($AC75-$N75)*$S75*VLOOKUP($F75,'⚙️ Setelan'!$A$14:$F$20,4,FALSE)/$T75,2)),"")</f>
        <v/>
      </c>
      <c r="AF75" s="33" t="n"/>
      <c r="AG75" s="33" t="n"/>
      <c r="AH75" s="33" t="n"/>
      <c r="AI75" s="33" t="n"/>
      <c r="AJ75" s="33" t="n"/>
      <c r="AK75" s="39" t="n"/>
      <c r="AL75" s="30">
        <f>IF(OR($C75="",$B75=""),"",IF(AND($Z74="Loss",$B75=$B74,MOD($C75-$D74,1)*1440&lt;'⚙️ Setelan'!$B$9),"⚠️ Revenge",""))</f>
        <v/>
      </c>
      <c r="AM75" s="40" t="n"/>
      <c r="AN75" s="30">
        <f>IF($AM75="","",IFERROR(IMAGE(IF(REGEXMATCH($AM75,"\.(png|jpg|jpeg|gif)$"),$AM75,"https://s3.tradingview.com/snapshots/"&amp;LOWER(MID(REGEXEXTRACT($AM75,"/x/([A-Za-z0-9]+)"),1,1))&amp;"/"&amp;REGEXEXTRACT($AM75,"/x/([A-Za-z0-9]+)")&amp;".png"),1),"⚠️ link tidak dikenali"))</f>
        <v/>
      </c>
      <c r="AO75" s="40" t="n"/>
      <c r="AP75" s="30">
        <f>IF($AO75="","",IFERROR(IMAGE(IF(REGEXMATCH($AO75,"\.(png|jpg|jpeg|gif)$"),$AO75,"https://s3.tradingview.com/snapshots/"&amp;LOWER(MID(REGEXEXTRACT($AO75,"/x/([A-Za-z0-9]+)"),1,1))&amp;"/"&amp;REGEXEXTRACT($AO75,"/x/([A-Za-z0-9]+)")&amp;".png"),1),"⚠️ link tidak dikenali"))</f>
        <v/>
      </c>
      <c r="AQ75" s="38">
        <f>IF($Z75="",0,IF(AND(OR('📊 Dashboard'!$B$4="(Semua)",$F75='📊 Dashboard'!$B$4),OR('📊 Dashboard'!$B$5="(Semua)",$H75='📊 Dashboard'!$B$5),OR('📊 Dashboard'!$B$6="(Semua)",$E75='📊 Dashboard'!$B$6),OR('📊 Dashboard'!$B$7="(Semua)",$AF75='📊 Dashboard'!$B$7),OR('📊 Dashboard'!$B$8="(Semua)",$AG75='📊 Dashboard'!$B$8),OR('📊 Dashboard'!$B$9="(Semua)",$K75='📊 Dashboard'!$B$9)),1,0))</f>
        <v/>
      </c>
    </row>
    <row r="76" ht="58" customHeight="1">
      <c r="A76" s="30">
        <f>IF($B76="","",ROW()-2)</f>
        <v/>
      </c>
      <c r="B76" s="31" t="n"/>
      <c r="C76" s="32" t="n"/>
      <c r="D76" s="32" t="n"/>
      <c r="E76" s="30">
        <f>IF($C76="","",IF(AND($C76&gt;=TIME(14,0,0),$C76&lt;TIME(19,30,0)),"London",IF(AND($C76&gt;=TIME(19,30,0),$C76&lt;TIME(23,0,0)),"Overlap LDN+NY",IF(OR($C76&gt;=TIME(23,0,0),$C76&lt;TIME(4,0,0)),"New York","Asia"))))</f>
        <v/>
      </c>
      <c r="F76" s="33" t="n"/>
      <c r="G76" s="33" t="n"/>
      <c r="H76" s="33" t="n"/>
      <c r="I76" s="33" t="n"/>
      <c r="J76" s="33" t="n"/>
      <c r="K76" s="33" t="n"/>
      <c r="L76" s="33" t="n"/>
      <c r="M76" s="33" t="n"/>
      <c r="N76" s="34" t="n"/>
      <c r="O76" s="34" t="n"/>
      <c r="P76" s="34" t="n"/>
      <c r="Q76" s="34" t="n"/>
      <c r="R76" s="35">
        <f>IFERROR(IF(OR($N76="",$O76="",$F76=""),"",ROUND(('⚙️ Setelan'!$B$3*'⚙️ Setelan'!$B$4/100)/(ABS($N76-$O76)*VLOOKUP($F76,'⚙️ Setelan'!$A$14:$F$20,4,FALSE)),2)),"")</f>
        <v/>
      </c>
      <c r="S76" s="36" t="n"/>
      <c r="T76" s="37">
        <f>IFERROR(IF(OR($N76="",$O76="",$S76=""),"",ABS($N76-$O76)*$S76*VLOOKUP($F76,'⚙️ Setelan'!$A$14:$F$20,4,FALSE)),"")</f>
        <v/>
      </c>
      <c r="U76" s="35">
        <f>IFERROR(IF(OR($N76="",$O76="",$P76=""),"",ROUND(ABS($P76-$N76)/ABS($N76-$O76),2)),"")</f>
        <v/>
      </c>
      <c r="V76" s="37">
        <f>IFERROR(IF(OR($Q76="",$N76="",$S76=""),"",($Q76-$N76)*IF($G76="Buy",1,-1)*$S76*VLOOKUP($F76,'⚙️ Setelan'!$A$14:$F$20,4,FALSE)),"")</f>
        <v/>
      </c>
      <c r="W76" s="37">
        <f>IFERROR(IF(OR($S76="",$F76=""),"",$S76*VLOOKUP($F76,'⚙️ Setelan'!$A$14:$F$20,5,FALSE)),"")</f>
        <v/>
      </c>
      <c r="X76" s="37">
        <f>IF($V76="","",$V76-IF($W76="",0,$W76))</f>
        <v/>
      </c>
      <c r="Y76" s="35">
        <f>IF(OR($X76="",$T76="",$T76=0),"",ROUND($X76/$T76,2))</f>
        <v/>
      </c>
      <c r="Z76" s="30">
        <f>IF($X76="","",IF($X76&gt;0,"Win",IF($X76&lt;0,"Loss","BE")))</f>
        <v/>
      </c>
      <c r="AA76" s="38">
        <f>IF(OR($C76="",$D76=""),"",ROUND(MOD($D76-$C76,1)*1440,0))</f>
        <v/>
      </c>
      <c r="AB76" s="34" t="n"/>
      <c r="AC76" s="34" t="n"/>
      <c r="AD76" s="35">
        <f>IFERROR(IF(OR($AB76="",$T76="",$T76=0),"",ROUND(ABS($N76-$AB76)*$S76*VLOOKUP($F76,'⚙️ Setelan'!$A$14:$F$20,4,FALSE)/$T76,2)),"")</f>
        <v/>
      </c>
      <c r="AE76" s="35">
        <f>IFERROR(IF(OR($AC76="",$T76="",$T76=0),"",ROUND(ABS($AC76-$N76)*$S76*VLOOKUP($F76,'⚙️ Setelan'!$A$14:$F$20,4,FALSE)/$T76,2)),"")</f>
        <v/>
      </c>
      <c r="AF76" s="33" t="n"/>
      <c r="AG76" s="33" t="n"/>
      <c r="AH76" s="33" t="n"/>
      <c r="AI76" s="33" t="n"/>
      <c r="AJ76" s="33" t="n"/>
      <c r="AK76" s="39" t="n"/>
      <c r="AL76" s="30">
        <f>IF(OR($C76="",$B76=""),"",IF(AND($Z75="Loss",$B76=$B75,MOD($C76-$D75,1)*1440&lt;'⚙️ Setelan'!$B$9),"⚠️ Revenge",""))</f>
        <v/>
      </c>
      <c r="AM76" s="40" t="n"/>
      <c r="AN76" s="30">
        <f>IF($AM76="","",IFERROR(IMAGE(IF(REGEXMATCH($AM76,"\.(png|jpg|jpeg|gif)$"),$AM76,"https://s3.tradingview.com/snapshots/"&amp;LOWER(MID(REGEXEXTRACT($AM76,"/x/([A-Za-z0-9]+)"),1,1))&amp;"/"&amp;REGEXEXTRACT($AM76,"/x/([A-Za-z0-9]+)")&amp;".png"),1),"⚠️ link tidak dikenali"))</f>
        <v/>
      </c>
      <c r="AO76" s="40" t="n"/>
      <c r="AP76" s="30">
        <f>IF($AO76="","",IFERROR(IMAGE(IF(REGEXMATCH($AO76,"\.(png|jpg|jpeg|gif)$"),$AO76,"https://s3.tradingview.com/snapshots/"&amp;LOWER(MID(REGEXEXTRACT($AO76,"/x/([A-Za-z0-9]+)"),1,1))&amp;"/"&amp;REGEXEXTRACT($AO76,"/x/([A-Za-z0-9]+)")&amp;".png"),1),"⚠️ link tidak dikenali"))</f>
        <v/>
      </c>
      <c r="AQ76" s="38">
        <f>IF($Z76="",0,IF(AND(OR('📊 Dashboard'!$B$4="(Semua)",$F76='📊 Dashboard'!$B$4),OR('📊 Dashboard'!$B$5="(Semua)",$H76='📊 Dashboard'!$B$5),OR('📊 Dashboard'!$B$6="(Semua)",$E76='📊 Dashboard'!$B$6),OR('📊 Dashboard'!$B$7="(Semua)",$AF76='📊 Dashboard'!$B$7),OR('📊 Dashboard'!$B$8="(Semua)",$AG76='📊 Dashboard'!$B$8),OR('📊 Dashboard'!$B$9="(Semua)",$K76='📊 Dashboard'!$B$9)),1,0))</f>
        <v/>
      </c>
    </row>
    <row r="77" ht="58" customHeight="1">
      <c r="A77" s="30">
        <f>IF($B77="","",ROW()-2)</f>
        <v/>
      </c>
      <c r="B77" s="31" t="n"/>
      <c r="C77" s="32" t="n"/>
      <c r="D77" s="32" t="n"/>
      <c r="E77" s="30">
        <f>IF($C77="","",IF(AND($C77&gt;=TIME(14,0,0),$C77&lt;TIME(19,30,0)),"London",IF(AND($C77&gt;=TIME(19,30,0),$C77&lt;TIME(23,0,0)),"Overlap LDN+NY",IF(OR($C77&gt;=TIME(23,0,0),$C77&lt;TIME(4,0,0)),"New York","Asia"))))</f>
        <v/>
      </c>
      <c r="F77" s="33" t="n"/>
      <c r="G77" s="33" t="n"/>
      <c r="H77" s="33" t="n"/>
      <c r="I77" s="33" t="n"/>
      <c r="J77" s="33" t="n"/>
      <c r="K77" s="33" t="n"/>
      <c r="L77" s="33" t="n"/>
      <c r="M77" s="33" t="n"/>
      <c r="N77" s="34" t="n"/>
      <c r="O77" s="34" t="n"/>
      <c r="P77" s="34" t="n"/>
      <c r="Q77" s="34" t="n"/>
      <c r="R77" s="35">
        <f>IFERROR(IF(OR($N77="",$O77="",$F77=""),"",ROUND(('⚙️ Setelan'!$B$3*'⚙️ Setelan'!$B$4/100)/(ABS($N77-$O77)*VLOOKUP($F77,'⚙️ Setelan'!$A$14:$F$20,4,FALSE)),2)),"")</f>
        <v/>
      </c>
      <c r="S77" s="36" t="n"/>
      <c r="T77" s="37">
        <f>IFERROR(IF(OR($N77="",$O77="",$S77=""),"",ABS($N77-$O77)*$S77*VLOOKUP($F77,'⚙️ Setelan'!$A$14:$F$20,4,FALSE)),"")</f>
        <v/>
      </c>
      <c r="U77" s="35">
        <f>IFERROR(IF(OR($N77="",$O77="",$P77=""),"",ROUND(ABS($P77-$N77)/ABS($N77-$O77),2)),"")</f>
        <v/>
      </c>
      <c r="V77" s="37">
        <f>IFERROR(IF(OR($Q77="",$N77="",$S77=""),"",($Q77-$N77)*IF($G77="Buy",1,-1)*$S77*VLOOKUP($F77,'⚙️ Setelan'!$A$14:$F$20,4,FALSE)),"")</f>
        <v/>
      </c>
      <c r="W77" s="37">
        <f>IFERROR(IF(OR($S77="",$F77=""),"",$S77*VLOOKUP($F77,'⚙️ Setelan'!$A$14:$F$20,5,FALSE)),"")</f>
        <v/>
      </c>
      <c r="X77" s="37">
        <f>IF($V77="","",$V77-IF($W77="",0,$W77))</f>
        <v/>
      </c>
      <c r="Y77" s="35">
        <f>IF(OR($X77="",$T77="",$T77=0),"",ROUND($X77/$T77,2))</f>
        <v/>
      </c>
      <c r="Z77" s="30">
        <f>IF($X77="","",IF($X77&gt;0,"Win",IF($X77&lt;0,"Loss","BE")))</f>
        <v/>
      </c>
      <c r="AA77" s="38">
        <f>IF(OR($C77="",$D77=""),"",ROUND(MOD($D77-$C77,1)*1440,0))</f>
        <v/>
      </c>
      <c r="AB77" s="34" t="n"/>
      <c r="AC77" s="34" t="n"/>
      <c r="AD77" s="35">
        <f>IFERROR(IF(OR($AB77="",$T77="",$T77=0),"",ROUND(ABS($N77-$AB77)*$S77*VLOOKUP($F77,'⚙️ Setelan'!$A$14:$F$20,4,FALSE)/$T77,2)),"")</f>
        <v/>
      </c>
      <c r="AE77" s="35">
        <f>IFERROR(IF(OR($AC77="",$T77="",$T77=0),"",ROUND(ABS($AC77-$N77)*$S77*VLOOKUP($F77,'⚙️ Setelan'!$A$14:$F$20,4,FALSE)/$T77,2)),"")</f>
        <v/>
      </c>
      <c r="AF77" s="33" t="n"/>
      <c r="AG77" s="33" t="n"/>
      <c r="AH77" s="33" t="n"/>
      <c r="AI77" s="33" t="n"/>
      <c r="AJ77" s="33" t="n"/>
      <c r="AK77" s="39" t="n"/>
      <c r="AL77" s="30">
        <f>IF(OR($C77="",$B77=""),"",IF(AND($Z76="Loss",$B77=$B76,MOD($C77-$D76,1)*1440&lt;'⚙️ Setelan'!$B$9),"⚠️ Revenge",""))</f>
        <v/>
      </c>
      <c r="AM77" s="40" t="n"/>
      <c r="AN77" s="30">
        <f>IF($AM77="","",IFERROR(IMAGE(IF(REGEXMATCH($AM77,"\.(png|jpg|jpeg|gif)$"),$AM77,"https://s3.tradingview.com/snapshots/"&amp;LOWER(MID(REGEXEXTRACT($AM77,"/x/([A-Za-z0-9]+)"),1,1))&amp;"/"&amp;REGEXEXTRACT($AM77,"/x/([A-Za-z0-9]+)")&amp;".png"),1),"⚠️ link tidak dikenali"))</f>
        <v/>
      </c>
      <c r="AO77" s="40" t="n"/>
      <c r="AP77" s="30">
        <f>IF($AO77="","",IFERROR(IMAGE(IF(REGEXMATCH($AO77,"\.(png|jpg|jpeg|gif)$"),$AO77,"https://s3.tradingview.com/snapshots/"&amp;LOWER(MID(REGEXEXTRACT($AO77,"/x/([A-Za-z0-9]+)"),1,1))&amp;"/"&amp;REGEXEXTRACT($AO77,"/x/([A-Za-z0-9]+)")&amp;".png"),1),"⚠️ link tidak dikenali"))</f>
        <v/>
      </c>
      <c r="AQ77" s="38">
        <f>IF($Z77="",0,IF(AND(OR('📊 Dashboard'!$B$4="(Semua)",$F77='📊 Dashboard'!$B$4),OR('📊 Dashboard'!$B$5="(Semua)",$H77='📊 Dashboard'!$B$5),OR('📊 Dashboard'!$B$6="(Semua)",$E77='📊 Dashboard'!$B$6),OR('📊 Dashboard'!$B$7="(Semua)",$AF77='📊 Dashboard'!$B$7),OR('📊 Dashboard'!$B$8="(Semua)",$AG77='📊 Dashboard'!$B$8),OR('📊 Dashboard'!$B$9="(Semua)",$K77='📊 Dashboard'!$B$9)),1,0))</f>
        <v/>
      </c>
    </row>
    <row r="78" ht="58" customHeight="1">
      <c r="A78" s="30">
        <f>IF($B78="","",ROW()-2)</f>
        <v/>
      </c>
      <c r="B78" s="31" t="n"/>
      <c r="C78" s="32" t="n"/>
      <c r="D78" s="32" t="n"/>
      <c r="E78" s="30">
        <f>IF($C78="","",IF(AND($C78&gt;=TIME(14,0,0),$C78&lt;TIME(19,30,0)),"London",IF(AND($C78&gt;=TIME(19,30,0),$C78&lt;TIME(23,0,0)),"Overlap LDN+NY",IF(OR($C78&gt;=TIME(23,0,0),$C78&lt;TIME(4,0,0)),"New York","Asia"))))</f>
        <v/>
      </c>
      <c r="F78" s="33" t="n"/>
      <c r="G78" s="33" t="n"/>
      <c r="H78" s="33" t="n"/>
      <c r="I78" s="33" t="n"/>
      <c r="J78" s="33" t="n"/>
      <c r="K78" s="33" t="n"/>
      <c r="L78" s="33" t="n"/>
      <c r="M78" s="33" t="n"/>
      <c r="N78" s="34" t="n"/>
      <c r="O78" s="34" t="n"/>
      <c r="P78" s="34" t="n"/>
      <c r="Q78" s="34" t="n"/>
      <c r="R78" s="35">
        <f>IFERROR(IF(OR($N78="",$O78="",$F78=""),"",ROUND(('⚙️ Setelan'!$B$3*'⚙️ Setelan'!$B$4/100)/(ABS($N78-$O78)*VLOOKUP($F78,'⚙️ Setelan'!$A$14:$F$20,4,FALSE)),2)),"")</f>
        <v/>
      </c>
      <c r="S78" s="36" t="n"/>
      <c r="T78" s="37">
        <f>IFERROR(IF(OR($N78="",$O78="",$S78=""),"",ABS($N78-$O78)*$S78*VLOOKUP($F78,'⚙️ Setelan'!$A$14:$F$20,4,FALSE)),"")</f>
        <v/>
      </c>
      <c r="U78" s="35">
        <f>IFERROR(IF(OR($N78="",$O78="",$P78=""),"",ROUND(ABS($P78-$N78)/ABS($N78-$O78),2)),"")</f>
        <v/>
      </c>
      <c r="V78" s="37">
        <f>IFERROR(IF(OR($Q78="",$N78="",$S78=""),"",($Q78-$N78)*IF($G78="Buy",1,-1)*$S78*VLOOKUP($F78,'⚙️ Setelan'!$A$14:$F$20,4,FALSE)),"")</f>
        <v/>
      </c>
      <c r="W78" s="37">
        <f>IFERROR(IF(OR($S78="",$F78=""),"",$S78*VLOOKUP($F78,'⚙️ Setelan'!$A$14:$F$20,5,FALSE)),"")</f>
        <v/>
      </c>
      <c r="X78" s="37">
        <f>IF($V78="","",$V78-IF($W78="",0,$W78))</f>
        <v/>
      </c>
      <c r="Y78" s="35">
        <f>IF(OR($X78="",$T78="",$T78=0),"",ROUND($X78/$T78,2))</f>
        <v/>
      </c>
      <c r="Z78" s="30">
        <f>IF($X78="","",IF($X78&gt;0,"Win",IF($X78&lt;0,"Loss","BE")))</f>
        <v/>
      </c>
      <c r="AA78" s="38">
        <f>IF(OR($C78="",$D78=""),"",ROUND(MOD($D78-$C78,1)*1440,0))</f>
        <v/>
      </c>
      <c r="AB78" s="34" t="n"/>
      <c r="AC78" s="34" t="n"/>
      <c r="AD78" s="35">
        <f>IFERROR(IF(OR($AB78="",$T78="",$T78=0),"",ROUND(ABS($N78-$AB78)*$S78*VLOOKUP($F78,'⚙️ Setelan'!$A$14:$F$20,4,FALSE)/$T78,2)),"")</f>
        <v/>
      </c>
      <c r="AE78" s="35">
        <f>IFERROR(IF(OR($AC78="",$T78="",$T78=0),"",ROUND(ABS($AC78-$N78)*$S78*VLOOKUP($F78,'⚙️ Setelan'!$A$14:$F$20,4,FALSE)/$T78,2)),"")</f>
        <v/>
      </c>
      <c r="AF78" s="33" t="n"/>
      <c r="AG78" s="33" t="n"/>
      <c r="AH78" s="33" t="n"/>
      <c r="AI78" s="33" t="n"/>
      <c r="AJ78" s="33" t="n"/>
      <c r="AK78" s="39" t="n"/>
      <c r="AL78" s="30">
        <f>IF(OR($C78="",$B78=""),"",IF(AND($Z77="Loss",$B78=$B77,MOD($C78-$D77,1)*1440&lt;'⚙️ Setelan'!$B$9),"⚠️ Revenge",""))</f>
        <v/>
      </c>
      <c r="AM78" s="40" t="n"/>
      <c r="AN78" s="30">
        <f>IF($AM78="","",IFERROR(IMAGE(IF(REGEXMATCH($AM78,"\.(png|jpg|jpeg|gif)$"),$AM78,"https://s3.tradingview.com/snapshots/"&amp;LOWER(MID(REGEXEXTRACT($AM78,"/x/([A-Za-z0-9]+)"),1,1))&amp;"/"&amp;REGEXEXTRACT($AM78,"/x/([A-Za-z0-9]+)")&amp;".png"),1),"⚠️ link tidak dikenali"))</f>
        <v/>
      </c>
      <c r="AO78" s="40" t="n"/>
      <c r="AP78" s="30">
        <f>IF($AO78="","",IFERROR(IMAGE(IF(REGEXMATCH($AO78,"\.(png|jpg|jpeg|gif)$"),$AO78,"https://s3.tradingview.com/snapshots/"&amp;LOWER(MID(REGEXEXTRACT($AO78,"/x/([A-Za-z0-9]+)"),1,1))&amp;"/"&amp;REGEXEXTRACT($AO78,"/x/([A-Za-z0-9]+)")&amp;".png"),1),"⚠️ link tidak dikenali"))</f>
        <v/>
      </c>
      <c r="AQ78" s="38">
        <f>IF($Z78="",0,IF(AND(OR('📊 Dashboard'!$B$4="(Semua)",$F78='📊 Dashboard'!$B$4),OR('📊 Dashboard'!$B$5="(Semua)",$H78='📊 Dashboard'!$B$5),OR('📊 Dashboard'!$B$6="(Semua)",$E78='📊 Dashboard'!$B$6),OR('📊 Dashboard'!$B$7="(Semua)",$AF78='📊 Dashboard'!$B$7),OR('📊 Dashboard'!$B$8="(Semua)",$AG78='📊 Dashboard'!$B$8),OR('📊 Dashboard'!$B$9="(Semua)",$K78='📊 Dashboard'!$B$9)),1,0))</f>
        <v/>
      </c>
    </row>
    <row r="79" ht="58" customHeight="1">
      <c r="A79" s="30">
        <f>IF($B79="","",ROW()-2)</f>
        <v/>
      </c>
      <c r="B79" s="31" t="n"/>
      <c r="C79" s="32" t="n"/>
      <c r="D79" s="32" t="n"/>
      <c r="E79" s="30">
        <f>IF($C79="","",IF(AND($C79&gt;=TIME(14,0,0),$C79&lt;TIME(19,30,0)),"London",IF(AND($C79&gt;=TIME(19,30,0),$C79&lt;TIME(23,0,0)),"Overlap LDN+NY",IF(OR($C79&gt;=TIME(23,0,0),$C79&lt;TIME(4,0,0)),"New York","Asia"))))</f>
        <v/>
      </c>
      <c r="F79" s="33" t="n"/>
      <c r="G79" s="33" t="n"/>
      <c r="H79" s="33" t="n"/>
      <c r="I79" s="33" t="n"/>
      <c r="J79" s="33" t="n"/>
      <c r="K79" s="33" t="n"/>
      <c r="L79" s="33" t="n"/>
      <c r="M79" s="33" t="n"/>
      <c r="N79" s="34" t="n"/>
      <c r="O79" s="34" t="n"/>
      <c r="P79" s="34" t="n"/>
      <c r="Q79" s="34" t="n"/>
      <c r="R79" s="35">
        <f>IFERROR(IF(OR($N79="",$O79="",$F79=""),"",ROUND(('⚙️ Setelan'!$B$3*'⚙️ Setelan'!$B$4/100)/(ABS($N79-$O79)*VLOOKUP($F79,'⚙️ Setelan'!$A$14:$F$20,4,FALSE)),2)),"")</f>
        <v/>
      </c>
      <c r="S79" s="36" t="n"/>
      <c r="T79" s="37">
        <f>IFERROR(IF(OR($N79="",$O79="",$S79=""),"",ABS($N79-$O79)*$S79*VLOOKUP($F79,'⚙️ Setelan'!$A$14:$F$20,4,FALSE)),"")</f>
        <v/>
      </c>
      <c r="U79" s="35">
        <f>IFERROR(IF(OR($N79="",$O79="",$P79=""),"",ROUND(ABS($P79-$N79)/ABS($N79-$O79),2)),"")</f>
        <v/>
      </c>
      <c r="V79" s="37">
        <f>IFERROR(IF(OR($Q79="",$N79="",$S79=""),"",($Q79-$N79)*IF($G79="Buy",1,-1)*$S79*VLOOKUP($F79,'⚙️ Setelan'!$A$14:$F$20,4,FALSE)),"")</f>
        <v/>
      </c>
      <c r="W79" s="37">
        <f>IFERROR(IF(OR($S79="",$F79=""),"",$S79*VLOOKUP($F79,'⚙️ Setelan'!$A$14:$F$20,5,FALSE)),"")</f>
        <v/>
      </c>
      <c r="X79" s="37">
        <f>IF($V79="","",$V79-IF($W79="",0,$W79))</f>
        <v/>
      </c>
      <c r="Y79" s="35">
        <f>IF(OR($X79="",$T79="",$T79=0),"",ROUND($X79/$T79,2))</f>
        <v/>
      </c>
      <c r="Z79" s="30">
        <f>IF($X79="","",IF($X79&gt;0,"Win",IF($X79&lt;0,"Loss","BE")))</f>
        <v/>
      </c>
      <c r="AA79" s="38">
        <f>IF(OR($C79="",$D79=""),"",ROUND(MOD($D79-$C79,1)*1440,0))</f>
        <v/>
      </c>
      <c r="AB79" s="34" t="n"/>
      <c r="AC79" s="34" t="n"/>
      <c r="AD79" s="35">
        <f>IFERROR(IF(OR($AB79="",$T79="",$T79=0),"",ROUND(ABS($N79-$AB79)*$S79*VLOOKUP($F79,'⚙️ Setelan'!$A$14:$F$20,4,FALSE)/$T79,2)),"")</f>
        <v/>
      </c>
      <c r="AE79" s="35">
        <f>IFERROR(IF(OR($AC79="",$T79="",$T79=0),"",ROUND(ABS($AC79-$N79)*$S79*VLOOKUP($F79,'⚙️ Setelan'!$A$14:$F$20,4,FALSE)/$T79,2)),"")</f>
        <v/>
      </c>
      <c r="AF79" s="33" t="n"/>
      <c r="AG79" s="33" t="n"/>
      <c r="AH79" s="33" t="n"/>
      <c r="AI79" s="33" t="n"/>
      <c r="AJ79" s="33" t="n"/>
      <c r="AK79" s="39" t="n"/>
      <c r="AL79" s="30">
        <f>IF(OR($C79="",$B79=""),"",IF(AND($Z78="Loss",$B79=$B78,MOD($C79-$D78,1)*1440&lt;'⚙️ Setelan'!$B$9),"⚠️ Revenge",""))</f>
        <v/>
      </c>
      <c r="AM79" s="40" t="n"/>
      <c r="AN79" s="30">
        <f>IF($AM79="","",IFERROR(IMAGE(IF(REGEXMATCH($AM79,"\.(png|jpg|jpeg|gif)$"),$AM79,"https://s3.tradingview.com/snapshots/"&amp;LOWER(MID(REGEXEXTRACT($AM79,"/x/([A-Za-z0-9]+)"),1,1))&amp;"/"&amp;REGEXEXTRACT($AM79,"/x/([A-Za-z0-9]+)")&amp;".png"),1),"⚠️ link tidak dikenali"))</f>
        <v/>
      </c>
      <c r="AO79" s="40" t="n"/>
      <c r="AP79" s="30">
        <f>IF($AO79="","",IFERROR(IMAGE(IF(REGEXMATCH($AO79,"\.(png|jpg|jpeg|gif)$"),$AO79,"https://s3.tradingview.com/snapshots/"&amp;LOWER(MID(REGEXEXTRACT($AO79,"/x/([A-Za-z0-9]+)"),1,1))&amp;"/"&amp;REGEXEXTRACT($AO79,"/x/([A-Za-z0-9]+)")&amp;".png"),1),"⚠️ link tidak dikenali"))</f>
        <v/>
      </c>
      <c r="AQ79" s="38">
        <f>IF($Z79="",0,IF(AND(OR('📊 Dashboard'!$B$4="(Semua)",$F79='📊 Dashboard'!$B$4),OR('📊 Dashboard'!$B$5="(Semua)",$H79='📊 Dashboard'!$B$5),OR('📊 Dashboard'!$B$6="(Semua)",$E79='📊 Dashboard'!$B$6),OR('📊 Dashboard'!$B$7="(Semua)",$AF79='📊 Dashboard'!$B$7),OR('📊 Dashboard'!$B$8="(Semua)",$AG79='📊 Dashboard'!$B$8),OR('📊 Dashboard'!$B$9="(Semua)",$K79='📊 Dashboard'!$B$9)),1,0))</f>
        <v/>
      </c>
    </row>
    <row r="80" ht="58" customHeight="1">
      <c r="A80" s="30">
        <f>IF($B80="","",ROW()-2)</f>
        <v/>
      </c>
      <c r="B80" s="31" t="n"/>
      <c r="C80" s="32" t="n"/>
      <c r="D80" s="32" t="n"/>
      <c r="E80" s="30">
        <f>IF($C80="","",IF(AND($C80&gt;=TIME(14,0,0),$C80&lt;TIME(19,30,0)),"London",IF(AND($C80&gt;=TIME(19,30,0),$C80&lt;TIME(23,0,0)),"Overlap LDN+NY",IF(OR($C80&gt;=TIME(23,0,0),$C80&lt;TIME(4,0,0)),"New York","Asia"))))</f>
        <v/>
      </c>
      <c r="F80" s="33" t="n"/>
      <c r="G80" s="33" t="n"/>
      <c r="H80" s="33" t="n"/>
      <c r="I80" s="33" t="n"/>
      <c r="J80" s="33" t="n"/>
      <c r="K80" s="33" t="n"/>
      <c r="L80" s="33" t="n"/>
      <c r="M80" s="33" t="n"/>
      <c r="N80" s="34" t="n"/>
      <c r="O80" s="34" t="n"/>
      <c r="P80" s="34" t="n"/>
      <c r="Q80" s="34" t="n"/>
      <c r="R80" s="35">
        <f>IFERROR(IF(OR($N80="",$O80="",$F80=""),"",ROUND(('⚙️ Setelan'!$B$3*'⚙️ Setelan'!$B$4/100)/(ABS($N80-$O80)*VLOOKUP($F80,'⚙️ Setelan'!$A$14:$F$20,4,FALSE)),2)),"")</f>
        <v/>
      </c>
      <c r="S80" s="36" t="n"/>
      <c r="T80" s="37">
        <f>IFERROR(IF(OR($N80="",$O80="",$S80=""),"",ABS($N80-$O80)*$S80*VLOOKUP($F80,'⚙️ Setelan'!$A$14:$F$20,4,FALSE)),"")</f>
        <v/>
      </c>
      <c r="U80" s="35">
        <f>IFERROR(IF(OR($N80="",$O80="",$P80=""),"",ROUND(ABS($P80-$N80)/ABS($N80-$O80),2)),"")</f>
        <v/>
      </c>
      <c r="V80" s="37">
        <f>IFERROR(IF(OR($Q80="",$N80="",$S80=""),"",($Q80-$N80)*IF($G80="Buy",1,-1)*$S80*VLOOKUP($F80,'⚙️ Setelan'!$A$14:$F$20,4,FALSE)),"")</f>
        <v/>
      </c>
      <c r="W80" s="37">
        <f>IFERROR(IF(OR($S80="",$F80=""),"",$S80*VLOOKUP($F80,'⚙️ Setelan'!$A$14:$F$20,5,FALSE)),"")</f>
        <v/>
      </c>
      <c r="X80" s="37">
        <f>IF($V80="","",$V80-IF($W80="",0,$W80))</f>
        <v/>
      </c>
      <c r="Y80" s="35">
        <f>IF(OR($X80="",$T80="",$T80=0),"",ROUND($X80/$T80,2))</f>
        <v/>
      </c>
      <c r="Z80" s="30">
        <f>IF($X80="","",IF($X80&gt;0,"Win",IF($X80&lt;0,"Loss","BE")))</f>
        <v/>
      </c>
      <c r="AA80" s="38">
        <f>IF(OR($C80="",$D80=""),"",ROUND(MOD($D80-$C80,1)*1440,0))</f>
        <v/>
      </c>
      <c r="AB80" s="34" t="n"/>
      <c r="AC80" s="34" t="n"/>
      <c r="AD80" s="35">
        <f>IFERROR(IF(OR($AB80="",$T80="",$T80=0),"",ROUND(ABS($N80-$AB80)*$S80*VLOOKUP($F80,'⚙️ Setelan'!$A$14:$F$20,4,FALSE)/$T80,2)),"")</f>
        <v/>
      </c>
      <c r="AE80" s="35">
        <f>IFERROR(IF(OR($AC80="",$T80="",$T80=0),"",ROUND(ABS($AC80-$N80)*$S80*VLOOKUP($F80,'⚙️ Setelan'!$A$14:$F$20,4,FALSE)/$T80,2)),"")</f>
        <v/>
      </c>
      <c r="AF80" s="33" t="n"/>
      <c r="AG80" s="33" t="n"/>
      <c r="AH80" s="33" t="n"/>
      <c r="AI80" s="33" t="n"/>
      <c r="AJ80" s="33" t="n"/>
      <c r="AK80" s="39" t="n"/>
      <c r="AL80" s="30">
        <f>IF(OR($C80="",$B80=""),"",IF(AND($Z79="Loss",$B80=$B79,MOD($C80-$D79,1)*1440&lt;'⚙️ Setelan'!$B$9),"⚠️ Revenge",""))</f>
        <v/>
      </c>
      <c r="AM80" s="40" t="n"/>
      <c r="AN80" s="30">
        <f>IF($AM80="","",IFERROR(IMAGE(IF(REGEXMATCH($AM80,"\.(png|jpg|jpeg|gif)$"),$AM80,"https://s3.tradingview.com/snapshots/"&amp;LOWER(MID(REGEXEXTRACT($AM80,"/x/([A-Za-z0-9]+)"),1,1))&amp;"/"&amp;REGEXEXTRACT($AM80,"/x/([A-Za-z0-9]+)")&amp;".png"),1),"⚠️ link tidak dikenali"))</f>
        <v/>
      </c>
      <c r="AO80" s="40" t="n"/>
      <c r="AP80" s="30">
        <f>IF($AO80="","",IFERROR(IMAGE(IF(REGEXMATCH($AO80,"\.(png|jpg|jpeg|gif)$"),$AO80,"https://s3.tradingview.com/snapshots/"&amp;LOWER(MID(REGEXEXTRACT($AO80,"/x/([A-Za-z0-9]+)"),1,1))&amp;"/"&amp;REGEXEXTRACT($AO80,"/x/([A-Za-z0-9]+)")&amp;".png"),1),"⚠️ link tidak dikenali"))</f>
        <v/>
      </c>
      <c r="AQ80" s="38">
        <f>IF($Z80="",0,IF(AND(OR('📊 Dashboard'!$B$4="(Semua)",$F80='📊 Dashboard'!$B$4),OR('📊 Dashboard'!$B$5="(Semua)",$H80='📊 Dashboard'!$B$5),OR('📊 Dashboard'!$B$6="(Semua)",$E80='📊 Dashboard'!$B$6),OR('📊 Dashboard'!$B$7="(Semua)",$AF80='📊 Dashboard'!$B$7),OR('📊 Dashboard'!$B$8="(Semua)",$AG80='📊 Dashboard'!$B$8),OR('📊 Dashboard'!$B$9="(Semua)",$K80='📊 Dashboard'!$B$9)),1,0))</f>
        <v/>
      </c>
    </row>
    <row r="81" ht="58" customHeight="1">
      <c r="A81" s="30">
        <f>IF($B81="","",ROW()-2)</f>
        <v/>
      </c>
      <c r="B81" s="31" t="n"/>
      <c r="C81" s="32" t="n"/>
      <c r="D81" s="32" t="n"/>
      <c r="E81" s="30">
        <f>IF($C81="","",IF(AND($C81&gt;=TIME(14,0,0),$C81&lt;TIME(19,30,0)),"London",IF(AND($C81&gt;=TIME(19,30,0),$C81&lt;TIME(23,0,0)),"Overlap LDN+NY",IF(OR($C81&gt;=TIME(23,0,0),$C81&lt;TIME(4,0,0)),"New York","Asia"))))</f>
        <v/>
      </c>
      <c r="F81" s="33" t="n"/>
      <c r="G81" s="33" t="n"/>
      <c r="H81" s="33" t="n"/>
      <c r="I81" s="33" t="n"/>
      <c r="J81" s="33" t="n"/>
      <c r="K81" s="33" t="n"/>
      <c r="L81" s="33" t="n"/>
      <c r="M81" s="33" t="n"/>
      <c r="N81" s="34" t="n"/>
      <c r="O81" s="34" t="n"/>
      <c r="P81" s="34" t="n"/>
      <c r="Q81" s="34" t="n"/>
      <c r="R81" s="35">
        <f>IFERROR(IF(OR($N81="",$O81="",$F81=""),"",ROUND(('⚙️ Setelan'!$B$3*'⚙️ Setelan'!$B$4/100)/(ABS($N81-$O81)*VLOOKUP($F81,'⚙️ Setelan'!$A$14:$F$20,4,FALSE)),2)),"")</f>
        <v/>
      </c>
      <c r="S81" s="36" t="n"/>
      <c r="T81" s="37">
        <f>IFERROR(IF(OR($N81="",$O81="",$S81=""),"",ABS($N81-$O81)*$S81*VLOOKUP($F81,'⚙️ Setelan'!$A$14:$F$20,4,FALSE)),"")</f>
        <v/>
      </c>
      <c r="U81" s="35">
        <f>IFERROR(IF(OR($N81="",$O81="",$P81=""),"",ROUND(ABS($P81-$N81)/ABS($N81-$O81),2)),"")</f>
        <v/>
      </c>
      <c r="V81" s="37">
        <f>IFERROR(IF(OR($Q81="",$N81="",$S81=""),"",($Q81-$N81)*IF($G81="Buy",1,-1)*$S81*VLOOKUP($F81,'⚙️ Setelan'!$A$14:$F$20,4,FALSE)),"")</f>
        <v/>
      </c>
      <c r="W81" s="37">
        <f>IFERROR(IF(OR($S81="",$F81=""),"",$S81*VLOOKUP($F81,'⚙️ Setelan'!$A$14:$F$20,5,FALSE)),"")</f>
        <v/>
      </c>
      <c r="X81" s="37">
        <f>IF($V81="","",$V81-IF($W81="",0,$W81))</f>
        <v/>
      </c>
      <c r="Y81" s="35">
        <f>IF(OR($X81="",$T81="",$T81=0),"",ROUND($X81/$T81,2))</f>
        <v/>
      </c>
      <c r="Z81" s="30">
        <f>IF($X81="","",IF($X81&gt;0,"Win",IF($X81&lt;0,"Loss","BE")))</f>
        <v/>
      </c>
      <c r="AA81" s="38">
        <f>IF(OR($C81="",$D81=""),"",ROUND(MOD($D81-$C81,1)*1440,0))</f>
        <v/>
      </c>
      <c r="AB81" s="34" t="n"/>
      <c r="AC81" s="34" t="n"/>
      <c r="AD81" s="35">
        <f>IFERROR(IF(OR($AB81="",$T81="",$T81=0),"",ROUND(ABS($N81-$AB81)*$S81*VLOOKUP($F81,'⚙️ Setelan'!$A$14:$F$20,4,FALSE)/$T81,2)),"")</f>
        <v/>
      </c>
      <c r="AE81" s="35">
        <f>IFERROR(IF(OR($AC81="",$T81="",$T81=0),"",ROUND(ABS($AC81-$N81)*$S81*VLOOKUP($F81,'⚙️ Setelan'!$A$14:$F$20,4,FALSE)/$T81,2)),"")</f>
        <v/>
      </c>
      <c r="AF81" s="33" t="n"/>
      <c r="AG81" s="33" t="n"/>
      <c r="AH81" s="33" t="n"/>
      <c r="AI81" s="33" t="n"/>
      <c r="AJ81" s="33" t="n"/>
      <c r="AK81" s="39" t="n"/>
      <c r="AL81" s="30">
        <f>IF(OR($C81="",$B81=""),"",IF(AND($Z80="Loss",$B81=$B80,MOD($C81-$D80,1)*1440&lt;'⚙️ Setelan'!$B$9),"⚠️ Revenge",""))</f>
        <v/>
      </c>
      <c r="AM81" s="40" t="n"/>
      <c r="AN81" s="30">
        <f>IF($AM81="","",IFERROR(IMAGE(IF(REGEXMATCH($AM81,"\.(png|jpg|jpeg|gif)$"),$AM81,"https://s3.tradingview.com/snapshots/"&amp;LOWER(MID(REGEXEXTRACT($AM81,"/x/([A-Za-z0-9]+)"),1,1))&amp;"/"&amp;REGEXEXTRACT($AM81,"/x/([A-Za-z0-9]+)")&amp;".png"),1),"⚠️ link tidak dikenali"))</f>
        <v/>
      </c>
      <c r="AO81" s="40" t="n"/>
      <c r="AP81" s="30">
        <f>IF($AO81="","",IFERROR(IMAGE(IF(REGEXMATCH($AO81,"\.(png|jpg|jpeg|gif)$"),$AO81,"https://s3.tradingview.com/snapshots/"&amp;LOWER(MID(REGEXEXTRACT($AO81,"/x/([A-Za-z0-9]+)"),1,1))&amp;"/"&amp;REGEXEXTRACT($AO81,"/x/([A-Za-z0-9]+)")&amp;".png"),1),"⚠️ link tidak dikenali"))</f>
        <v/>
      </c>
      <c r="AQ81" s="38">
        <f>IF($Z81="",0,IF(AND(OR('📊 Dashboard'!$B$4="(Semua)",$F81='📊 Dashboard'!$B$4),OR('📊 Dashboard'!$B$5="(Semua)",$H81='📊 Dashboard'!$B$5),OR('📊 Dashboard'!$B$6="(Semua)",$E81='📊 Dashboard'!$B$6),OR('📊 Dashboard'!$B$7="(Semua)",$AF81='📊 Dashboard'!$B$7),OR('📊 Dashboard'!$B$8="(Semua)",$AG81='📊 Dashboard'!$B$8),OR('📊 Dashboard'!$B$9="(Semua)",$K81='📊 Dashboard'!$B$9)),1,0))</f>
        <v/>
      </c>
    </row>
    <row r="82" ht="58" customHeight="1">
      <c r="A82" s="30">
        <f>IF($B82="","",ROW()-2)</f>
        <v/>
      </c>
      <c r="B82" s="31" t="n"/>
      <c r="C82" s="32" t="n"/>
      <c r="D82" s="32" t="n"/>
      <c r="E82" s="30">
        <f>IF($C82="","",IF(AND($C82&gt;=TIME(14,0,0),$C82&lt;TIME(19,30,0)),"London",IF(AND($C82&gt;=TIME(19,30,0),$C82&lt;TIME(23,0,0)),"Overlap LDN+NY",IF(OR($C82&gt;=TIME(23,0,0),$C82&lt;TIME(4,0,0)),"New York","Asia"))))</f>
        <v/>
      </c>
      <c r="F82" s="33" t="n"/>
      <c r="G82" s="33" t="n"/>
      <c r="H82" s="33" t="n"/>
      <c r="I82" s="33" t="n"/>
      <c r="J82" s="33" t="n"/>
      <c r="K82" s="33" t="n"/>
      <c r="L82" s="33" t="n"/>
      <c r="M82" s="33" t="n"/>
      <c r="N82" s="34" t="n"/>
      <c r="O82" s="34" t="n"/>
      <c r="P82" s="34" t="n"/>
      <c r="Q82" s="34" t="n"/>
      <c r="R82" s="35">
        <f>IFERROR(IF(OR($N82="",$O82="",$F82=""),"",ROUND(('⚙️ Setelan'!$B$3*'⚙️ Setelan'!$B$4/100)/(ABS($N82-$O82)*VLOOKUP($F82,'⚙️ Setelan'!$A$14:$F$20,4,FALSE)),2)),"")</f>
        <v/>
      </c>
      <c r="S82" s="36" t="n"/>
      <c r="T82" s="37">
        <f>IFERROR(IF(OR($N82="",$O82="",$S82=""),"",ABS($N82-$O82)*$S82*VLOOKUP($F82,'⚙️ Setelan'!$A$14:$F$20,4,FALSE)),"")</f>
        <v/>
      </c>
      <c r="U82" s="35">
        <f>IFERROR(IF(OR($N82="",$O82="",$P82=""),"",ROUND(ABS($P82-$N82)/ABS($N82-$O82),2)),"")</f>
        <v/>
      </c>
      <c r="V82" s="37">
        <f>IFERROR(IF(OR($Q82="",$N82="",$S82=""),"",($Q82-$N82)*IF($G82="Buy",1,-1)*$S82*VLOOKUP($F82,'⚙️ Setelan'!$A$14:$F$20,4,FALSE)),"")</f>
        <v/>
      </c>
      <c r="W82" s="37">
        <f>IFERROR(IF(OR($S82="",$F82=""),"",$S82*VLOOKUP($F82,'⚙️ Setelan'!$A$14:$F$20,5,FALSE)),"")</f>
        <v/>
      </c>
      <c r="X82" s="37">
        <f>IF($V82="","",$V82-IF($W82="",0,$W82))</f>
        <v/>
      </c>
      <c r="Y82" s="35">
        <f>IF(OR($X82="",$T82="",$T82=0),"",ROUND($X82/$T82,2))</f>
        <v/>
      </c>
      <c r="Z82" s="30">
        <f>IF($X82="","",IF($X82&gt;0,"Win",IF($X82&lt;0,"Loss","BE")))</f>
        <v/>
      </c>
      <c r="AA82" s="38">
        <f>IF(OR($C82="",$D82=""),"",ROUND(MOD($D82-$C82,1)*1440,0))</f>
        <v/>
      </c>
      <c r="AB82" s="34" t="n"/>
      <c r="AC82" s="34" t="n"/>
      <c r="AD82" s="35">
        <f>IFERROR(IF(OR($AB82="",$T82="",$T82=0),"",ROUND(ABS($N82-$AB82)*$S82*VLOOKUP($F82,'⚙️ Setelan'!$A$14:$F$20,4,FALSE)/$T82,2)),"")</f>
        <v/>
      </c>
      <c r="AE82" s="35">
        <f>IFERROR(IF(OR($AC82="",$T82="",$T82=0),"",ROUND(ABS($AC82-$N82)*$S82*VLOOKUP($F82,'⚙️ Setelan'!$A$14:$F$20,4,FALSE)/$T82,2)),"")</f>
        <v/>
      </c>
      <c r="AF82" s="33" t="n"/>
      <c r="AG82" s="33" t="n"/>
      <c r="AH82" s="33" t="n"/>
      <c r="AI82" s="33" t="n"/>
      <c r="AJ82" s="33" t="n"/>
      <c r="AK82" s="39" t="n"/>
      <c r="AL82" s="30">
        <f>IF(OR($C82="",$B82=""),"",IF(AND($Z81="Loss",$B82=$B81,MOD($C82-$D81,1)*1440&lt;'⚙️ Setelan'!$B$9),"⚠️ Revenge",""))</f>
        <v/>
      </c>
      <c r="AM82" s="40" t="n"/>
      <c r="AN82" s="30">
        <f>IF($AM82="","",IFERROR(IMAGE(IF(REGEXMATCH($AM82,"\.(png|jpg|jpeg|gif)$"),$AM82,"https://s3.tradingview.com/snapshots/"&amp;LOWER(MID(REGEXEXTRACT($AM82,"/x/([A-Za-z0-9]+)"),1,1))&amp;"/"&amp;REGEXEXTRACT($AM82,"/x/([A-Za-z0-9]+)")&amp;".png"),1),"⚠️ link tidak dikenali"))</f>
        <v/>
      </c>
      <c r="AO82" s="40" t="n"/>
      <c r="AP82" s="30">
        <f>IF($AO82="","",IFERROR(IMAGE(IF(REGEXMATCH($AO82,"\.(png|jpg|jpeg|gif)$"),$AO82,"https://s3.tradingview.com/snapshots/"&amp;LOWER(MID(REGEXEXTRACT($AO82,"/x/([A-Za-z0-9]+)"),1,1))&amp;"/"&amp;REGEXEXTRACT($AO82,"/x/([A-Za-z0-9]+)")&amp;".png"),1),"⚠️ link tidak dikenali"))</f>
        <v/>
      </c>
      <c r="AQ82" s="38">
        <f>IF($Z82="",0,IF(AND(OR('📊 Dashboard'!$B$4="(Semua)",$F82='📊 Dashboard'!$B$4),OR('📊 Dashboard'!$B$5="(Semua)",$H82='📊 Dashboard'!$B$5),OR('📊 Dashboard'!$B$6="(Semua)",$E82='📊 Dashboard'!$B$6),OR('📊 Dashboard'!$B$7="(Semua)",$AF82='📊 Dashboard'!$B$7),OR('📊 Dashboard'!$B$8="(Semua)",$AG82='📊 Dashboard'!$B$8),OR('📊 Dashboard'!$B$9="(Semua)",$K82='📊 Dashboard'!$B$9)),1,0))</f>
        <v/>
      </c>
    </row>
    <row r="83" ht="58" customHeight="1">
      <c r="A83" s="30">
        <f>IF($B83="","",ROW()-2)</f>
        <v/>
      </c>
      <c r="B83" s="31" t="n"/>
      <c r="C83" s="32" t="n"/>
      <c r="D83" s="32" t="n"/>
      <c r="E83" s="30">
        <f>IF($C83="","",IF(AND($C83&gt;=TIME(14,0,0),$C83&lt;TIME(19,30,0)),"London",IF(AND($C83&gt;=TIME(19,30,0),$C83&lt;TIME(23,0,0)),"Overlap LDN+NY",IF(OR($C83&gt;=TIME(23,0,0),$C83&lt;TIME(4,0,0)),"New York","Asia"))))</f>
        <v/>
      </c>
      <c r="F83" s="33" t="n"/>
      <c r="G83" s="33" t="n"/>
      <c r="H83" s="33" t="n"/>
      <c r="I83" s="33" t="n"/>
      <c r="J83" s="33" t="n"/>
      <c r="K83" s="33" t="n"/>
      <c r="L83" s="33" t="n"/>
      <c r="M83" s="33" t="n"/>
      <c r="N83" s="34" t="n"/>
      <c r="O83" s="34" t="n"/>
      <c r="P83" s="34" t="n"/>
      <c r="Q83" s="34" t="n"/>
      <c r="R83" s="35">
        <f>IFERROR(IF(OR($N83="",$O83="",$F83=""),"",ROUND(('⚙️ Setelan'!$B$3*'⚙️ Setelan'!$B$4/100)/(ABS($N83-$O83)*VLOOKUP($F83,'⚙️ Setelan'!$A$14:$F$20,4,FALSE)),2)),"")</f>
        <v/>
      </c>
      <c r="S83" s="36" t="n"/>
      <c r="T83" s="37">
        <f>IFERROR(IF(OR($N83="",$O83="",$S83=""),"",ABS($N83-$O83)*$S83*VLOOKUP($F83,'⚙️ Setelan'!$A$14:$F$20,4,FALSE)),"")</f>
        <v/>
      </c>
      <c r="U83" s="35">
        <f>IFERROR(IF(OR($N83="",$O83="",$P83=""),"",ROUND(ABS($P83-$N83)/ABS($N83-$O83),2)),"")</f>
        <v/>
      </c>
      <c r="V83" s="37">
        <f>IFERROR(IF(OR($Q83="",$N83="",$S83=""),"",($Q83-$N83)*IF($G83="Buy",1,-1)*$S83*VLOOKUP($F83,'⚙️ Setelan'!$A$14:$F$20,4,FALSE)),"")</f>
        <v/>
      </c>
      <c r="W83" s="37">
        <f>IFERROR(IF(OR($S83="",$F83=""),"",$S83*VLOOKUP($F83,'⚙️ Setelan'!$A$14:$F$20,5,FALSE)),"")</f>
        <v/>
      </c>
      <c r="X83" s="37">
        <f>IF($V83="","",$V83-IF($W83="",0,$W83))</f>
        <v/>
      </c>
      <c r="Y83" s="35">
        <f>IF(OR($X83="",$T83="",$T83=0),"",ROUND($X83/$T83,2))</f>
        <v/>
      </c>
      <c r="Z83" s="30">
        <f>IF($X83="","",IF($X83&gt;0,"Win",IF($X83&lt;0,"Loss","BE")))</f>
        <v/>
      </c>
      <c r="AA83" s="38">
        <f>IF(OR($C83="",$D83=""),"",ROUND(MOD($D83-$C83,1)*1440,0))</f>
        <v/>
      </c>
      <c r="AB83" s="34" t="n"/>
      <c r="AC83" s="34" t="n"/>
      <c r="AD83" s="35">
        <f>IFERROR(IF(OR($AB83="",$T83="",$T83=0),"",ROUND(ABS($N83-$AB83)*$S83*VLOOKUP($F83,'⚙️ Setelan'!$A$14:$F$20,4,FALSE)/$T83,2)),"")</f>
        <v/>
      </c>
      <c r="AE83" s="35">
        <f>IFERROR(IF(OR($AC83="",$T83="",$T83=0),"",ROUND(ABS($AC83-$N83)*$S83*VLOOKUP($F83,'⚙️ Setelan'!$A$14:$F$20,4,FALSE)/$T83,2)),"")</f>
        <v/>
      </c>
      <c r="AF83" s="33" t="n"/>
      <c r="AG83" s="33" t="n"/>
      <c r="AH83" s="33" t="n"/>
      <c r="AI83" s="33" t="n"/>
      <c r="AJ83" s="33" t="n"/>
      <c r="AK83" s="39" t="n"/>
      <c r="AL83" s="30">
        <f>IF(OR($C83="",$B83=""),"",IF(AND($Z82="Loss",$B83=$B82,MOD($C83-$D82,1)*1440&lt;'⚙️ Setelan'!$B$9),"⚠️ Revenge",""))</f>
        <v/>
      </c>
      <c r="AM83" s="40" t="n"/>
      <c r="AN83" s="30">
        <f>IF($AM83="","",IFERROR(IMAGE(IF(REGEXMATCH($AM83,"\.(png|jpg|jpeg|gif)$"),$AM83,"https://s3.tradingview.com/snapshots/"&amp;LOWER(MID(REGEXEXTRACT($AM83,"/x/([A-Za-z0-9]+)"),1,1))&amp;"/"&amp;REGEXEXTRACT($AM83,"/x/([A-Za-z0-9]+)")&amp;".png"),1),"⚠️ link tidak dikenali"))</f>
        <v/>
      </c>
      <c r="AO83" s="40" t="n"/>
      <c r="AP83" s="30">
        <f>IF($AO83="","",IFERROR(IMAGE(IF(REGEXMATCH($AO83,"\.(png|jpg|jpeg|gif)$"),$AO83,"https://s3.tradingview.com/snapshots/"&amp;LOWER(MID(REGEXEXTRACT($AO83,"/x/([A-Za-z0-9]+)"),1,1))&amp;"/"&amp;REGEXEXTRACT($AO83,"/x/([A-Za-z0-9]+)")&amp;".png"),1),"⚠️ link tidak dikenali"))</f>
        <v/>
      </c>
      <c r="AQ83" s="38">
        <f>IF($Z83="",0,IF(AND(OR('📊 Dashboard'!$B$4="(Semua)",$F83='📊 Dashboard'!$B$4),OR('📊 Dashboard'!$B$5="(Semua)",$H83='📊 Dashboard'!$B$5),OR('📊 Dashboard'!$B$6="(Semua)",$E83='📊 Dashboard'!$B$6),OR('📊 Dashboard'!$B$7="(Semua)",$AF83='📊 Dashboard'!$B$7),OR('📊 Dashboard'!$B$8="(Semua)",$AG83='📊 Dashboard'!$B$8),OR('📊 Dashboard'!$B$9="(Semua)",$K83='📊 Dashboard'!$B$9)),1,0))</f>
        <v/>
      </c>
    </row>
    <row r="84" ht="58" customHeight="1">
      <c r="A84" s="30">
        <f>IF($B84="","",ROW()-2)</f>
        <v/>
      </c>
      <c r="B84" s="31" t="n"/>
      <c r="C84" s="32" t="n"/>
      <c r="D84" s="32" t="n"/>
      <c r="E84" s="30">
        <f>IF($C84="","",IF(AND($C84&gt;=TIME(14,0,0),$C84&lt;TIME(19,30,0)),"London",IF(AND($C84&gt;=TIME(19,30,0),$C84&lt;TIME(23,0,0)),"Overlap LDN+NY",IF(OR($C84&gt;=TIME(23,0,0),$C84&lt;TIME(4,0,0)),"New York","Asia"))))</f>
        <v/>
      </c>
      <c r="F84" s="33" t="n"/>
      <c r="G84" s="33" t="n"/>
      <c r="H84" s="33" t="n"/>
      <c r="I84" s="33" t="n"/>
      <c r="J84" s="33" t="n"/>
      <c r="K84" s="33" t="n"/>
      <c r="L84" s="33" t="n"/>
      <c r="M84" s="33" t="n"/>
      <c r="N84" s="34" t="n"/>
      <c r="O84" s="34" t="n"/>
      <c r="P84" s="34" t="n"/>
      <c r="Q84" s="34" t="n"/>
      <c r="R84" s="35">
        <f>IFERROR(IF(OR($N84="",$O84="",$F84=""),"",ROUND(('⚙️ Setelan'!$B$3*'⚙️ Setelan'!$B$4/100)/(ABS($N84-$O84)*VLOOKUP($F84,'⚙️ Setelan'!$A$14:$F$20,4,FALSE)),2)),"")</f>
        <v/>
      </c>
      <c r="S84" s="36" t="n"/>
      <c r="T84" s="37">
        <f>IFERROR(IF(OR($N84="",$O84="",$S84=""),"",ABS($N84-$O84)*$S84*VLOOKUP($F84,'⚙️ Setelan'!$A$14:$F$20,4,FALSE)),"")</f>
        <v/>
      </c>
      <c r="U84" s="35">
        <f>IFERROR(IF(OR($N84="",$O84="",$P84=""),"",ROUND(ABS($P84-$N84)/ABS($N84-$O84),2)),"")</f>
        <v/>
      </c>
      <c r="V84" s="37">
        <f>IFERROR(IF(OR($Q84="",$N84="",$S84=""),"",($Q84-$N84)*IF($G84="Buy",1,-1)*$S84*VLOOKUP($F84,'⚙️ Setelan'!$A$14:$F$20,4,FALSE)),"")</f>
        <v/>
      </c>
      <c r="W84" s="37">
        <f>IFERROR(IF(OR($S84="",$F84=""),"",$S84*VLOOKUP($F84,'⚙️ Setelan'!$A$14:$F$20,5,FALSE)),"")</f>
        <v/>
      </c>
      <c r="X84" s="37">
        <f>IF($V84="","",$V84-IF($W84="",0,$W84))</f>
        <v/>
      </c>
      <c r="Y84" s="35">
        <f>IF(OR($X84="",$T84="",$T84=0),"",ROUND($X84/$T84,2))</f>
        <v/>
      </c>
      <c r="Z84" s="30">
        <f>IF($X84="","",IF($X84&gt;0,"Win",IF($X84&lt;0,"Loss","BE")))</f>
        <v/>
      </c>
      <c r="AA84" s="38">
        <f>IF(OR($C84="",$D84=""),"",ROUND(MOD($D84-$C84,1)*1440,0))</f>
        <v/>
      </c>
      <c r="AB84" s="34" t="n"/>
      <c r="AC84" s="34" t="n"/>
      <c r="AD84" s="35">
        <f>IFERROR(IF(OR($AB84="",$T84="",$T84=0),"",ROUND(ABS($N84-$AB84)*$S84*VLOOKUP($F84,'⚙️ Setelan'!$A$14:$F$20,4,FALSE)/$T84,2)),"")</f>
        <v/>
      </c>
      <c r="AE84" s="35">
        <f>IFERROR(IF(OR($AC84="",$T84="",$T84=0),"",ROUND(ABS($AC84-$N84)*$S84*VLOOKUP($F84,'⚙️ Setelan'!$A$14:$F$20,4,FALSE)/$T84,2)),"")</f>
        <v/>
      </c>
      <c r="AF84" s="33" t="n"/>
      <c r="AG84" s="33" t="n"/>
      <c r="AH84" s="33" t="n"/>
      <c r="AI84" s="33" t="n"/>
      <c r="AJ84" s="33" t="n"/>
      <c r="AK84" s="39" t="n"/>
      <c r="AL84" s="30">
        <f>IF(OR($C84="",$B84=""),"",IF(AND($Z83="Loss",$B84=$B83,MOD($C84-$D83,1)*1440&lt;'⚙️ Setelan'!$B$9),"⚠️ Revenge",""))</f>
        <v/>
      </c>
      <c r="AM84" s="40" t="n"/>
      <c r="AN84" s="30">
        <f>IF($AM84="","",IFERROR(IMAGE(IF(REGEXMATCH($AM84,"\.(png|jpg|jpeg|gif)$"),$AM84,"https://s3.tradingview.com/snapshots/"&amp;LOWER(MID(REGEXEXTRACT($AM84,"/x/([A-Za-z0-9]+)"),1,1))&amp;"/"&amp;REGEXEXTRACT($AM84,"/x/([A-Za-z0-9]+)")&amp;".png"),1),"⚠️ link tidak dikenali"))</f>
        <v/>
      </c>
      <c r="AO84" s="40" t="n"/>
      <c r="AP84" s="30">
        <f>IF($AO84="","",IFERROR(IMAGE(IF(REGEXMATCH($AO84,"\.(png|jpg|jpeg|gif)$"),$AO84,"https://s3.tradingview.com/snapshots/"&amp;LOWER(MID(REGEXEXTRACT($AO84,"/x/([A-Za-z0-9]+)"),1,1))&amp;"/"&amp;REGEXEXTRACT($AO84,"/x/([A-Za-z0-9]+)")&amp;".png"),1),"⚠️ link tidak dikenali"))</f>
        <v/>
      </c>
      <c r="AQ84" s="38">
        <f>IF($Z84="",0,IF(AND(OR('📊 Dashboard'!$B$4="(Semua)",$F84='📊 Dashboard'!$B$4),OR('📊 Dashboard'!$B$5="(Semua)",$H84='📊 Dashboard'!$B$5),OR('📊 Dashboard'!$B$6="(Semua)",$E84='📊 Dashboard'!$B$6),OR('📊 Dashboard'!$B$7="(Semua)",$AF84='📊 Dashboard'!$B$7),OR('📊 Dashboard'!$B$8="(Semua)",$AG84='📊 Dashboard'!$B$8),OR('📊 Dashboard'!$B$9="(Semua)",$K84='📊 Dashboard'!$B$9)),1,0))</f>
        <v/>
      </c>
    </row>
    <row r="85" ht="58" customHeight="1">
      <c r="A85" s="30">
        <f>IF($B85="","",ROW()-2)</f>
        <v/>
      </c>
      <c r="B85" s="31" t="n"/>
      <c r="C85" s="32" t="n"/>
      <c r="D85" s="32" t="n"/>
      <c r="E85" s="30">
        <f>IF($C85="","",IF(AND($C85&gt;=TIME(14,0,0),$C85&lt;TIME(19,30,0)),"London",IF(AND($C85&gt;=TIME(19,30,0),$C85&lt;TIME(23,0,0)),"Overlap LDN+NY",IF(OR($C85&gt;=TIME(23,0,0),$C85&lt;TIME(4,0,0)),"New York","Asia"))))</f>
        <v/>
      </c>
      <c r="F85" s="33" t="n"/>
      <c r="G85" s="33" t="n"/>
      <c r="H85" s="33" t="n"/>
      <c r="I85" s="33" t="n"/>
      <c r="J85" s="33" t="n"/>
      <c r="K85" s="33" t="n"/>
      <c r="L85" s="33" t="n"/>
      <c r="M85" s="33" t="n"/>
      <c r="N85" s="34" t="n"/>
      <c r="O85" s="34" t="n"/>
      <c r="P85" s="34" t="n"/>
      <c r="Q85" s="34" t="n"/>
      <c r="R85" s="35">
        <f>IFERROR(IF(OR($N85="",$O85="",$F85=""),"",ROUND(('⚙️ Setelan'!$B$3*'⚙️ Setelan'!$B$4/100)/(ABS($N85-$O85)*VLOOKUP($F85,'⚙️ Setelan'!$A$14:$F$20,4,FALSE)),2)),"")</f>
        <v/>
      </c>
      <c r="S85" s="36" t="n"/>
      <c r="T85" s="37">
        <f>IFERROR(IF(OR($N85="",$O85="",$S85=""),"",ABS($N85-$O85)*$S85*VLOOKUP($F85,'⚙️ Setelan'!$A$14:$F$20,4,FALSE)),"")</f>
        <v/>
      </c>
      <c r="U85" s="35">
        <f>IFERROR(IF(OR($N85="",$O85="",$P85=""),"",ROUND(ABS($P85-$N85)/ABS($N85-$O85),2)),"")</f>
        <v/>
      </c>
      <c r="V85" s="37">
        <f>IFERROR(IF(OR($Q85="",$N85="",$S85=""),"",($Q85-$N85)*IF($G85="Buy",1,-1)*$S85*VLOOKUP($F85,'⚙️ Setelan'!$A$14:$F$20,4,FALSE)),"")</f>
        <v/>
      </c>
      <c r="W85" s="37">
        <f>IFERROR(IF(OR($S85="",$F85=""),"",$S85*VLOOKUP($F85,'⚙️ Setelan'!$A$14:$F$20,5,FALSE)),"")</f>
        <v/>
      </c>
      <c r="X85" s="37">
        <f>IF($V85="","",$V85-IF($W85="",0,$W85))</f>
        <v/>
      </c>
      <c r="Y85" s="35">
        <f>IF(OR($X85="",$T85="",$T85=0),"",ROUND($X85/$T85,2))</f>
        <v/>
      </c>
      <c r="Z85" s="30">
        <f>IF($X85="","",IF($X85&gt;0,"Win",IF($X85&lt;0,"Loss","BE")))</f>
        <v/>
      </c>
      <c r="AA85" s="38">
        <f>IF(OR($C85="",$D85=""),"",ROUND(MOD($D85-$C85,1)*1440,0))</f>
        <v/>
      </c>
      <c r="AB85" s="34" t="n"/>
      <c r="AC85" s="34" t="n"/>
      <c r="AD85" s="35">
        <f>IFERROR(IF(OR($AB85="",$T85="",$T85=0),"",ROUND(ABS($N85-$AB85)*$S85*VLOOKUP($F85,'⚙️ Setelan'!$A$14:$F$20,4,FALSE)/$T85,2)),"")</f>
        <v/>
      </c>
      <c r="AE85" s="35">
        <f>IFERROR(IF(OR($AC85="",$T85="",$T85=0),"",ROUND(ABS($AC85-$N85)*$S85*VLOOKUP($F85,'⚙️ Setelan'!$A$14:$F$20,4,FALSE)/$T85,2)),"")</f>
        <v/>
      </c>
      <c r="AF85" s="33" t="n"/>
      <c r="AG85" s="33" t="n"/>
      <c r="AH85" s="33" t="n"/>
      <c r="AI85" s="33" t="n"/>
      <c r="AJ85" s="33" t="n"/>
      <c r="AK85" s="39" t="n"/>
      <c r="AL85" s="30">
        <f>IF(OR($C85="",$B85=""),"",IF(AND($Z84="Loss",$B85=$B84,MOD($C85-$D84,1)*1440&lt;'⚙️ Setelan'!$B$9),"⚠️ Revenge",""))</f>
        <v/>
      </c>
      <c r="AM85" s="40" t="n"/>
      <c r="AN85" s="30">
        <f>IF($AM85="","",IFERROR(IMAGE(IF(REGEXMATCH($AM85,"\.(png|jpg|jpeg|gif)$"),$AM85,"https://s3.tradingview.com/snapshots/"&amp;LOWER(MID(REGEXEXTRACT($AM85,"/x/([A-Za-z0-9]+)"),1,1))&amp;"/"&amp;REGEXEXTRACT($AM85,"/x/([A-Za-z0-9]+)")&amp;".png"),1),"⚠️ link tidak dikenali"))</f>
        <v/>
      </c>
      <c r="AO85" s="40" t="n"/>
      <c r="AP85" s="30">
        <f>IF($AO85="","",IFERROR(IMAGE(IF(REGEXMATCH($AO85,"\.(png|jpg|jpeg|gif)$"),$AO85,"https://s3.tradingview.com/snapshots/"&amp;LOWER(MID(REGEXEXTRACT($AO85,"/x/([A-Za-z0-9]+)"),1,1))&amp;"/"&amp;REGEXEXTRACT($AO85,"/x/([A-Za-z0-9]+)")&amp;".png"),1),"⚠️ link tidak dikenali"))</f>
        <v/>
      </c>
      <c r="AQ85" s="38">
        <f>IF($Z85="",0,IF(AND(OR('📊 Dashboard'!$B$4="(Semua)",$F85='📊 Dashboard'!$B$4),OR('📊 Dashboard'!$B$5="(Semua)",$H85='📊 Dashboard'!$B$5),OR('📊 Dashboard'!$B$6="(Semua)",$E85='📊 Dashboard'!$B$6),OR('📊 Dashboard'!$B$7="(Semua)",$AF85='📊 Dashboard'!$B$7),OR('📊 Dashboard'!$B$8="(Semua)",$AG85='📊 Dashboard'!$B$8),OR('📊 Dashboard'!$B$9="(Semua)",$K85='📊 Dashboard'!$B$9)),1,0))</f>
        <v/>
      </c>
    </row>
    <row r="86" ht="58" customHeight="1">
      <c r="A86" s="30">
        <f>IF($B86="","",ROW()-2)</f>
        <v/>
      </c>
      <c r="B86" s="31" t="n"/>
      <c r="C86" s="32" t="n"/>
      <c r="D86" s="32" t="n"/>
      <c r="E86" s="30">
        <f>IF($C86="","",IF(AND($C86&gt;=TIME(14,0,0),$C86&lt;TIME(19,30,0)),"London",IF(AND($C86&gt;=TIME(19,30,0),$C86&lt;TIME(23,0,0)),"Overlap LDN+NY",IF(OR($C86&gt;=TIME(23,0,0),$C86&lt;TIME(4,0,0)),"New York","Asia"))))</f>
        <v/>
      </c>
      <c r="F86" s="33" t="n"/>
      <c r="G86" s="33" t="n"/>
      <c r="H86" s="33" t="n"/>
      <c r="I86" s="33" t="n"/>
      <c r="J86" s="33" t="n"/>
      <c r="K86" s="33" t="n"/>
      <c r="L86" s="33" t="n"/>
      <c r="M86" s="33" t="n"/>
      <c r="N86" s="34" t="n"/>
      <c r="O86" s="34" t="n"/>
      <c r="P86" s="34" t="n"/>
      <c r="Q86" s="34" t="n"/>
      <c r="R86" s="35">
        <f>IFERROR(IF(OR($N86="",$O86="",$F86=""),"",ROUND(('⚙️ Setelan'!$B$3*'⚙️ Setelan'!$B$4/100)/(ABS($N86-$O86)*VLOOKUP($F86,'⚙️ Setelan'!$A$14:$F$20,4,FALSE)),2)),"")</f>
        <v/>
      </c>
      <c r="S86" s="36" t="n"/>
      <c r="T86" s="37">
        <f>IFERROR(IF(OR($N86="",$O86="",$S86=""),"",ABS($N86-$O86)*$S86*VLOOKUP($F86,'⚙️ Setelan'!$A$14:$F$20,4,FALSE)),"")</f>
        <v/>
      </c>
      <c r="U86" s="35">
        <f>IFERROR(IF(OR($N86="",$O86="",$P86=""),"",ROUND(ABS($P86-$N86)/ABS($N86-$O86),2)),"")</f>
        <v/>
      </c>
      <c r="V86" s="37">
        <f>IFERROR(IF(OR($Q86="",$N86="",$S86=""),"",($Q86-$N86)*IF($G86="Buy",1,-1)*$S86*VLOOKUP($F86,'⚙️ Setelan'!$A$14:$F$20,4,FALSE)),"")</f>
        <v/>
      </c>
      <c r="W86" s="37">
        <f>IFERROR(IF(OR($S86="",$F86=""),"",$S86*VLOOKUP($F86,'⚙️ Setelan'!$A$14:$F$20,5,FALSE)),"")</f>
        <v/>
      </c>
      <c r="X86" s="37">
        <f>IF($V86="","",$V86-IF($W86="",0,$W86))</f>
        <v/>
      </c>
      <c r="Y86" s="35">
        <f>IF(OR($X86="",$T86="",$T86=0),"",ROUND($X86/$T86,2))</f>
        <v/>
      </c>
      <c r="Z86" s="30">
        <f>IF($X86="","",IF($X86&gt;0,"Win",IF($X86&lt;0,"Loss","BE")))</f>
        <v/>
      </c>
      <c r="AA86" s="38">
        <f>IF(OR($C86="",$D86=""),"",ROUND(MOD($D86-$C86,1)*1440,0))</f>
        <v/>
      </c>
      <c r="AB86" s="34" t="n"/>
      <c r="AC86" s="34" t="n"/>
      <c r="AD86" s="35">
        <f>IFERROR(IF(OR($AB86="",$T86="",$T86=0),"",ROUND(ABS($N86-$AB86)*$S86*VLOOKUP($F86,'⚙️ Setelan'!$A$14:$F$20,4,FALSE)/$T86,2)),"")</f>
        <v/>
      </c>
      <c r="AE86" s="35">
        <f>IFERROR(IF(OR($AC86="",$T86="",$T86=0),"",ROUND(ABS($AC86-$N86)*$S86*VLOOKUP($F86,'⚙️ Setelan'!$A$14:$F$20,4,FALSE)/$T86,2)),"")</f>
        <v/>
      </c>
      <c r="AF86" s="33" t="n"/>
      <c r="AG86" s="33" t="n"/>
      <c r="AH86" s="33" t="n"/>
      <c r="AI86" s="33" t="n"/>
      <c r="AJ86" s="33" t="n"/>
      <c r="AK86" s="39" t="n"/>
      <c r="AL86" s="30">
        <f>IF(OR($C86="",$B86=""),"",IF(AND($Z85="Loss",$B86=$B85,MOD($C86-$D85,1)*1440&lt;'⚙️ Setelan'!$B$9),"⚠️ Revenge",""))</f>
        <v/>
      </c>
      <c r="AM86" s="40" t="n"/>
      <c r="AN86" s="30">
        <f>IF($AM86="","",IFERROR(IMAGE(IF(REGEXMATCH($AM86,"\.(png|jpg|jpeg|gif)$"),$AM86,"https://s3.tradingview.com/snapshots/"&amp;LOWER(MID(REGEXEXTRACT($AM86,"/x/([A-Za-z0-9]+)"),1,1))&amp;"/"&amp;REGEXEXTRACT($AM86,"/x/([A-Za-z0-9]+)")&amp;".png"),1),"⚠️ link tidak dikenali"))</f>
        <v/>
      </c>
      <c r="AO86" s="40" t="n"/>
      <c r="AP86" s="30">
        <f>IF($AO86="","",IFERROR(IMAGE(IF(REGEXMATCH($AO86,"\.(png|jpg|jpeg|gif)$"),$AO86,"https://s3.tradingview.com/snapshots/"&amp;LOWER(MID(REGEXEXTRACT($AO86,"/x/([A-Za-z0-9]+)"),1,1))&amp;"/"&amp;REGEXEXTRACT($AO86,"/x/([A-Za-z0-9]+)")&amp;".png"),1),"⚠️ link tidak dikenali"))</f>
        <v/>
      </c>
      <c r="AQ86" s="38">
        <f>IF($Z86="",0,IF(AND(OR('📊 Dashboard'!$B$4="(Semua)",$F86='📊 Dashboard'!$B$4),OR('📊 Dashboard'!$B$5="(Semua)",$H86='📊 Dashboard'!$B$5),OR('📊 Dashboard'!$B$6="(Semua)",$E86='📊 Dashboard'!$B$6),OR('📊 Dashboard'!$B$7="(Semua)",$AF86='📊 Dashboard'!$B$7),OR('📊 Dashboard'!$B$8="(Semua)",$AG86='📊 Dashboard'!$B$8),OR('📊 Dashboard'!$B$9="(Semua)",$K86='📊 Dashboard'!$B$9)),1,0))</f>
        <v/>
      </c>
    </row>
    <row r="87" ht="58" customHeight="1">
      <c r="A87" s="30">
        <f>IF($B87="","",ROW()-2)</f>
        <v/>
      </c>
      <c r="B87" s="31" t="n"/>
      <c r="C87" s="32" t="n"/>
      <c r="D87" s="32" t="n"/>
      <c r="E87" s="30">
        <f>IF($C87="","",IF(AND($C87&gt;=TIME(14,0,0),$C87&lt;TIME(19,30,0)),"London",IF(AND($C87&gt;=TIME(19,30,0),$C87&lt;TIME(23,0,0)),"Overlap LDN+NY",IF(OR($C87&gt;=TIME(23,0,0),$C87&lt;TIME(4,0,0)),"New York","Asia"))))</f>
        <v/>
      </c>
      <c r="F87" s="33" t="n"/>
      <c r="G87" s="33" t="n"/>
      <c r="H87" s="33" t="n"/>
      <c r="I87" s="33" t="n"/>
      <c r="J87" s="33" t="n"/>
      <c r="K87" s="33" t="n"/>
      <c r="L87" s="33" t="n"/>
      <c r="M87" s="33" t="n"/>
      <c r="N87" s="34" t="n"/>
      <c r="O87" s="34" t="n"/>
      <c r="P87" s="34" t="n"/>
      <c r="Q87" s="34" t="n"/>
      <c r="R87" s="35">
        <f>IFERROR(IF(OR($N87="",$O87="",$F87=""),"",ROUND(('⚙️ Setelan'!$B$3*'⚙️ Setelan'!$B$4/100)/(ABS($N87-$O87)*VLOOKUP($F87,'⚙️ Setelan'!$A$14:$F$20,4,FALSE)),2)),"")</f>
        <v/>
      </c>
      <c r="S87" s="36" t="n"/>
      <c r="T87" s="37">
        <f>IFERROR(IF(OR($N87="",$O87="",$S87=""),"",ABS($N87-$O87)*$S87*VLOOKUP($F87,'⚙️ Setelan'!$A$14:$F$20,4,FALSE)),"")</f>
        <v/>
      </c>
      <c r="U87" s="35">
        <f>IFERROR(IF(OR($N87="",$O87="",$P87=""),"",ROUND(ABS($P87-$N87)/ABS($N87-$O87),2)),"")</f>
        <v/>
      </c>
      <c r="V87" s="37">
        <f>IFERROR(IF(OR($Q87="",$N87="",$S87=""),"",($Q87-$N87)*IF($G87="Buy",1,-1)*$S87*VLOOKUP($F87,'⚙️ Setelan'!$A$14:$F$20,4,FALSE)),"")</f>
        <v/>
      </c>
      <c r="W87" s="37">
        <f>IFERROR(IF(OR($S87="",$F87=""),"",$S87*VLOOKUP($F87,'⚙️ Setelan'!$A$14:$F$20,5,FALSE)),"")</f>
        <v/>
      </c>
      <c r="X87" s="37">
        <f>IF($V87="","",$V87-IF($W87="",0,$W87))</f>
        <v/>
      </c>
      <c r="Y87" s="35">
        <f>IF(OR($X87="",$T87="",$T87=0),"",ROUND($X87/$T87,2))</f>
        <v/>
      </c>
      <c r="Z87" s="30">
        <f>IF($X87="","",IF($X87&gt;0,"Win",IF($X87&lt;0,"Loss","BE")))</f>
        <v/>
      </c>
      <c r="AA87" s="38">
        <f>IF(OR($C87="",$D87=""),"",ROUND(MOD($D87-$C87,1)*1440,0))</f>
        <v/>
      </c>
      <c r="AB87" s="34" t="n"/>
      <c r="AC87" s="34" t="n"/>
      <c r="AD87" s="35">
        <f>IFERROR(IF(OR($AB87="",$T87="",$T87=0),"",ROUND(ABS($N87-$AB87)*$S87*VLOOKUP($F87,'⚙️ Setelan'!$A$14:$F$20,4,FALSE)/$T87,2)),"")</f>
        <v/>
      </c>
      <c r="AE87" s="35">
        <f>IFERROR(IF(OR($AC87="",$T87="",$T87=0),"",ROUND(ABS($AC87-$N87)*$S87*VLOOKUP($F87,'⚙️ Setelan'!$A$14:$F$20,4,FALSE)/$T87,2)),"")</f>
        <v/>
      </c>
      <c r="AF87" s="33" t="n"/>
      <c r="AG87" s="33" t="n"/>
      <c r="AH87" s="33" t="n"/>
      <c r="AI87" s="33" t="n"/>
      <c r="AJ87" s="33" t="n"/>
      <c r="AK87" s="39" t="n"/>
      <c r="AL87" s="30">
        <f>IF(OR($C87="",$B87=""),"",IF(AND($Z86="Loss",$B87=$B86,MOD($C87-$D86,1)*1440&lt;'⚙️ Setelan'!$B$9),"⚠️ Revenge",""))</f>
        <v/>
      </c>
      <c r="AM87" s="40" t="n"/>
      <c r="AN87" s="30">
        <f>IF($AM87="","",IFERROR(IMAGE(IF(REGEXMATCH($AM87,"\.(png|jpg|jpeg|gif)$"),$AM87,"https://s3.tradingview.com/snapshots/"&amp;LOWER(MID(REGEXEXTRACT($AM87,"/x/([A-Za-z0-9]+)"),1,1))&amp;"/"&amp;REGEXEXTRACT($AM87,"/x/([A-Za-z0-9]+)")&amp;".png"),1),"⚠️ link tidak dikenali"))</f>
        <v/>
      </c>
      <c r="AO87" s="40" t="n"/>
      <c r="AP87" s="30">
        <f>IF($AO87="","",IFERROR(IMAGE(IF(REGEXMATCH($AO87,"\.(png|jpg|jpeg|gif)$"),$AO87,"https://s3.tradingview.com/snapshots/"&amp;LOWER(MID(REGEXEXTRACT($AO87,"/x/([A-Za-z0-9]+)"),1,1))&amp;"/"&amp;REGEXEXTRACT($AO87,"/x/([A-Za-z0-9]+)")&amp;".png"),1),"⚠️ link tidak dikenali"))</f>
        <v/>
      </c>
      <c r="AQ87" s="38">
        <f>IF($Z87="",0,IF(AND(OR('📊 Dashboard'!$B$4="(Semua)",$F87='📊 Dashboard'!$B$4),OR('📊 Dashboard'!$B$5="(Semua)",$H87='📊 Dashboard'!$B$5),OR('📊 Dashboard'!$B$6="(Semua)",$E87='📊 Dashboard'!$B$6),OR('📊 Dashboard'!$B$7="(Semua)",$AF87='📊 Dashboard'!$B$7),OR('📊 Dashboard'!$B$8="(Semua)",$AG87='📊 Dashboard'!$B$8),OR('📊 Dashboard'!$B$9="(Semua)",$K87='📊 Dashboard'!$B$9)),1,0))</f>
        <v/>
      </c>
    </row>
    <row r="88" ht="58" customHeight="1">
      <c r="A88" s="30">
        <f>IF($B88="","",ROW()-2)</f>
        <v/>
      </c>
      <c r="B88" s="31" t="n"/>
      <c r="C88" s="32" t="n"/>
      <c r="D88" s="32" t="n"/>
      <c r="E88" s="30">
        <f>IF($C88="","",IF(AND($C88&gt;=TIME(14,0,0),$C88&lt;TIME(19,30,0)),"London",IF(AND($C88&gt;=TIME(19,30,0),$C88&lt;TIME(23,0,0)),"Overlap LDN+NY",IF(OR($C88&gt;=TIME(23,0,0),$C88&lt;TIME(4,0,0)),"New York","Asia"))))</f>
        <v/>
      </c>
      <c r="F88" s="33" t="n"/>
      <c r="G88" s="33" t="n"/>
      <c r="H88" s="33" t="n"/>
      <c r="I88" s="33" t="n"/>
      <c r="J88" s="33" t="n"/>
      <c r="K88" s="33" t="n"/>
      <c r="L88" s="33" t="n"/>
      <c r="M88" s="33" t="n"/>
      <c r="N88" s="34" t="n"/>
      <c r="O88" s="34" t="n"/>
      <c r="P88" s="34" t="n"/>
      <c r="Q88" s="34" t="n"/>
      <c r="R88" s="35">
        <f>IFERROR(IF(OR($N88="",$O88="",$F88=""),"",ROUND(('⚙️ Setelan'!$B$3*'⚙️ Setelan'!$B$4/100)/(ABS($N88-$O88)*VLOOKUP($F88,'⚙️ Setelan'!$A$14:$F$20,4,FALSE)),2)),"")</f>
        <v/>
      </c>
      <c r="S88" s="36" t="n"/>
      <c r="T88" s="37">
        <f>IFERROR(IF(OR($N88="",$O88="",$S88=""),"",ABS($N88-$O88)*$S88*VLOOKUP($F88,'⚙️ Setelan'!$A$14:$F$20,4,FALSE)),"")</f>
        <v/>
      </c>
      <c r="U88" s="35">
        <f>IFERROR(IF(OR($N88="",$O88="",$P88=""),"",ROUND(ABS($P88-$N88)/ABS($N88-$O88),2)),"")</f>
        <v/>
      </c>
      <c r="V88" s="37">
        <f>IFERROR(IF(OR($Q88="",$N88="",$S88=""),"",($Q88-$N88)*IF($G88="Buy",1,-1)*$S88*VLOOKUP($F88,'⚙️ Setelan'!$A$14:$F$20,4,FALSE)),"")</f>
        <v/>
      </c>
      <c r="W88" s="37">
        <f>IFERROR(IF(OR($S88="",$F88=""),"",$S88*VLOOKUP($F88,'⚙️ Setelan'!$A$14:$F$20,5,FALSE)),"")</f>
        <v/>
      </c>
      <c r="X88" s="37">
        <f>IF($V88="","",$V88-IF($W88="",0,$W88))</f>
        <v/>
      </c>
      <c r="Y88" s="35">
        <f>IF(OR($X88="",$T88="",$T88=0),"",ROUND($X88/$T88,2))</f>
        <v/>
      </c>
      <c r="Z88" s="30">
        <f>IF($X88="","",IF($X88&gt;0,"Win",IF($X88&lt;0,"Loss","BE")))</f>
        <v/>
      </c>
      <c r="AA88" s="38">
        <f>IF(OR($C88="",$D88=""),"",ROUND(MOD($D88-$C88,1)*1440,0))</f>
        <v/>
      </c>
      <c r="AB88" s="34" t="n"/>
      <c r="AC88" s="34" t="n"/>
      <c r="AD88" s="35">
        <f>IFERROR(IF(OR($AB88="",$T88="",$T88=0),"",ROUND(ABS($N88-$AB88)*$S88*VLOOKUP($F88,'⚙️ Setelan'!$A$14:$F$20,4,FALSE)/$T88,2)),"")</f>
        <v/>
      </c>
      <c r="AE88" s="35">
        <f>IFERROR(IF(OR($AC88="",$T88="",$T88=0),"",ROUND(ABS($AC88-$N88)*$S88*VLOOKUP($F88,'⚙️ Setelan'!$A$14:$F$20,4,FALSE)/$T88,2)),"")</f>
        <v/>
      </c>
      <c r="AF88" s="33" t="n"/>
      <c r="AG88" s="33" t="n"/>
      <c r="AH88" s="33" t="n"/>
      <c r="AI88" s="33" t="n"/>
      <c r="AJ88" s="33" t="n"/>
      <c r="AK88" s="39" t="n"/>
      <c r="AL88" s="30">
        <f>IF(OR($C88="",$B88=""),"",IF(AND($Z87="Loss",$B88=$B87,MOD($C88-$D87,1)*1440&lt;'⚙️ Setelan'!$B$9),"⚠️ Revenge",""))</f>
        <v/>
      </c>
      <c r="AM88" s="40" t="n"/>
      <c r="AN88" s="30">
        <f>IF($AM88="","",IFERROR(IMAGE(IF(REGEXMATCH($AM88,"\.(png|jpg|jpeg|gif)$"),$AM88,"https://s3.tradingview.com/snapshots/"&amp;LOWER(MID(REGEXEXTRACT($AM88,"/x/([A-Za-z0-9]+)"),1,1))&amp;"/"&amp;REGEXEXTRACT($AM88,"/x/([A-Za-z0-9]+)")&amp;".png"),1),"⚠️ link tidak dikenali"))</f>
        <v/>
      </c>
      <c r="AO88" s="40" t="n"/>
      <c r="AP88" s="30">
        <f>IF($AO88="","",IFERROR(IMAGE(IF(REGEXMATCH($AO88,"\.(png|jpg|jpeg|gif)$"),$AO88,"https://s3.tradingview.com/snapshots/"&amp;LOWER(MID(REGEXEXTRACT($AO88,"/x/([A-Za-z0-9]+)"),1,1))&amp;"/"&amp;REGEXEXTRACT($AO88,"/x/([A-Za-z0-9]+)")&amp;".png"),1),"⚠️ link tidak dikenali"))</f>
        <v/>
      </c>
      <c r="AQ88" s="38">
        <f>IF($Z88="",0,IF(AND(OR('📊 Dashboard'!$B$4="(Semua)",$F88='📊 Dashboard'!$B$4),OR('📊 Dashboard'!$B$5="(Semua)",$H88='📊 Dashboard'!$B$5),OR('📊 Dashboard'!$B$6="(Semua)",$E88='📊 Dashboard'!$B$6),OR('📊 Dashboard'!$B$7="(Semua)",$AF88='📊 Dashboard'!$B$7),OR('📊 Dashboard'!$B$8="(Semua)",$AG88='📊 Dashboard'!$B$8),OR('📊 Dashboard'!$B$9="(Semua)",$K88='📊 Dashboard'!$B$9)),1,0))</f>
        <v/>
      </c>
    </row>
    <row r="89" ht="58" customHeight="1">
      <c r="A89" s="30">
        <f>IF($B89="","",ROW()-2)</f>
        <v/>
      </c>
      <c r="B89" s="31" t="n"/>
      <c r="C89" s="32" t="n"/>
      <c r="D89" s="32" t="n"/>
      <c r="E89" s="30">
        <f>IF($C89="","",IF(AND($C89&gt;=TIME(14,0,0),$C89&lt;TIME(19,30,0)),"London",IF(AND($C89&gt;=TIME(19,30,0),$C89&lt;TIME(23,0,0)),"Overlap LDN+NY",IF(OR($C89&gt;=TIME(23,0,0),$C89&lt;TIME(4,0,0)),"New York","Asia"))))</f>
        <v/>
      </c>
      <c r="F89" s="33" t="n"/>
      <c r="G89" s="33" t="n"/>
      <c r="H89" s="33" t="n"/>
      <c r="I89" s="33" t="n"/>
      <c r="J89" s="33" t="n"/>
      <c r="K89" s="33" t="n"/>
      <c r="L89" s="33" t="n"/>
      <c r="M89" s="33" t="n"/>
      <c r="N89" s="34" t="n"/>
      <c r="O89" s="34" t="n"/>
      <c r="P89" s="34" t="n"/>
      <c r="Q89" s="34" t="n"/>
      <c r="R89" s="35">
        <f>IFERROR(IF(OR($N89="",$O89="",$F89=""),"",ROUND(('⚙️ Setelan'!$B$3*'⚙️ Setelan'!$B$4/100)/(ABS($N89-$O89)*VLOOKUP($F89,'⚙️ Setelan'!$A$14:$F$20,4,FALSE)),2)),"")</f>
        <v/>
      </c>
      <c r="S89" s="36" t="n"/>
      <c r="T89" s="37">
        <f>IFERROR(IF(OR($N89="",$O89="",$S89=""),"",ABS($N89-$O89)*$S89*VLOOKUP($F89,'⚙️ Setelan'!$A$14:$F$20,4,FALSE)),"")</f>
        <v/>
      </c>
      <c r="U89" s="35">
        <f>IFERROR(IF(OR($N89="",$O89="",$P89=""),"",ROUND(ABS($P89-$N89)/ABS($N89-$O89),2)),"")</f>
        <v/>
      </c>
      <c r="V89" s="37">
        <f>IFERROR(IF(OR($Q89="",$N89="",$S89=""),"",($Q89-$N89)*IF($G89="Buy",1,-1)*$S89*VLOOKUP($F89,'⚙️ Setelan'!$A$14:$F$20,4,FALSE)),"")</f>
        <v/>
      </c>
      <c r="W89" s="37">
        <f>IFERROR(IF(OR($S89="",$F89=""),"",$S89*VLOOKUP($F89,'⚙️ Setelan'!$A$14:$F$20,5,FALSE)),"")</f>
        <v/>
      </c>
      <c r="X89" s="37">
        <f>IF($V89="","",$V89-IF($W89="",0,$W89))</f>
        <v/>
      </c>
      <c r="Y89" s="35">
        <f>IF(OR($X89="",$T89="",$T89=0),"",ROUND($X89/$T89,2))</f>
        <v/>
      </c>
      <c r="Z89" s="30">
        <f>IF($X89="","",IF($X89&gt;0,"Win",IF($X89&lt;0,"Loss","BE")))</f>
        <v/>
      </c>
      <c r="AA89" s="38">
        <f>IF(OR($C89="",$D89=""),"",ROUND(MOD($D89-$C89,1)*1440,0))</f>
        <v/>
      </c>
      <c r="AB89" s="34" t="n"/>
      <c r="AC89" s="34" t="n"/>
      <c r="AD89" s="35">
        <f>IFERROR(IF(OR($AB89="",$T89="",$T89=0),"",ROUND(ABS($N89-$AB89)*$S89*VLOOKUP($F89,'⚙️ Setelan'!$A$14:$F$20,4,FALSE)/$T89,2)),"")</f>
        <v/>
      </c>
      <c r="AE89" s="35">
        <f>IFERROR(IF(OR($AC89="",$T89="",$T89=0),"",ROUND(ABS($AC89-$N89)*$S89*VLOOKUP($F89,'⚙️ Setelan'!$A$14:$F$20,4,FALSE)/$T89,2)),"")</f>
        <v/>
      </c>
      <c r="AF89" s="33" t="n"/>
      <c r="AG89" s="33" t="n"/>
      <c r="AH89" s="33" t="n"/>
      <c r="AI89" s="33" t="n"/>
      <c r="AJ89" s="33" t="n"/>
      <c r="AK89" s="39" t="n"/>
      <c r="AL89" s="30">
        <f>IF(OR($C89="",$B89=""),"",IF(AND($Z88="Loss",$B89=$B88,MOD($C89-$D88,1)*1440&lt;'⚙️ Setelan'!$B$9),"⚠️ Revenge",""))</f>
        <v/>
      </c>
      <c r="AM89" s="40" t="n"/>
      <c r="AN89" s="30">
        <f>IF($AM89="","",IFERROR(IMAGE(IF(REGEXMATCH($AM89,"\.(png|jpg|jpeg|gif)$"),$AM89,"https://s3.tradingview.com/snapshots/"&amp;LOWER(MID(REGEXEXTRACT($AM89,"/x/([A-Za-z0-9]+)"),1,1))&amp;"/"&amp;REGEXEXTRACT($AM89,"/x/([A-Za-z0-9]+)")&amp;".png"),1),"⚠️ link tidak dikenali"))</f>
        <v/>
      </c>
      <c r="AO89" s="40" t="n"/>
      <c r="AP89" s="30">
        <f>IF($AO89="","",IFERROR(IMAGE(IF(REGEXMATCH($AO89,"\.(png|jpg|jpeg|gif)$"),$AO89,"https://s3.tradingview.com/snapshots/"&amp;LOWER(MID(REGEXEXTRACT($AO89,"/x/([A-Za-z0-9]+)"),1,1))&amp;"/"&amp;REGEXEXTRACT($AO89,"/x/([A-Za-z0-9]+)")&amp;".png"),1),"⚠️ link tidak dikenali"))</f>
        <v/>
      </c>
      <c r="AQ89" s="38">
        <f>IF($Z89="",0,IF(AND(OR('📊 Dashboard'!$B$4="(Semua)",$F89='📊 Dashboard'!$B$4),OR('📊 Dashboard'!$B$5="(Semua)",$H89='📊 Dashboard'!$B$5),OR('📊 Dashboard'!$B$6="(Semua)",$E89='📊 Dashboard'!$B$6),OR('📊 Dashboard'!$B$7="(Semua)",$AF89='📊 Dashboard'!$B$7),OR('📊 Dashboard'!$B$8="(Semua)",$AG89='📊 Dashboard'!$B$8),OR('📊 Dashboard'!$B$9="(Semua)",$K89='📊 Dashboard'!$B$9)),1,0))</f>
        <v/>
      </c>
    </row>
    <row r="90" ht="58" customHeight="1">
      <c r="A90" s="30">
        <f>IF($B90="","",ROW()-2)</f>
        <v/>
      </c>
      <c r="B90" s="31" t="n"/>
      <c r="C90" s="32" t="n"/>
      <c r="D90" s="32" t="n"/>
      <c r="E90" s="30">
        <f>IF($C90="","",IF(AND($C90&gt;=TIME(14,0,0),$C90&lt;TIME(19,30,0)),"London",IF(AND($C90&gt;=TIME(19,30,0),$C90&lt;TIME(23,0,0)),"Overlap LDN+NY",IF(OR($C90&gt;=TIME(23,0,0),$C90&lt;TIME(4,0,0)),"New York","Asia"))))</f>
        <v/>
      </c>
      <c r="F90" s="33" t="n"/>
      <c r="G90" s="33" t="n"/>
      <c r="H90" s="33" t="n"/>
      <c r="I90" s="33" t="n"/>
      <c r="J90" s="33" t="n"/>
      <c r="K90" s="33" t="n"/>
      <c r="L90" s="33" t="n"/>
      <c r="M90" s="33" t="n"/>
      <c r="N90" s="34" t="n"/>
      <c r="O90" s="34" t="n"/>
      <c r="P90" s="34" t="n"/>
      <c r="Q90" s="34" t="n"/>
      <c r="R90" s="35">
        <f>IFERROR(IF(OR($N90="",$O90="",$F90=""),"",ROUND(('⚙️ Setelan'!$B$3*'⚙️ Setelan'!$B$4/100)/(ABS($N90-$O90)*VLOOKUP($F90,'⚙️ Setelan'!$A$14:$F$20,4,FALSE)),2)),"")</f>
        <v/>
      </c>
      <c r="S90" s="36" t="n"/>
      <c r="T90" s="37">
        <f>IFERROR(IF(OR($N90="",$O90="",$S90=""),"",ABS($N90-$O90)*$S90*VLOOKUP($F90,'⚙️ Setelan'!$A$14:$F$20,4,FALSE)),"")</f>
        <v/>
      </c>
      <c r="U90" s="35">
        <f>IFERROR(IF(OR($N90="",$O90="",$P90=""),"",ROUND(ABS($P90-$N90)/ABS($N90-$O90),2)),"")</f>
        <v/>
      </c>
      <c r="V90" s="37">
        <f>IFERROR(IF(OR($Q90="",$N90="",$S90=""),"",($Q90-$N90)*IF($G90="Buy",1,-1)*$S90*VLOOKUP($F90,'⚙️ Setelan'!$A$14:$F$20,4,FALSE)),"")</f>
        <v/>
      </c>
      <c r="W90" s="37">
        <f>IFERROR(IF(OR($S90="",$F90=""),"",$S90*VLOOKUP($F90,'⚙️ Setelan'!$A$14:$F$20,5,FALSE)),"")</f>
        <v/>
      </c>
      <c r="X90" s="37">
        <f>IF($V90="","",$V90-IF($W90="",0,$W90))</f>
        <v/>
      </c>
      <c r="Y90" s="35">
        <f>IF(OR($X90="",$T90="",$T90=0),"",ROUND($X90/$T90,2))</f>
        <v/>
      </c>
      <c r="Z90" s="30">
        <f>IF($X90="","",IF($X90&gt;0,"Win",IF($X90&lt;0,"Loss","BE")))</f>
        <v/>
      </c>
      <c r="AA90" s="38">
        <f>IF(OR($C90="",$D90=""),"",ROUND(MOD($D90-$C90,1)*1440,0))</f>
        <v/>
      </c>
      <c r="AB90" s="34" t="n"/>
      <c r="AC90" s="34" t="n"/>
      <c r="AD90" s="35">
        <f>IFERROR(IF(OR($AB90="",$T90="",$T90=0),"",ROUND(ABS($N90-$AB90)*$S90*VLOOKUP($F90,'⚙️ Setelan'!$A$14:$F$20,4,FALSE)/$T90,2)),"")</f>
        <v/>
      </c>
      <c r="AE90" s="35">
        <f>IFERROR(IF(OR($AC90="",$T90="",$T90=0),"",ROUND(ABS($AC90-$N90)*$S90*VLOOKUP($F90,'⚙️ Setelan'!$A$14:$F$20,4,FALSE)/$T90,2)),"")</f>
        <v/>
      </c>
      <c r="AF90" s="33" t="n"/>
      <c r="AG90" s="33" t="n"/>
      <c r="AH90" s="33" t="n"/>
      <c r="AI90" s="33" t="n"/>
      <c r="AJ90" s="33" t="n"/>
      <c r="AK90" s="39" t="n"/>
      <c r="AL90" s="30">
        <f>IF(OR($C90="",$B90=""),"",IF(AND($Z89="Loss",$B90=$B89,MOD($C90-$D89,1)*1440&lt;'⚙️ Setelan'!$B$9),"⚠️ Revenge",""))</f>
        <v/>
      </c>
      <c r="AM90" s="40" t="n"/>
      <c r="AN90" s="30">
        <f>IF($AM90="","",IFERROR(IMAGE(IF(REGEXMATCH($AM90,"\.(png|jpg|jpeg|gif)$"),$AM90,"https://s3.tradingview.com/snapshots/"&amp;LOWER(MID(REGEXEXTRACT($AM90,"/x/([A-Za-z0-9]+)"),1,1))&amp;"/"&amp;REGEXEXTRACT($AM90,"/x/([A-Za-z0-9]+)")&amp;".png"),1),"⚠️ link tidak dikenali"))</f>
        <v/>
      </c>
      <c r="AO90" s="40" t="n"/>
      <c r="AP90" s="30">
        <f>IF($AO90="","",IFERROR(IMAGE(IF(REGEXMATCH($AO90,"\.(png|jpg|jpeg|gif)$"),$AO90,"https://s3.tradingview.com/snapshots/"&amp;LOWER(MID(REGEXEXTRACT($AO90,"/x/([A-Za-z0-9]+)"),1,1))&amp;"/"&amp;REGEXEXTRACT($AO90,"/x/([A-Za-z0-9]+)")&amp;".png"),1),"⚠️ link tidak dikenali"))</f>
        <v/>
      </c>
      <c r="AQ90" s="38">
        <f>IF($Z90="",0,IF(AND(OR('📊 Dashboard'!$B$4="(Semua)",$F90='📊 Dashboard'!$B$4),OR('📊 Dashboard'!$B$5="(Semua)",$H90='📊 Dashboard'!$B$5),OR('📊 Dashboard'!$B$6="(Semua)",$E90='📊 Dashboard'!$B$6),OR('📊 Dashboard'!$B$7="(Semua)",$AF90='📊 Dashboard'!$B$7),OR('📊 Dashboard'!$B$8="(Semua)",$AG90='📊 Dashboard'!$B$8),OR('📊 Dashboard'!$B$9="(Semua)",$K90='📊 Dashboard'!$B$9)),1,0))</f>
        <v/>
      </c>
    </row>
    <row r="91" ht="58" customHeight="1">
      <c r="A91" s="30">
        <f>IF($B91="","",ROW()-2)</f>
        <v/>
      </c>
      <c r="B91" s="31" t="n"/>
      <c r="C91" s="32" t="n"/>
      <c r="D91" s="32" t="n"/>
      <c r="E91" s="30">
        <f>IF($C91="","",IF(AND($C91&gt;=TIME(14,0,0),$C91&lt;TIME(19,30,0)),"London",IF(AND($C91&gt;=TIME(19,30,0),$C91&lt;TIME(23,0,0)),"Overlap LDN+NY",IF(OR($C91&gt;=TIME(23,0,0),$C91&lt;TIME(4,0,0)),"New York","Asia"))))</f>
        <v/>
      </c>
      <c r="F91" s="33" t="n"/>
      <c r="G91" s="33" t="n"/>
      <c r="H91" s="33" t="n"/>
      <c r="I91" s="33" t="n"/>
      <c r="J91" s="33" t="n"/>
      <c r="K91" s="33" t="n"/>
      <c r="L91" s="33" t="n"/>
      <c r="M91" s="33" t="n"/>
      <c r="N91" s="34" t="n"/>
      <c r="O91" s="34" t="n"/>
      <c r="P91" s="34" t="n"/>
      <c r="Q91" s="34" t="n"/>
      <c r="R91" s="35">
        <f>IFERROR(IF(OR($N91="",$O91="",$F91=""),"",ROUND(('⚙️ Setelan'!$B$3*'⚙️ Setelan'!$B$4/100)/(ABS($N91-$O91)*VLOOKUP($F91,'⚙️ Setelan'!$A$14:$F$20,4,FALSE)),2)),"")</f>
        <v/>
      </c>
      <c r="S91" s="36" t="n"/>
      <c r="T91" s="37">
        <f>IFERROR(IF(OR($N91="",$O91="",$S91=""),"",ABS($N91-$O91)*$S91*VLOOKUP($F91,'⚙️ Setelan'!$A$14:$F$20,4,FALSE)),"")</f>
        <v/>
      </c>
      <c r="U91" s="35">
        <f>IFERROR(IF(OR($N91="",$O91="",$P91=""),"",ROUND(ABS($P91-$N91)/ABS($N91-$O91),2)),"")</f>
        <v/>
      </c>
      <c r="V91" s="37">
        <f>IFERROR(IF(OR($Q91="",$N91="",$S91=""),"",($Q91-$N91)*IF($G91="Buy",1,-1)*$S91*VLOOKUP($F91,'⚙️ Setelan'!$A$14:$F$20,4,FALSE)),"")</f>
        <v/>
      </c>
      <c r="W91" s="37">
        <f>IFERROR(IF(OR($S91="",$F91=""),"",$S91*VLOOKUP($F91,'⚙️ Setelan'!$A$14:$F$20,5,FALSE)),"")</f>
        <v/>
      </c>
      <c r="X91" s="37">
        <f>IF($V91="","",$V91-IF($W91="",0,$W91))</f>
        <v/>
      </c>
      <c r="Y91" s="35">
        <f>IF(OR($X91="",$T91="",$T91=0),"",ROUND($X91/$T91,2))</f>
        <v/>
      </c>
      <c r="Z91" s="30">
        <f>IF($X91="","",IF($X91&gt;0,"Win",IF($X91&lt;0,"Loss","BE")))</f>
        <v/>
      </c>
      <c r="AA91" s="38">
        <f>IF(OR($C91="",$D91=""),"",ROUND(MOD($D91-$C91,1)*1440,0))</f>
        <v/>
      </c>
      <c r="AB91" s="34" t="n"/>
      <c r="AC91" s="34" t="n"/>
      <c r="AD91" s="35">
        <f>IFERROR(IF(OR($AB91="",$T91="",$T91=0),"",ROUND(ABS($N91-$AB91)*$S91*VLOOKUP($F91,'⚙️ Setelan'!$A$14:$F$20,4,FALSE)/$T91,2)),"")</f>
        <v/>
      </c>
      <c r="AE91" s="35">
        <f>IFERROR(IF(OR($AC91="",$T91="",$T91=0),"",ROUND(ABS($AC91-$N91)*$S91*VLOOKUP($F91,'⚙️ Setelan'!$A$14:$F$20,4,FALSE)/$T91,2)),"")</f>
        <v/>
      </c>
      <c r="AF91" s="33" t="n"/>
      <c r="AG91" s="33" t="n"/>
      <c r="AH91" s="33" t="n"/>
      <c r="AI91" s="33" t="n"/>
      <c r="AJ91" s="33" t="n"/>
      <c r="AK91" s="39" t="n"/>
      <c r="AL91" s="30">
        <f>IF(OR($C91="",$B91=""),"",IF(AND($Z90="Loss",$B91=$B90,MOD($C91-$D90,1)*1440&lt;'⚙️ Setelan'!$B$9),"⚠️ Revenge",""))</f>
        <v/>
      </c>
      <c r="AM91" s="40" t="n"/>
      <c r="AN91" s="30">
        <f>IF($AM91="","",IFERROR(IMAGE(IF(REGEXMATCH($AM91,"\.(png|jpg|jpeg|gif)$"),$AM91,"https://s3.tradingview.com/snapshots/"&amp;LOWER(MID(REGEXEXTRACT($AM91,"/x/([A-Za-z0-9]+)"),1,1))&amp;"/"&amp;REGEXEXTRACT($AM91,"/x/([A-Za-z0-9]+)")&amp;".png"),1),"⚠️ link tidak dikenali"))</f>
        <v/>
      </c>
      <c r="AO91" s="40" t="n"/>
      <c r="AP91" s="30">
        <f>IF($AO91="","",IFERROR(IMAGE(IF(REGEXMATCH($AO91,"\.(png|jpg|jpeg|gif)$"),$AO91,"https://s3.tradingview.com/snapshots/"&amp;LOWER(MID(REGEXEXTRACT($AO91,"/x/([A-Za-z0-9]+)"),1,1))&amp;"/"&amp;REGEXEXTRACT($AO91,"/x/([A-Za-z0-9]+)")&amp;".png"),1),"⚠️ link tidak dikenali"))</f>
        <v/>
      </c>
      <c r="AQ91" s="38">
        <f>IF($Z91="",0,IF(AND(OR('📊 Dashboard'!$B$4="(Semua)",$F91='📊 Dashboard'!$B$4),OR('📊 Dashboard'!$B$5="(Semua)",$H91='📊 Dashboard'!$B$5),OR('📊 Dashboard'!$B$6="(Semua)",$E91='📊 Dashboard'!$B$6),OR('📊 Dashboard'!$B$7="(Semua)",$AF91='📊 Dashboard'!$B$7),OR('📊 Dashboard'!$B$8="(Semua)",$AG91='📊 Dashboard'!$B$8),OR('📊 Dashboard'!$B$9="(Semua)",$K91='📊 Dashboard'!$B$9)),1,0))</f>
        <v/>
      </c>
    </row>
    <row r="92" ht="58" customHeight="1">
      <c r="A92" s="30">
        <f>IF($B92="","",ROW()-2)</f>
        <v/>
      </c>
      <c r="B92" s="31" t="n"/>
      <c r="C92" s="32" t="n"/>
      <c r="D92" s="32" t="n"/>
      <c r="E92" s="30">
        <f>IF($C92="","",IF(AND($C92&gt;=TIME(14,0,0),$C92&lt;TIME(19,30,0)),"London",IF(AND($C92&gt;=TIME(19,30,0),$C92&lt;TIME(23,0,0)),"Overlap LDN+NY",IF(OR($C92&gt;=TIME(23,0,0),$C92&lt;TIME(4,0,0)),"New York","Asia"))))</f>
        <v/>
      </c>
      <c r="F92" s="33" t="n"/>
      <c r="G92" s="33" t="n"/>
      <c r="H92" s="33" t="n"/>
      <c r="I92" s="33" t="n"/>
      <c r="J92" s="33" t="n"/>
      <c r="K92" s="33" t="n"/>
      <c r="L92" s="33" t="n"/>
      <c r="M92" s="33" t="n"/>
      <c r="N92" s="34" t="n"/>
      <c r="O92" s="34" t="n"/>
      <c r="P92" s="34" t="n"/>
      <c r="Q92" s="34" t="n"/>
      <c r="R92" s="35">
        <f>IFERROR(IF(OR($N92="",$O92="",$F92=""),"",ROUND(('⚙️ Setelan'!$B$3*'⚙️ Setelan'!$B$4/100)/(ABS($N92-$O92)*VLOOKUP($F92,'⚙️ Setelan'!$A$14:$F$20,4,FALSE)),2)),"")</f>
        <v/>
      </c>
      <c r="S92" s="36" t="n"/>
      <c r="T92" s="37">
        <f>IFERROR(IF(OR($N92="",$O92="",$S92=""),"",ABS($N92-$O92)*$S92*VLOOKUP($F92,'⚙️ Setelan'!$A$14:$F$20,4,FALSE)),"")</f>
        <v/>
      </c>
      <c r="U92" s="35">
        <f>IFERROR(IF(OR($N92="",$O92="",$P92=""),"",ROUND(ABS($P92-$N92)/ABS($N92-$O92),2)),"")</f>
        <v/>
      </c>
      <c r="V92" s="37">
        <f>IFERROR(IF(OR($Q92="",$N92="",$S92=""),"",($Q92-$N92)*IF($G92="Buy",1,-1)*$S92*VLOOKUP($F92,'⚙️ Setelan'!$A$14:$F$20,4,FALSE)),"")</f>
        <v/>
      </c>
      <c r="W92" s="37">
        <f>IFERROR(IF(OR($S92="",$F92=""),"",$S92*VLOOKUP($F92,'⚙️ Setelan'!$A$14:$F$20,5,FALSE)),"")</f>
        <v/>
      </c>
      <c r="X92" s="37">
        <f>IF($V92="","",$V92-IF($W92="",0,$W92))</f>
        <v/>
      </c>
      <c r="Y92" s="35">
        <f>IF(OR($X92="",$T92="",$T92=0),"",ROUND($X92/$T92,2))</f>
        <v/>
      </c>
      <c r="Z92" s="30">
        <f>IF($X92="","",IF($X92&gt;0,"Win",IF($X92&lt;0,"Loss","BE")))</f>
        <v/>
      </c>
      <c r="AA92" s="38">
        <f>IF(OR($C92="",$D92=""),"",ROUND(MOD($D92-$C92,1)*1440,0))</f>
        <v/>
      </c>
      <c r="AB92" s="34" t="n"/>
      <c r="AC92" s="34" t="n"/>
      <c r="AD92" s="35">
        <f>IFERROR(IF(OR($AB92="",$T92="",$T92=0),"",ROUND(ABS($N92-$AB92)*$S92*VLOOKUP($F92,'⚙️ Setelan'!$A$14:$F$20,4,FALSE)/$T92,2)),"")</f>
        <v/>
      </c>
      <c r="AE92" s="35">
        <f>IFERROR(IF(OR($AC92="",$T92="",$T92=0),"",ROUND(ABS($AC92-$N92)*$S92*VLOOKUP($F92,'⚙️ Setelan'!$A$14:$F$20,4,FALSE)/$T92,2)),"")</f>
        <v/>
      </c>
      <c r="AF92" s="33" t="n"/>
      <c r="AG92" s="33" t="n"/>
      <c r="AH92" s="33" t="n"/>
      <c r="AI92" s="33" t="n"/>
      <c r="AJ92" s="33" t="n"/>
      <c r="AK92" s="39" t="n"/>
      <c r="AL92" s="30">
        <f>IF(OR($C92="",$B92=""),"",IF(AND($Z91="Loss",$B92=$B91,MOD($C92-$D91,1)*1440&lt;'⚙️ Setelan'!$B$9),"⚠️ Revenge",""))</f>
        <v/>
      </c>
      <c r="AM92" s="40" t="n"/>
      <c r="AN92" s="30">
        <f>IF($AM92="","",IFERROR(IMAGE(IF(REGEXMATCH($AM92,"\.(png|jpg|jpeg|gif)$"),$AM92,"https://s3.tradingview.com/snapshots/"&amp;LOWER(MID(REGEXEXTRACT($AM92,"/x/([A-Za-z0-9]+)"),1,1))&amp;"/"&amp;REGEXEXTRACT($AM92,"/x/([A-Za-z0-9]+)")&amp;".png"),1),"⚠️ link tidak dikenali"))</f>
        <v/>
      </c>
      <c r="AO92" s="40" t="n"/>
      <c r="AP92" s="30">
        <f>IF($AO92="","",IFERROR(IMAGE(IF(REGEXMATCH($AO92,"\.(png|jpg|jpeg|gif)$"),$AO92,"https://s3.tradingview.com/snapshots/"&amp;LOWER(MID(REGEXEXTRACT($AO92,"/x/([A-Za-z0-9]+)"),1,1))&amp;"/"&amp;REGEXEXTRACT($AO92,"/x/([A-Za-z0-9]+)")&amp;".png"),1),"⚠️ link tidak dikenali"))</f>
        <v/>
      </c>
      <c r="AQ92" s="38">
        <f>IF($Z92="",0,IF(AND(OR('📊 Dashboard'!$B$4="(Semua)",$F92='📊 Dashboard'!$B$4),OR('📊 Dashboard'!$B$5="(Semua)",$H92='📊 Dashboard'!$B$5),OR('📊 Dashboard'!$B$6="(Semua)",$E92='📊 Dashboard'!$B$6),OR('📊 Dashboard'!$B$7="(Semua)",$AF92='📊 Dashboard'!$B$7),OR('📊 Dashboard'!$B$8="(Semua)",$AG92='📊 Dashboard'!$B$8),OR('📊 Dashboard'!$B$9="(Semua)",$K92='📊 Dashboard'!$B$9)),1,0))</f>
        <v/>
      </c>
    </row>
    <row r="93" ht="58" customHeight="1">
      <c r="A93" s="30">
        <f>IF($B93="","",ROW()-2)</f>
        <v/>
      </c>
      <c r="B93" s="31" t="n"/>
      <c r="C93" s="32" t="n"/>
      <c r="D93" s="32" t="n"/>
      <c r="E93" s="30">
        <f>IF($C93="","",IF(AND($C93&gt;=TIME(14,0,0),$C93&lt;TIME(19,30,0)),"London",IF(AND($C93&gt;=TIME(19,30,0),$C93&lt;TIME(23,0,0)),"Overlap LDN+NY",IF(OR($C93&gt;=TIME(23,0,0),$C93&lt;TIME(4,0,0)),"New York","Asia"))))</f>
        <v/>
      </c>
      <c r="F93" s="33" t="n"/>
      <c r="G93" s="33" t="n"/>
      <c r="H93" s="33" t="n"/>
      <c r="I93" s="33" t="n"/>
      <c r="J93" s="33" t="n"/>
      <c r="K93" s="33" t="n"/>
      <c r="L93" s="33" t="n"/>
      <c r="M93" s="33" t="n"/>
      <c r="N93" s="34" t="n"/>
      <c r="O93" s="34" t="n"/>
      <c r="P93" s="34" t="n"/>
      <c r="Q93" s="34" t="n"/>
      <c r="R93" s="35">
        <f>IFERROR(IF(OR($N93="",$O93="",$F93=""),"",ROUND(('⚙️ Setelan'!$B$3*'⚙️ Setelan'!$B$4/100)/(ABS($N93-$O93)*VLOOKUP($F93,'⚙️ Setelan'!$A$14:$F$20,4,FALSE)),2)),"")</f>
        <v/>
      </c>
      <c r="S93" s="36" t="n"/>
      <c r="T93" s="37">
        <f>IFERROR(IF(OR($N93="",$O93="",$S93=""),"",ABS($N93-$O93)*$S93*VLOOKUP($F93,'⚙️ Setelan'!$A$14:$F$20,4,FALSE)),"")</f>
        <v/>
      </c>
      <c r="U93" s="35">
        <f>IFERROR(IF(OR($N93="",$O93="",$P93=""),"",ROUND(ABS($P93-$N93)/ABS($N93-$O93),2)),"")</f>
        <v/>
      </c>
      <c r="V93" s="37">
        <f>IFERROR(IF(OR($Q93="",$N93="",$S93=""),"",($Q93-$N93)*IF($G93="Buy",1,-1)*$S93*VLOOKUP($F93,'⚙️ Setelan'!$A$14:$F$20,4,FALSE)),"")</f>
        <v/>
      </c>
      <c r="W93" s="37">
        <f>IFERROR(IF(OR($S93="",$F93=""),"",$S93*VLOOKUP($F93,'⚙️ Setelan'!$A$14:$F$20,5,FALSE)),"")</f>
        <v/>
      </c>
      <c r="X93" s="37">
        <f>IF($V93="","",$V93-IF($W93="",0,$W93))</f>
        <v/>
      </c>
      <c r="Y93" s="35">
        <f>IF(OR($X93="",$T93="",$T93=0),"",ROUND($X93/$T93,2))</f>
        <v/>
      </c>
      <c r="Z93" s="30">
        <f>IF($X93="","",IF($X93&gt;0,"Win",IF($X93&lt;0,"Loss","BE")))</f>
        <v/>
      </c>
      <c r="AA93" s="38">
        <f>IF(OR($C93="",$D93=""),"",ROUND(MOD($D93-$C93,1)*1440,0))</f>
        <v/>
      </c>
      <c r="AB93" s="34" t="n"/>
      <c r="AC93" s="34" t="n"/>
      <c r="AD93" s="35">
        <f>IFERROR(IF(OR($AB93="",$T93="",$T93=0),"",ROUND(ABS($N93-$AB93)*$S93*VLOOKUP($F93,'⚙️ Setelan'!$A$14:$F$20,4,FALSE)/$T93,2)),"")</f>
        <v/>
      </c>
      <c r="AE93" s="35">
        <f>IFERROR(IF(OR($AC93="",$T93="",$T93=0),"",ROUND(ABS($AC93-$N93)*$S93*VLOOKUP($F93,'⚙️ Setelan'!$A$14:$F$20,4,FALSE)/$T93,2)),"")</f>
        <v/>
      </c>
      <c r="AF93" s="33" t="n"/>
      <c r="AG93" s="33" t="n"/>
      <c r="AH93" s="33" t="n"/>
      <c r="AI93" s="33" t="n"/>
      <c r="AJ93" s="33" t="n"/>
      <c r="AK93" s="39" t="n"/>
      <c r="AL93" s="30">
        <f>IF(OR($C93="",$B93=""),"",IF(AND($Z92="Loss",$B93=$B92,MOD($C93-$D92,1)*1440&lt;'⚙️ Setelan'!$B$9),"⚠️ Revenge",""))</f>
        <v/>
      </c>
      <c r="AM93" s="40" t="n"/>
      <c r="AN93" s="30">
        <f>IF($AM93="","",IFERROR(IMAGE(IF(REGEXMATCH($AM93,"\.(png|jpg|jpeg|gif)$"),$AM93,"https://s3.tradingview.com/snapshots/"&amp;LOWER(MID(REGEXEXTRACT($AM93,"/x/([A-Za-z0-9]+)"),1,1))&amp;"/"&amp;REGEXEXTRACT($AM93,"/x/([A-Za-z0-9]+)")&amp;".png"),1),"⚠️ link tidak dikenali"))</f>
        <v/>
      </c>
      <c r="AO93" s="40" t="n"/>
      <c r="AP93" s="30">
        <f>IF($AO93="","",IFERROR(IMAGE(IF(REGEXMATCH($AO93,"\.(png|jpg|jpeg|gif)$"),$AO93,"https://s3.tradingview.com/snapshots/"&amp;LOWER(MID(REGEXEXTRACT($AO93,"/x/([A-Za-z0-9]+)"),1,1))&amp;"/"&amp;REGEXEXTRACT($AO93,"/x/([A-Za-z0-9]+)")&amp;".png"),1),"⚠️ link tidak dikenali"))</f>
        <v/>
      </c>
      <c r="AQ93" s="38">
        <f>IF($Z93="",0,IF(AND(OR('📊 Dashboard'!$B$4="(Semua)",$F93='📊 Dashboard'!$B$4),OR('📊 Dashboard'!$B$5="(Semua)",$H93='📊 Dashboard'!$B$5),OR('📊 Dashboard'!$B$6="(Semua)",$E93='📊 Dashboard'!$B$6),OR('📊 Dashboard'!$B$7="(Semua)",$AF93='📊 Dashboard'!$B$7),OR('📊 Dashboard'!$B$8="(Semua)",$AG93='📊 Dashboard'!$B$8),OR('📊 Dashboard'!$B$9="(Semua)",$K93='📊 Dashboard'!$B$9)),1,0))</f>
        <v/>
      </c>
    </row>
    <row r="94" ht="58" customHeight="1">
      <c r="A94" s="30">
        <f>IF($B94="","",ROW()-2)</f>
        <v/>
      </c>
      <c r="B94" s="31" t="n"/>
      <c r="C94" s="32" t="n"/>
      <c r="D94" s="32" t="n"/>
      <c r="E94" s="30">
        <f>IF($C94="","",IF(AND($C94&gt;=TIME(14,0,0),$C94&lt;TIME(19,30,0)),"London",IF(AND($C94&gt;=TIME(19,30,0),$C94&lt;TIME(23,0,0)),"Overlap LDN+NY",IF(OR($C94&gt;=TIME(23,0,0),$C94&lt;TIME(4,0,0)),"New York","Asia"))))</f>
        <v/>
      </c>
      <c r="F94" s="33" t="n"/>
      <c r="G94" s="33" t="n"/>
      <c r="H94" s="33" t="n"/>
      <c r="I94" s="33" t="n"/>
      <c r="J94" s="33" t="n"/>
      <c r="K94" s="33" t="n"/>
      <c r="L94" s="33" t="n"/>
      <c r="M94" s="33" t="n"/>
      <c r="N94" s="34" t="n"/>
      <c r="O94" s="34" t="n"/>
      <c r="P94" s="34" t="n"/>
      <c r="Q94" s="34" t="n"/>
      <c r="R94" s="35">
        <f>IFERROR(IF(OR($N94="",$O94="",$F94=""),"",ROUND(('⚙️ Setelan'!$B$3*'⚙️ Setelan'!$B$4/100)/(ABS($N94-$O94)*VLOOKUP($F94,'⚙️ Setelan'!$A$14:$F$20,4,FALSE)),2)),"")</f>
        <v/>
      </c>
      <c r="S94" s="36" t="n"/>
      <c r="T94" s="37">
        <f>IFERROR(IF(OR($N94="",$O94="",$S94=""),"",ABS($N94-$O94)*$S94*VLOOKUP($F94,'⚙️ Setelan'!$A$14:$F$20,4,FALSE)),"")</f>
        <v/>
      </c>
      <c r="U94" s="35">
        <f>IFERROR(IF(OR($N94="",$O94="",$P94=""),"",ROUND(ABS($P94-$N94)/ABS($N94-$O94),2)),"")</f>
        <v/>
      </c>
      <c r="V94" s="37">
        <f>IFERROR(IF(OR($Q94="",$N94="",$S94=""),"",($Q94-$N94)*IF($G94="Buy",1,-1)*$S94*VLOOKUP($F94,'⚙️ Setelan'!$A$14:$F$20,4,FALSE)),"")</f>
        <v/>
      </c>
      <c r="W94" s="37">
        <f>IFERROR(IF(OR($S94="",$F94=""),"",$S94*VLOOKUP($F94,'⚙️ Setelan'!$A$14:$F$20,5,FALSE)),"")</f>
        <v/>
      </c>
      <c r="X94" s="37">
        <f>IF($V94="","",$V94-IF($W94="",0,$W94))</f>
        <v/>
      </c>
      <c r="Y94" s="35">
        <f>IF(OR($X94="",$T94="",$T94=0),"",ROUND($X94/$T94,2))</f>
        <v/>
      </c>
      <c r="Z94" s="30">
        <f>IF($X94="","",IF($X94&gt;0,"Win",IF($X94&lt;0,"Loss","BE")))</f>
        <v/>
      </c>
      <c r="AA94" s="38">
        <f>IF(OR($C94="",$D94=""),"",ROUND(MOD($D94-$C94,1)*1440,0))</f>
        <v/>
      </c>
      <c r="AB94" s="34" t="n"/>
      <c r="AC94" s="34" t="n"/>
      <c r="AD94" s="35">
        <f>IFERROR(IF(OR($AB94="",$T94="",$T94=0),"",ROUND(ABS($N94-$AB94)*$S94*VLOOKUP($F94,'⚙️ Setelan'!$A$14:$F$20,4,FALSE)/$T94,2)),"")</f>
        <v/>
      </c>
      <c r="AE94" s="35">
        <f>IFERROR(IF(OR($AC94="",$T94="",$T94=0),"",ROUND(ABS($AC94-$N94)*$S94*VLOOKUP($F94,'⚙️ Setelan'!$A$14:$F$20,4,FALSE)/$T94,2)),"")</f>
        <v/>
      </c>
      <c r="AF94" s="33" t="n"/>
      <c r="AG94" s="33" t="n"/>
      <c r="AH94" s="33" t="n"/>
      <c r="AI94" s="33" t="n"/>
      <c r="AJ94" s="33" t="n"/>
      <c r="AK94" s="39" t="n"/>
      <c r="AL94" s="30">
        <f>IF(OR($C94="",$B94=""),"",IF(AND($Z93="Loss",$B94=$B93,MOD($C94-$D93,1)*1440&lt;'⚙️ Setelan'!$B$9),"⚠️ Revenge",""))</f>
        <v/>
      </c>
      <c r="AM94" s="40" t="n"/>
      <c r="AN94" s="30">
        <f>IF($AM94="","",IFERROR(IMAGE(IF(REGEXMATCH($AM94,"\.(png|jpg|jpeg|gif)$"),$AM94,"https://s3.tradingview.com/snapshots/"&amp;LOWER(MID(REGEXEXTRACT($AM94,"/x/([A-Za-z0-9]+)"),1,1))&amp;"/"&amp;REGEXEXTRACT($AM94,"/x/([A-Za-z0-9]+)")&amp;".png"),1),"⚠️ link tidak dikenali"))</f>
        <v/>
      </c>
      <c r="AO94" s="40" t="n"/>
      <c r="AP94" s="30">
        <f>IF($AO94="","",IFERROR(IMAGE(IF(REGEXMATCH($AO94,"\.(png|jpg|jpeg|gif)$"),$AO94,"https://s3.tradingview.com/snapshots/"&amp;LOWER(MID(REGEXEXTRACT($AO94,"/x/([A-Za-z0-9]+)"),1,1))&amp;"/"&amp;REGEXEXTRACT($AO94,"/x/([A-Za-z0-9]+)")&amp;".png"),1),"⚠️ link tidak dikenali"))</f>
        <v/>
      </c>
      <c r="AQ94" s="38">
        <f>IF($Z94="",0,IF(AND(OR('📊 Dashboard'!$B$4="(Semua)",$F94='📊 Dashboard'!$B$4),OR('📊 Dashboard'!$B$5="(Semua)",$H94='📊 Dashboard'!$B$5),OR('📊 Dashboard'!$B$6="(Semua)",$E94='📊 Dashboard'!$B$6),OR('📊 Dashboard'!$B$7="(Semua)",$AF94='📊 Dashboard'!$B$7),OR('📊 Dashboard'!$B$8="(Semua)",$AG94='📊 Dashboard'!$B$8),OR('📊 Dashboard'!$B$9="(Semua)",$K94='📊 Dashboard'!$B$9)),1,0))</f>
        <v/>
      </c>
    </row>
    <row r="95" ht="58" customHeight="1">
      <c r="A95" s="30">
        <f>IF($B95="","",ROW()-2)</f>
        <v/>
      </c>
      <c r="B95" s="31" t="n"/>
      <c r="C95" s="32" t="n"/>
      <c r="D95" s="32" t="n"/>
      <c r="E95" s="30">
        <f>IF($C95="","",IF(AND($C95&gt;=TIME(14,0,0),$C95&lt;TIME(19,30,0)),"London",IF(AND($C95&gt;=TIME(19,30,0),$C95&lt;TIME(23,0,0)),"Overlap LDN+NY",IF(OR($C95&gt;=TIME(23,0,0),$C95&lt;TIME(4,0,0)),"New York","Asia"))))</f>
        <v/>
      </c>
      <c r="F95" s="33" t="n"/>
      <c r="G95" s="33" t="n"/>
      <c r="H95" s="33" t="n"/>
      <c r="I95" s="33" t="n"/>
      <c r="J95" s="33" t="n"/>
      <c r="K95" s="33" t="n"/>
      <c r="L95" s="33" t="n"/>
      <c r="M95" s="33" t="n"/>
      <c r="N95" s="34" t="n"/>
      <c r="O95" s="34" t="n"/>
      <c r="P95" s="34" t="n"/>
      <c r="Q95" s="34" t="n"/>
      <c r="R95" s="35">
        <f>IFERROR(IF(OR($N95="",$O95="",$F95=""),"",ROUND(('⚙️ Setelan'!$B$3*'⚙️ Setelan'!$B$4/100)/(ABS($N95-$O95)*VLOOKUP($F95,'⚙️ Setelan'!$A$14:$F$20,4,FALSE)),2)),"")</f>
        <v/>
      </c>
      <c r="S95" s="36" t="n"/>
      <c r="T95" s="37">
        <f>IFERROR(IF(OR($N95="",$O95="",$S95=""),"",ABS($N95-$O95)*$S95*VLOOKUP($F95,'⚙️ Setelan'!$A$14:$F$20,4,FALSE)),"")</f>
        <v/>
      </c>
      <c r="U95" s="35">
        <f>IFERROR(IF(OR($N95="",$O95="",$P95=""),"",ROUND(ABS($P95-$N95)/ABS($N95-$O95),2)),"")</f>
        <v/>
      </c>
      <c r="V95" s="37">
        <f>IFERROR(IF(OR($Q95="",$N95="",$S95=""),"",($Q95-$N95)*IF($G95="Buy",1,-1)*$S95*VLOOKUP($F95,'⚙️ Setelan'!$A$14:$F$20,4,FALSE)),"")</f>
        <v/>
      </c>
      <c r="W95" s="37">
        <f>IFERROR(IF(OR($S95="",$F95=""),"",$S95*VLOOKUP($F95,'⚙️ Setelan'!$A$14:$F$20,5,FALSE)),"")</f>
        <v/>
      </c>
      <c r="X95" s="37">
        <f>IF($V95="","",$V95-IF($W95="",0,$W95))</f>
        <v/>
      </c>
      <c r="Y95" s="35">
        <f>IF(OR($X95="",$T95="",$T95=0),"",ROUND($X95/$T95,2))</f>
        <v/>
      </c>
      <c r="Z95" s="30">
        <f>IF($X95="","",IF($X95&gt;0,"Win",IF($X95&lt;0,"Loss","BE")))</f>
        <v/>
      </c>
      <c r="AA95" s="38">
        <f>IF(OR($C95="",$D95=""),"",ROUND(MOD($D95-$C95,1)*1440,0))</f>
        <v/>
      </c>
      <c r="AB95" s="34" t="n"/>
      <c r="AC95" s="34" t="n"/>
      <c r="AD95" s="35">
        <f>IFERROR(IF(OR($AB95="",$T95="",$T95=0),"",ROUND(ABS($N95-$AB95)*$S95*VLOOKUP($F95,'⚙️ Setelan'!$A$14:$F$20,4,FALSE)/$T95,2)),"")</f>
        <v/>
      </c>
      <c r="AE95" s="35">
        <f>IFERROR(IF(OR($AC95="",$T95="",$T95=0),"",ROUND(ABS($AC95-$N95)*$S95*VLOOKUP($F95,'⚙️ Setelan'!$A$14:$F$20,4,FALSE)/$T95,2)),"")</f>
        <v/>
      </c>
      <c r="AF95" s="33" t="n"/>
      <c r="AG95" s="33" t="n"/>
      <c r="AH95" s="33" t="n"/>
      <c r="AI95" s="33" t="n"/>
      <c r="AJ95" s="33" t="n"/>
      <c r="AK95" s="39" t="n"/>
      <c r="AL95" s="30">
        <f>IF(OR($C95="",$B95=""),"",IF(AND($Z94="Loss",$B95=$B94,MOD($C95-$D94,1)*1440&lt;'⚙️ Setelan'!$B$9),"⚠️ Revenge",""))</f>
        <v/>
      </c>
      <c r="AM95" s="40" t="n"/>
      <c r="AN95" s="30">
        <f>IF($AM95="","",IFERROR(IMAGE(IF(REGEXMATCH($AM95,"\.(png|jpg|jpeg|gif)$"),$AM95,"https://s3.tradingview.com/snapshots/"&amp;LOWER(MID(REGEXEXTRACT($AM95,"/x/([A-Za-z0-9]+)"),1,1))&amp;"/"&amp;REGEXEXTRACT($AM95,"/x/([A-Za-z0-9]+)")&amp;".png"),1),"⚠️ link tidak dikenali"))</f>
        <v/>
      </c>
      <c r="AO95" s="40" t="n"/>
      <c r="AP95" s="30">
        <f>IF($AO95="","",IFERROR(IMAGE(IF(REGEXMATCH($AO95,"\.(png|jpg|jpeg|gif)$"),$AO95,"https://s3.tradingview.com/snapshots/"&amp;LOWER(MID(REGEXEXTRACT($AO95,"/x/([A-Za-z0-9]+)"),1,1))&amp;"/"&amp;REGEXEXTRACT($AO95,"/x/([A-Za-z0-9]+)")&amp;".png"),1),"⚠️ link tidak dikenali"))</f>
        <v/>
      </c>
      <c r="AQ95" s="38">
        <f>IF($Z95="",0,IF(AND(OR('📊 Dashboard'!$B$4="(Semua)",$F95='📊 Dashboard'!$B$4),OR('📊 Dashboard'!$B$5="(Semua)",$H95='📊 Dashboard'!$B$5),OR('📊 Dashboard'!$B$6="(Semua)",$E95='📊 Dashboard'!$B$6),OR('📊 Dashboard'!$B$7="(Semua)",$AF95='📊 Dashboard'!$B$7),OR('📊 Dashboard'!$B$8="(Semua)",$AG95='📊 Dashboard'!$B$8),OR('📊 Dashboard'!$B$9="(Semua)",$K95='📊 Dashboard'!$B$9)),1,0))</f>
        <v/>
      </c>
    </row>
    <row r="96" ht="58" customHeight="1">
      <c r="A96" s="30">
        <f>IF($B96="","",ROW()-2)</f>
        <v/>
      </c>
      <c r="B96" s="31" t="n"/>
      <c r="C96" s="32" t="n"/>
      <c r="D96" s="32" t="n"/>
      <c r="E96" s="30">
        <f>IF($C96="","",IF(AND($C96&gt;=TIME(14,0,0),$C96&lt;TIME(19,30,0)),"London",IF(AND($C96&gt;=TIME(19,30,0),$C96&lt;TIME(23,0,0)),"Overlap LDN+NY",IF(OR($C96&gt;=TIME(23,0,0),$C96&lt;TIME(4,0,0)),"New York","Asia"))))</f>
        <v/>
      </c>
      <c r="F96" s="33" t="n"/>
      <c r="G96" s="33" t="n"/>
      <c r="H96" s="33" t="n"/>
      <c r="I96" s="33" t="n"/>
      <c r="J96" s="33" t="n"/>
      <c r="K96" s="33" t="n"/>
      <c r="L96" s="33" t="n"/>
      <c r="M96" s="33" t="n"/>
      <c r="N96" s="34" t="n"/>
      <c r="O96" s="34" t="n"/>
      <c r="P96" s="34" t="n"/>
      <c r="Q96" s="34" t="n"/>
      <c r="R96" s="35">
        <f>IFERROR(IF(OR($N96="",$O96="",$F96=""),"",ROUND(('⚙️ Setelan'!$B$3*'⚙️ Setelan'!$B$4/100)/(ABS($N96-$O96)*VLOOKUP($F96,'⚙️ Setelan'!$A$14:$F$20,4,FALSE)),2)),"")</f>
        <v/>
      </c>
      <c r="S96" s="36" t="n"/>
      <c r="T96" s="37">
        <f>IFERROR(IF(OR($N96="",$O96="",$S96=""),"",ABS($N96-$O96)*$S96*VLOOKUP($F96,'⚙️ Setelan'!$A$14:$F$20,4,FALSE)),"")</f>
        <v/>
      </c>
      <c r="U96" s="35">
        <f>IFERROR(IF(OR($N96="",$O96="",$P96=""),"",ROUND(ABS($P96-$N96)/ABS($N96-$O96),2)),"")</f>
        <v/>
      </c>
      <c r="V96" s="37">
        <f>IFERROR(IF(OR($Q96="",$N96="",$S96=""),"",($Q96-$N96)*IF($G96="Buy",1,-1)*$S96*VLOOKUP($F96,'⚙️ Setelan'!$A$14:$F$20,4,FALSE)),"")</f>
        <v/>
      </c>
      <c r="W96" s="37">
        <f>IFERROR(IF(OR($S96="",$F96=""),"",$S96*VLOOKUP($F96,'⚙️ Setelan'!$A$14:$F$20,5,FALSE)),"")</f>
        <v/>
      </c>
      <c r="X96" s="37">
        <f>IF($V96="","",$V96-IF($W96="",0,$W96))</f>
        <v/>
      </c>
      <c r="Y96" s="35">
        <f>IF(OR($X96="",$T96="",$T96=0),"",ROUND($X96/$T96,2))</f>
        <v/>
      </c>
      <c r="Z96" s="30">
        <f>IF($X96="","",IF($X96&gt;0,"Win",IF($X96&lt;0,"Loss","BE")))</f>
        <v/>
      </c>
      <c r="AA96" s="38">
        <f>IF(OR($C96="",$D96=""),"",ROUND(MOD($D96-$C96,1)*1440,0))</f>
        <v/>
      </c>
      <c r="AB96" s="34" t="n"/>
      <c r="AC96" s="34" t="n"/>
      <c r="AD96" s="35">
        <f>IFERROR(IF(OR($AB96="",$T96="",$T96=0),"",ROUND(ABS($N96-$AB96)*$S96*VLOOKUP($F96,'⚙️ Setelan'!$A$14:$F$20,4,FALSE)/$T96,2)),"")</f>
        <v/>
      </c>
      <c r="AE96" s="35">
        <f>IFERROR(IF(OR($AC96="",$T96="",$T96=0),"",ROUND(ABS($AC96-$N96)*$S96*VLOOKUP($F96,'⚙️ Setelan'!$A$14:$F$20,4,FALSE)/$T96,2)),"")</f>
        <v/>
      </c>
      <c r="AF96" s="33" t="n"/>
      <c r="AG96" s="33" t="n"/>
      <c r="AH96" s="33" t="n"/>
      <c r="AI96" s="33" t="n"/>
      <c r="AJ96" s="33" t="n"/>
      <c r="AK96" s="39" t="n"/>
      <c r="AL96" s="30">
        <f>IF(OR($C96="",$B96=""),"",IF(AND($Z95="Loss",$B96=$B95,MOD($C96-$D95,1)*1440&lt;'⚙️ Setelan'!$B$9),"⚠️ Revenge",""))</f>
        <v/>
      </c>
      <c r="AM96" s="40" t="n"/>
      <c r="AN96" s="30">
        <f>IF($AM96="","",IFERROR(IMAGE(IF(REGEXMATCH($AM96,"\.(png|jpg|jpeg|gif)$"),$AM96,"https://s3.tradingview.com/snapshots/"&amp;LOWER(MID(REGEXEXTRACT($AM96,"/x/([A-Za-z0-9]+)"),1,1))&amp;"/"&amp;REGEXEXTRACT($AM96,"/x/([A-Za-z0-9]+)")&amp;".png"),1),"⚠️ link tidak dikenali"))</f>
        <v/>
      </c>
      <c r="AO96" s="40" t="n"/>
      <c r="AP96" s="30">
        <f>IF($AO96="","",IFERROR(IMAGE(IF(REGEXMATCH($AO96,"\.(png|jpg|jpeg|gif)$"),$AO96,"https://s3.tradingview.com/snapshots/"&amp;LOWER(MID(REGEXEXTRACT($AO96,"/x/([A-Za-z0-9]+)"),1,1))&amp;"/"&amp;REGEXEXTRACT($AO96,"/x/([A-Za-z0-9]+)")&amp;".png"),1),"⚠️ link tidak dikenali"))</f>
        <v/>
      </c>
      <c r="AQ96" s="38">
        <f>IF($Z96="",0,IF(AND(OR('📊 Dashboard'!$B$4="(Semua)",$F96='📊 Dashboard'!$B$4),OR('📊 Dashboard'!$B$5="(Semua)",$H96='📊 Dashboard'!$B$5),OR('📊 Dashboard'!$B$6="(Semua)",$E96='📊 Dashboard'!$B$6),OR('📊 Dashboard'!$B$7="(Semua)",$AF96='📊 Dashboard'!$B$7),OR('📊 Dashboard'!$B$8="(Semua)",$AG96='📊 Dashboard'!$B$8),OR('📊 Dashboard'!$B$9="(Semua)",$K96='📊 Dashboard'!$B$9)),1,0))</f>
        <v/>
      </c>
    </row>
    <row r="97" ht="58" customHeight="1">
      <c r="A97" s="30">
        <f>IF($B97="","",ROW()-2)</f>
        <v/>
      </c>
      <c r="B97" s="31" t="n"/>
      <c r="C97" s="32" t="n"/>
      <c r="D97" s="32" t="n"/>
      <c r="E97" s="30">
        <f>IF($C97="","",IF(AND($C97&gt;=TIME(14,0,0),$C97&lt;TIME(19,30,0)),"London",IF(AND($C97&gt;=TIME(19,30,0),$C97&lt;TIME(23,0,0)),"Overlap LDN+NY",IF(OR($C97&gt;=TIME(23,0,0),$C97&lt;TIME(4,0,0)),"New York","Asia"))))</f>
        <v/>
      </c>
      <c r="F97" s="33" t="n"/>
      <c r="G97" s="33" t="n"/>
      <c r="H97" s="33" t="n"/>
      <c r="I97" s="33" t="n"/>
      <c r="J97" s="33" t="n"/>
      <c r="K97" s="33" t="n"/>
      <c r="L97" s="33" t="n"/>
      <c r="M97" s="33" t="n"/>
      <c r="N97" s="34" t="n"/>
      <c r="O97" s="34" t="n"/>
      <c r="P97" s="34" t="n"/>
      <c r="Q97" s="34" t="n"/>
      <c r="R97" s="35">
        <f>IFERROR(IF(OR($N97="",$O97="",$F97=""),"",ROUND(('⚙️ Setelan'!$B$3*'⚙️ Setelan'!$B$4/100)/(ABS($N97-$O97)*VLOOKUP($F97,'⚙️ Setelan'!$A$14:$F$20,4,FALSE)),2)),"")</f>
        <v/>
      </c>
      <c r="S97" s="36" t="n"/>
      <c r="T97" s="37">
        <f>IFERROR(IF(OR($N97="",$O97="",$S97=""),"",ABS($N97-$O97)*$S97*VLOOKUP($F97,'⚙️ Setelan'!$A$14:$F$20,4,FALSE)),"")</f>
        <v/>
      </c>
      <c r="U97" s="35">
        <f>IFERROR(IF(OR($N97="",$O97="",$P97=""),"",ROUND(ABS($P97-$N97)/ABS($N97-$O97),2)),"")</f>
        <v/>
      </c>
      <c r="V97" s="37">
        <f>IFERROR(IF(OR($Q97="",$N97="",$S97=""),"",($Q97-$N97)*IF($G97="Buy",1,-1)*$S97*VLOOKUP($F97,'⚙️ Setelan'!$A$14:$F$20,4,FALSE)),"")</f>
        <v/>
      </c>
      <c r="W97" s="37">
        <f>IFERROR(IF(OR($S97="",$F97=""),"",$S97*VLOOKUP($F97,'⚙️ Setelan'!$A$14:$F$20,5,FALSE)),"")</f>
        <v/>
      </c>
      <c r="X97" s="37">
        <f>IF($V97="","",$V97-IF($W97="",0,$W97))</f>
        <v/>
      </c>
      <c r="Y97" s="35">
        <f>IF(OR($X97="",$T97="",$T97=0),"",ROUND($X97/$T97,2))</f>
        <v/>
      </c>
      <c r="Z97" s="30">
        <f>IF($X97="","",IF($X97&gt;0,"Win",IF($X97&lt;0,"Loss","BE")))</f>
        <v/>
      </c>
      <c r="AA97" s="38">
        <f>IF(OR($C97="",$D97=""),"",ROUND(MOD($D97-$C97,1)*1440,0))</f>
        <v/>
      </c>
      <c r="AB97" s="34" t="n"/>
      <c r="AC97" s="34" t="n"/>
      <c r="AD97" s="35">
        <f>IFERROR(IF(OR($AB97="",$T97="",$T97=0),"",ROUND(ABS($N97-$AB97)*$S97*VLOOKUP($F97,'⚙️ Setelan'!$A$14:$F$20,4,FALSE)/$T97,2)),"")</f>
        <v/>
      </c>
      <c r="AE97" s="35">
        <f>IFERROR(IF(OR($AC97="",$T97="",$T97=0),"",ROUND(ABS($AC97-$N97)*$S97*VLOOKUP($F97,'⚙️ Setelan'!$A$14:$F$20,4,FALSE)/$T97,2)),"")</f>
        <v/>
      </c>
      <c r="AF97" s="33" t="n"/>
      <c r="AG97" s="33" t="n"/>
      <c r="AH97" s="33" t="n"/>
      <c r="AI97" s="33" t="n"/>
      <c r="AJ97" s="33" t="n"/>
      <c r="AK97" s="39" t="n"/>
      <c r="AL97" s="30">
        <f>IF(OR($C97="",$B97=""),"",IF(AND($Z96="Loss",$B97=$B96,MOD($C97-$D96,1)*1440&lt;'⚙️ Setelan'!$B$9),"⚠️ Revenge",""))</f>
        <v/>
      </c>
      <c r="AM97" s="40" t="n"/>
      <c r="AN97" s="30">
        <f>IF($AM97="","",IFERROR(IMAGE(IF(REGEXMATCH($AM97,"\.(png|jpg|jpeg|gif)$"),$AM97,"https://s3.tradingview.com/snapshots/"&amp;LOWER(MID(REGEXEXTRACT($AM97,"/x/([A-Za-z0-9]+)"),1,1))&amp;"/"&amp;REGEXEXTRACT($AM97,"/x/([A-Za-z0-9]+)")&amp;".png"),1),"⚠️ link tidak dikenali"))</f>
        <v/>
      </c>
      <c r="AO97" s="40" t="n"/>
      <c r="AP97" s="30">
        <f>IF($AO97="","",IFERROR(IMAGE(IF(REGEXMATCH($AO97,"\.(png|jpg|jpeg|gif)$"),$AO97,"https://s3.tradingview.com/snapshots/"&amp;LOWER(MID(REGEXEXTRACT($AO97,"/x/([A-Za-z0-9]+)"),1,1))&amp;"/"&amp;REGEXEXTRACT($AO97,"/x/([A-Za-z0-9]+)")&amp;".png"),1),"⚠️ link tidak dikenali"))</f>
        <v/>
      </c>
      <c r="AQ97" s="38">
        <f>IF($Z97="",0,IF(AND(OR('📊 Dashboard'!$B$4="(Semua)",$F97='📊 Dashboard'!$B$4),OR('📊 Dashboard'!$B$5="(Semua)",$H97='📊 Dashboard'!$B$5),OR('📊 Dashboard'!$B$6="(Semua)",$E97='📊 Dashboard'!$B$6),OR('📊 Dashboard'!$B$7="(Semua)",$AF97='📊 Dashboard'!$B$7),OR('📊 Dashboard'!$B$8="(Semua)",$AG97='📊 Dashboard'!$B$8),OR('📊 Dashboard'!$B$9="(Semua)",$K97='📊 Dashboard'!$B$9)),1,0))</f>
        <v/>
      </c>
    </row>
    <row r="98" ht="58" customHeight="1">
      <c r="A98" s="30">
        <f>IF($B98="","",ROW()-2)</f>
        <v/>
      </c>
      <c r="B98" s="31" t="n"/>
      <c r="C98" s="32" t="n"/>
      <c r="D98" s="32" t="n"/>
      <c r="E98" s="30">
        <f>IF($C98="","",IF(AND($C98&gt;=TIME(14,0,0),$C98&lt;TIME(19,30,0)),"London",IF(AND($C98&gt;=TIME(19,30,0),$C98&lt;TIME(23,0,0)),"Overlap LDN+NY",IF(OR($C98&gt;=TIME(23,0,0),$C98&lt;TIME(4,0,0)),"New York","Asia"))))</f>
        <v/>
      </c>
      <c r="F98" s="33" t="n"/>
      <c r="G98" s="33" t="n"/>
      <c r="H98" s="33" t="n"/>
      <c r="I98" s="33" t="n"/>
      <c r="J98" s="33" t="n"/>
      <c r="K98" s="33" t="n"/>
      <c r="L98" s="33" t="n"/>
      <c r="M98" s="33" t="n"/>
      <c r="N98" s="34" t="n"/>
      <c r="O98" s="34" t="n"/>
      <c r="P98" s="34" t="n"/>
      <c r="Q98" s="34" t="n"/>
      <c r="R98" s="35">
        <f>IFERROR(IF(OR($N98="",$O98="",$F98=""),"",ROUND(('⚙️ Setelan'!$B$3*'⚙️ Setelan'!$B$4/100)/(ABS($N98-$O98)*VLOOKUP($F98,'⚙️ Setelan'!$A$14:$F$20,4,FALSE)),2)),"")</f>
        <v/>
      </c>
      <c r="S98" s="36" t="n"/>
      <c r="T98" s="37">
        <f>IFERROR(IF(OR($N98="",$O98="",$S98=""),"",ABS($N98-$O98)*$S98*VLOOKUP($F98,'⚙️ Setelan'!$A$14:$F$20,4,FALSE)),"")</f>
        <v/>
      </c>
      <c r="U98" s="35">
        <f>IFERROR(IF(OR($N98="",$O98="",$P98=""),"",ROUND(ABS($P98-$N98)/ABS($N98-$O98),2)),"")</f>
        <v/>
      </c>
      <c r="V98" s="37">
        <f>IFERROR(IF(OR($Q98="",$N98="",$S98=""),"",($Q98-$N98)*IF($G98="Buy",1,-1)*$S98*VLOOKUP($F98,'⚙️ Setelan'!$A$14:$F$20,4,FALSE)),"")</f>
        <v/>
      </c>
      <c r="W98" s="37">
        <f>IFERROR(IF(OR($S98="",$F98=""),"",$S98*VLOOKUP($F98,'⚙️ Setelan'!$A$14:$F$20,5,FALSE)),"")</f>
        <v/>
      </c>
      <c r="X98" s="37">
        <f>IF($V98="","",$V98-IF($W98="",0,$W98))</f>
        <v/>
      </c>
      <c r="Y98" s="35">
        <f>IF(OR($X98="",$T98="",$T98=0),"",ROUND($X98/$T98,2))</f>
        <v/>
      </c>
      <c r="Z98" s="30">
        <f>IF($X98="","",IF($X98&gt;0,"Win",IF($X98&lt;0,"Loss","BE")))</f>
        <v/>
      </c>
      <c r="AA98" s="38">
        <f>IF(OR($C98="",$D98=""),"",ROUND(MOD($D98-$C98,1)*1440,0))</f>
        <v/>
      </c>
      <c r="AB98" s="34" t="n"/>
      <c r="AC98" s="34" t="n"/>
      <c r="AD98" s="35">
        <f>IFERROR(IF(OR($AB98="",$T98="",$T98=0),"",ROUND(ABS($N98-$AB98)*$S98*VLOOKUP($F98,'⚙️ Setelan'!$A$14:$F$20,4,FALSE)/$T98,2)),"")</f>
        <v/>
      </c>
      <c r="AE98" s="35">
        <f>IFERROR(IF(OR($AC98="",$T98="",$T98=0),"",ROUND(ABS($AC98-$N98)*$S98*VLOOKUP($F98,'⚙️ Setelan'!$A$14:$F$20,4,FALSE)/$T98,2)),"")</f>
        <v/>
      </c>
      <c r="AF98" s="33" t="n"/>
      <c r="AG98" s="33" t="n"/>
      <c r="AH98" s="33" t="n"/>
      <c r="AI98" s="33" t="n"/>
      <c r="AJ98" s="33" t="n"/>
      <c r="AK98" s="39" t="n"/>
      <c r="AL98" s="30">
        <f>IF(OR($C98="",$B98=""),"",IF(AND($Z97="Loss",$B98=$B97,MOD($C98-$D97,1)*1440&lt;'⚙️ Setelan'!$B$9),"⚠️ Revenge",""))</f>
        <v/>
      </c>
      <c r="AM98" s="40" t="n"/>
      <c r="AN98" s="30">
        <f>IF($AM98="","",IFERROR(IMAGE(IF(REGEXMATCH($AM98,"\.(png|jpg|jpeg|gif)$"),$AM98,"https://s3.tradingview.com/snapshots/"&amp;LOWER(MID(REGEXEXTRACT($AM98,"/x/([A-Za-z0-9]+)"),1,1))&amp;"/"&amp;REGEXEXTRACT($AM98,"/x/([A-Za-z0-9]+)")&amp;".png"),1),"⚠️ link tidak dikenali"))</f>
        <v/>
      </c>
      <c r="AO98" s="40" t="n"/>
      <c r="AP98" s="30">
        <f>IF($AO98="","",IFERROR(IMAGE(IF(REGEXMATCH($AO98,"\.(png|jpg|jpeg|gif)$"),$AO98,"https://s3.tradingview.com/snapshots/"&amp;LOWER(MID(REGEXEXTRACT($AO98,"/x/([A-Za-z0-9]+)"),1,1))&amp;"/"&amp;REGEXEXTRACT($AO98,"/x/([A-Za-z0-9]+)")&amp;".png"),1),"⚠️ link tidak dikenali"))</f>
        <v/>
      </c>
      <c r="AQ98" s="38">
        <f>IF($Z98="",0,IF(AND(OR('📊 Dashboard'!$B$4="(Semua)",$F98='📊 Dashboard'!$B$4),OR('📊 Dashboard'!$B$5="(Semua)",$H98='📊 Dashboard'!$B$5),OR('📊 Dashboard'!$B$6="(Semua)",$E98='📊 Dashboard'!$B$6),OR('📊 Dashboard'!$B$7="(Semua)",$AF98='📊 Dashboard'!$B$7),OR('📊 Dashboard'!$B$8="(Semua)",$AG98='📊 Dashboard'!$B$8),OR('📊 Dashboard'!$B$9="(Semua)",$K98='📊 Dashboard'!$B$9)),1,0))</f>
        <v/>
      </c>
    </row>
    <row r="99" ht="58" customHeight="1">
      <c r="A99" s="30">
        <f>IF($B99="","",ROW()-2)</f>
        <v/>
      </c>
      <c r="B99" s="31" t="n"/>
      <c r="C99" s="32" t="n"/>
      <c r="D99" s="32" t="n"/>
      <c r="E99" s="30">
        <f>IF($C99="","",IF(AND($C99&gt;=TIME(14,0,0),$C99&lt;TIME(19,30,0)),"London",IF(AND($C99&gt;=TIME(19,30,0),$C99&lt;TIME(23,0,0)),"Overlap LDN+NY",IF(OR($C99&gt;=TIME(23,0,0),$C99&lt;TIME(4,0,0)),"New York","Asia"))))</f>
        <v/>
      </c>
      <c r="F99" s="33" t="n"/>
      <c r="G99" s="33" t="n"/>
      <c r="H99" s="33" t="n"/>
      <c r="I99" s="33" t="n"/>
      <c r="J99" s="33" t="n"/>
      <c r="K99" s="33" t="n"/>
      <c r="L99" s="33" t="n"/>
      <c r="M99" s="33" t="n"/>
      <c r="N99" s="34" t="n"/>
      <c r="O99" s="34" t="n"/>
      <c r="P99" s="34" t="n"/>
      <c r="Q99" s="34" t="n"/>
      <c r="R99" s="35">
        <f>IFERROR(IF(OR($N99="",$O99="",$F99=""),"",ROUND(('⚙️ Setelan'!$B$3*'⚙️ Setelan'!$B$4/100)/(ABS($N99-$O99)*VLOOKUP($F99,'⚙️ Setelan'!$A$14:$F$20,4,FALSE)),2)),"")</f>
        <v/>
      </c>
      <c r="S99" s="36" t="n"/>
      <c r="T99" s="37">
        <f>IFERROR(IF(OR($N99="",$O99="",$S99=""),"",ABS($N99-$O99)*$S99*VLOOKUP($F99,'⚙️ Setelan'!$A$14:$F$20,4,FALSE)),"")</f>
        <v/>
      </c>
      <c r="U99" s="35">
        <f>IFERROR(IF(OR($N99="",$O99="",$P99=""),"",ROUND(ABS($P99-$N99)/ABS($N99-$O99),2)),"")</f>
        <v/>
      </c>
      <c r="V99" s="37">
        <f>IFERROR(IF(OR($Q99="",$N99="",$S99=""),"",($Q99-$N99)*IF($G99="Buy",1,-1)*$S99*VLOOKUP($F99,'⚙️ Setelan'!$A$14:$F$20,4,FALSE)),"")</f>
        <v/>
      </c>
      <c r="W99" s="37">
        <f>IFERROR(IF(OR($S99="",$F99=""),"",$S99*VLOOKUP($F99,'⚙️ Setelan'!$A$14:$F$20,5,FALSE)),"")</f>
        <v/>
      </c>
      <c r="X99" s="37">
        <f>IF($V99="","",$V99-IF($W99="",0,$W99))</f>
        <v/>
      </c>
      <c r="Y99" s="35">
        <f>IF(OR($X99="",$T99="",$T99=0),"",ROUND($X99/$T99,2))</f>
        <v/>
      </c>
      <c r="Z99" s="30">
        <f>IF($X99="","",IF($X99&gt;0,"Win",IF($X99&lt;0,"Loss","BE")))</f>
        <v/>
      </c>
      <c r="AA99" s="38">
        <f>IF(OR($C99="",$D99=""),"",ROUND(MOD($D99-$C99,1)*1440,0))</f>
        <v/>
      </c>
      <c r="AB99" s="34" t="n"/>
      <c r="AC99" s="34" t="n"/>
      <c r="AD99" s="35">
        <f>IFERROR(IF(OR($AB99="",$T99="",$T99=0),"",ROUND(ABS($N99-$AB99)*$S99*VLOOKUP($F99,'⚙️ Setelan'!$A$14:$F$20,4,FALSE)/$T99,2)),"")</f>
        <v/>
      </c>
      <c r="AE99" s="35">
        <f>IFERROR(IF(OR($AC99="",$T99="",$T99=0),"",ROUND(ABS($AC99-$N99)*$S99*VLOOKUP($F99,'⚙️ Setelan'!$A$14:$F$20,4,FALSE)/$T99,2)),"")</f>
        <v/>
      </c>
      <c r="AF99" s="33" t="n"/>
      <c r="AG99" s="33" t="n"/>
      <c r="AH99" s="33" t="n"/>
      <c r="AI99" s="33" t="n"/>
      <c r="AJ99" s="33" t="n"/>
      <c r="AK99" s="39" t="n"/>
      <c r="AL99" s="30">
        <f>IF(OR($C99="",$B99=""),"",IF(AND($Z98="Loss",$B99=$B98,MOD($C99-$D98,1)*1440&lt;'⚙️ Setelan'!$B$9),"⚠️ Revenge",""))</f>
        <v/>
      </c>
      <c r="AM99" s="40" t="n"/>
      <c r="AN99" s="30">
        <f>IF($AM99="","",IFERROR(IMAGE(IF(REGEXMATCH($AM99,"\.(png|jpg|jpeg|gif)$"),$AM99,"https://s3.tradingview.com/snapshots/"&amp;LOWER(MID(REGEXEXTRACT($AM99,"/x/([A-Za-z0-9]+)"),1,1))&amp;"/"&amp;REGEXEXTRACT($AM99,"/x/([A-Za-z0-9]+)")&amp;".png"),1),"⚠️ link tidak dikenali"))</f>
        <v/>
      </c>
      <c r="AO99" s="40" t="n"/>
      <c r="AP99" s="30">
        <f>IF($AO99="","",IFERROR(IMAGE(IF(REGEXMATCH($AO99,"\.(png|jpg|jpeg|gif)$"),$AO99,"https://s3.tradingview.com/snapshots/"&amp;LOWER(MID(REGEXEXTRACT($AO99,"/x/([A-Za-z0-9]+)"),1,1))&amp;"/"&amp;REGEXEXTRACT($AO99,"/x/([A-Za-z0-9]+)")&amp;".png"),1),"⚠️ link tidak dikenali"))</f>
        <v/>
      </c>
      <c r="AQ99" s="38">
        <f>IF($Z99="",0,IF(AND(OR('📊 Dashboard'!$B$4="(Semua)",$F99='📊 Dashboard'!$B$4),OR('📊 Dashboard'!$B$5="(Semua)",$H99='📊 Dashboard'!$B$5),OR('📊 Dashboard'!$B$6="(Semua)",$E99='📊 Dashboard'!$B$6),OR('📊 Dashboard'!$B$7="(Semua)",$AF99='📊 Dashboard'!$B$7),OR('📊 Dashboard'!$B$8="(Semua)",$AG99='📊 Dashboard'!$B$8),OR('📊 Dashboard'!$B$9="(Semua)",$K99='📊 Dashboard'!$B$9)),1,0))</f>
        <v/>
      </c>
    </row>
    <row r="100" ht="58" customHeight="1">
      <c r="A100" s="30">
        <f>IF($B100="","",ROW()-2)</f>
        <v/>
      </c>
      <c r="B100" s="31" t="n"/>
      <c r="C100" s="32" t="n"/>
      <c r="D100" s="32" t="n"/>
      <c r="E100" s="30">
        <f>IF($C100="","",IF(AND($C100&gt;=TIME(14,0,0),$C100&lt;TIME(19,30,0)),"London",IF(AND($C100&gt;=TIME(19,30,0),$C100&lt;TIME(23,0,0)),"Overlap LDN+NY",IF(OR($C100&gt;=TIME(23,0,0),$C100&lt;TIME(4,0,0)),"New York","Asia"))))</f>
        <v/>
      </c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4" t="n"/>
      <c r="O100" s="34" t="n"/>
      <c r="P100" s="34" t="n"/>
      <c r="Q100" s="34" t="n"/>
      <c r="R100" s="35">
        <f>IFERROR(IF(OR($N100="",$O100="",$F100=""),"",ROUND(('⚙️ Setelan'!$B$3*'⚙️ Setelan'!$B$4/100)/(ABS($N100-$O100)*VLOOKUP($F100,'⚙️ Setelan'!$A$14:$F$20,4,FALSE)),2)),"")</f>
        <v/>
      </c>
      <c r="S100" s="36" t="n"/>
      <c r="T100" s="37">
        <f>IFERROR(IF(OR($N100="",$O100="",$S100=""),"",ABS($N100-$O100)*$S100*VLOOKUP($F100,'⚙️ Setelan'!$A$14:$F$20,4,FALSE)),"")</f>
        <v/>
      </c>
      <c r="U100" s="35">
        <f>IFERROR(IF(OR($N100="",$O100="",$P100=""),"",ROUND(ABS($P100-$N100)/ABS($N100-$O100),2)),"")</f>
        <v/>
      </c>
      <c r="V100" s="37">
        <f>IFERROR(IF(OR($Q100="",$N100="",$S100=""),"",($Q100-$N100)*IF($G100="Buy",1,-1)*$S100*VLOOKUP($F100,'⚙️ Setelan'!$A$14:$F$20,4,FALSE)),"")</f>
        <v/>
      </c>
      <c r="W100" s="37">
        <f>IFERROR(IF(OR($S100="",$F100=""),"",$S100*VLOOKUP($F100,'⚙️ Setelan'!$A$14:$F$20,5,FALSE)),"")</f>
        <v/>
      </c>
      <c r="X100" s="37">
        <f>IF($V100="","",$V100-IF($W100="",0,$W100))</f>
        <v/>
      </c>
      <c r="Y100" s="35">
        <f>IF(OR($X100="",$T100="",$T100=0),"",ROUND($X100/$T100,2))</f>
        <v/>
      </c>
      <c r="Z100" s="30">
        <f>IF($X100="","",IF($X100&gt;0,"Win",IF($X100&lt;0,"Loss","BE")))</f>
        <v/>
      </c>
      <c r="AA100" s="38">
        <f>IF(OR($C100="",$D100=""),"",ROUND(MOD($D100-$C100,1)*1440,0))</f>
        <v/>
      </c>
      <c r="AB100" s="34" t="n"/>
      <c r="AC100" s="34" t="n"/>
      <c r="AD100" s="35">
        <f>IFERROR(IF(OR($AB100="",$T100="",$T100=0),"",ROUND(ABS($N100-$AB100)*$S100*VLOOKUP($F100,'⚙️ Setelan'!$A$14:$F$20,4,FALSE)/$T100,2)),"")</f>
        <v/>
      </c>
      <c r="AE100" s="35">
        <f>IFERROR(IF(OR($AC100="",$T100="",$T100=0),"",ROUND(ABS($AC100-$N100)*$S100*VLOOKUP($F100,'⚙️ Setelan'!$A$14:$F$20,4,FALSE)/$T100,2)),"")</f>
        <v/>
      </c>
      <c r="AF100" s="33" t="n"/>
      <c r="AG100" s="33" t="n"/>
      <c r="AH100" s="33" t="n"/>
      <c r="AI100" s="33" t="n"/>
      <c r="AJ100" s="33" t="n"/>
      <c r="AK100" s="39" t="n"/>
      <c r="AL100" s="30">
        <f>IF(OR($C100="",$B100=""),"",IF(AND($Z99="Loss",$B100=$B99,MOD($C100-$D99,1)*1440&lt;'⚙️ Setelan'!$B$9),"⚠️ Revenge",""))</f>
        <v/>
      </c>
      <c r="AM100" s="40" t="n"/>
      <c r="AN100" s="30">
        <f>IF($AM100="","",IFERROR(IMAGE(IF(REGEXMATCH($AM100,"\.(png|jpg|jpeg|gif)$"),$AM100,"https://s3.tradingview.com/snapshots/"&amp;LOWER(MID(REGEXEXTRACT($AM100,"/x/([A-Za-z0-9]+)"),1,1))&amp;"/"&amp;REGEXEXTRACT($AM100,"/x/([A-Za-z0-9]+)")&amp;".png"),1),"⚠️ link tidak dikenali"))</f>
        <v/>
      </c>
      <c r="AO100" s="40" t="n"/>
      <c r="AP100" s="30">
        <f>IF($AO100="","",IFERROR(IMAGE(IF(REGEXMATCH($AO100,"\.(png|jpg|jpeg|gif)$"),$AO100,"https://s3.tradingview.com/snapshots/"&amp;LOWER(MID(REGEXEXTRACT($AO100,"/x/([A-Za-z0-9]+)"),1,1))&amp;"/"&amp;REGEXEXTRACT($AO100,"/x/([A-Za-z0-9]+)")&amp;".png"),1),"⚠️ link tidak dikenali"))</f>
        <v/>
      </c>
      <c r="AQ100" s="38">
        <f>IF($Z100="",0,IF(AND(OR('📊 Dashboard'!$B$4="(Semua)",$F100='📊 Dashboard'!$B$4),OR('📊 Dashboard'!$B$5="(Semua)",$H100='📊 Dashboard'!$B$5),OR('📊 Dashboard'!$B$6="(Semua)",$E100='📊 Dashboard'!$B$6),OR('📊 Dashboard'!$B$7="(Semua)",$AF100='📊 Dashboard'!$B$7),OR('📊 Dashboard'!$B$8="(Semua)",$AG100='📊 Dashboard'!$B$8),OR('📊 Dashboard'!$B$9="(Semua)",$K100='📊 Dashboard'!$B$9)),1,0))</f>
        <v/>
      </c>
    </row>
    <row r="101" ht="58" customHeight="1">
      <c r="A101" s="30">
        <f>IF($B101="","",ROW()-2)</f>
        <v/>
      </c>
      <c r="B101" s="31" t="n"/>
      <c r="C101" s="32" t="n"/>
      <c r="D101" s="32" t="n"/>
      <c r="E101" s="30">
        <f>IF($C101="","",IF(AND($C101&gt;=TIME(14,0,0),$C101&lt;TIME(19,30,0)),"London",IF(AND($C101&gt;=TIME(19,30,0),$C101&lt;TIME(23,0,0)),"Overlap LDN+NY",IF(OR($C101&gt;=TIME(23,0,0),$C101&lt;TIME(4,0,0)),"New York","Asia"))))</f>
        <v/>
      </c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4" t="n"/>
      <c r="O101" s="34" t="n"/>
      <c r="P101" s="34" t="n"/>
      <c r="Q101" s="34" t="n"/>
      <c r="R101" s="35">
        <f>IFERROR(IF(OR($N101="",$O101="",$F101=""),"",ROUND(('⚙️ Setelan'!$B$3*'⚙️ Setelan'!$B$4/100)/(ABS($N101-$O101)*VLOOKUP($F101,'⚙️ Setelan'!$A$14:$F$20,4,FALSE)),2)),"")</f>
        <v/>
      </c>
      <c r="S101" s="36" t="n"/>
      <c r="T101" s="37">
        <f>IFERROR(IF(OR($N101="",$O101="",$S101=""),"",ABS($N101-$O101)*$S101*VLOOKUP($F101,'⚙️ Setelan'!$A$14:$F$20,4,FALSE)),"")</f>
        <v/>
      </c>
      <c r="U101" s="35">
        <f>IFERROR(IF(OR($N101="",$O101="",$P101=""),"",ROUND(ABS($P101-$N101)/ABS($N101-$O101),2)),"")</f>
        <v/>
      </c>
      <c r="V101" s="37">
        <f>IFERROR(IF(OR($Q101="",$N101="",$S101=""),"",($Q101-$N101)*IF($G101="Buy",1,-1)*$S101*VLOOKUP($F101,'⚙️ Setelan'!$A$14:$F$20,4,FALSE)),"")</f>
        <v/>
      </c>
      <c r="W101" s="37">
        <f>IFERROR(IF(OR($S101="",$F101=""),"",$S101*VLOOKUP($F101,'⚙️ Setelan'!$A$14:$F$20,5,FALSE)),"")</f>
        <v/>
      </c>
      <c r="X101" s="37">
        <f>IF($V101="","",$V101-IF($W101="",0,$W101))</f>
        <v/>
      </c>
      <c r="Y101" s="35">
        <f>IF(OR($X101="",$T101="",$T101=0),"",ROUND($X101/$T101,2))</f>
        <v/>
      </c>
      <c r="Z101" s="30">
        <f>IF($X101="","",IF($X101&gt;0,"Win",IF($X101&lt;0,"Loss","BE")))</f>
        <v/>
      </c>
      <c r="AA101" s="38">
        <f>IF(OR($C101="",$D101=""),"",ROUND(MOD($D101-$C101,1)*1440,0))</f>
        <v/>
      </c>
      <c r="AB101" s="34" t="n"/>
      <c r="AC101" s="34" t="n"/>
      <c r="AD101" s="35">
        <f>IFERROR(IF(OR($AB101="",$T101="",$T101=0),"",ROUND(ABS($N101-$AB101)*$S101*VLOOKUP($F101,'⚙️ Setelan'!$A$14:$F$20,4,FALSE)/$T101,2)),"")</f>
        <v/>
      </c>
      <c r="AE101" s="35">
        <f>IFERROR(IF(OR($AC101="",$T101="",$T101=0),"",ROUND(ABS($AC101-$N101)*$S101*VLOOKUP($F101,'⚙️ Setelan'!$A$14:$F$20,4,FALSE)/$T101,2)),"")</f>
        <v/>
      </c>
      <c r="AF101" s="33" t="n"/>
      <c r="AG101" s="33" t="n"/>
      <c r="AH101" s="33" t="n"/>
      <c r="AI101" s="33" t="n"/>
      <c r="AJ101" s="33" t="n"/>
      <c r="AK101" s="39" t="n"/>
      <c r="AL101" s="30">
        <f>IF(OR($C101="",$B101=""),"",IF(AND($Z100="Loss",$B101=$B100,MOD($C101-$D100,1)*1440&lt;'⚙️ Setelan'!$B$9),"⚠️ Revenge",""))</f>
        <v/>
      </c>
      <c r="AM101" s="40" t="n"/>
      <c r="AN101" s="30">
        <f>IF($AM101="","",IFERROR(IMAGE(IF(REGEXMATCH($AM101,"\.(png|jpg|jpeg|gif)$"),$AM101,"https://s3.tradingview.com/snapshots/"&amp;LOWER(MID(REGEXEXTRACT($AM101,"/x/([A-Za-z0-9]+)"),1,1))&amp;"/"&amp;REGEXEXTRACT($AM101,"/x/([A-Za-z0-9]+)")&amp;".png"),1),"⚠️ link tidak dikenali"))</f>
        <v/>
      </c>
      <c r="AO101" s="40" t="n"/>
      <c r="AP101" s="30">
        <f>IF($AO101="","",IFERROR(IMAGE(IF(REGEXMATCH($AO101,"\.(png|jpg|jpeg|gif)$"),$AO101,"https://s3.tradingview.com/snapshots/"&amp;LOWER(MID(REGEXEXTRACT($AO101,"/x/([A-Za-z0-9]+)"),1,1))&amp;"/"&amp;REGEXEXTRACT($AO101,"/x/([A-Za-z0-9]+)")&amp;".png"),1),"⚠️ link tidak dikenali"))</f>
        <v/>
      </c>
      <c r="AQ101" s="38">
        <f>IF($Z101="",0,IF(AND(OR('📊 Dashboard'!$B$4="(Semua)",$F101='📊 Dashboard'!$B$4),OR('📊 Dashboard'!$B$5="(Semua)",$H101='📊 Dashboard'!$B$5),OR('📊 Dashboard'!$B$6="(Semua)",$E101='📊 Dashboard'!$B$6),OR('📊 Dashboard'!$B$7="(Semua)",$AF101='📊 Dashboard'!$B$7),OR('📊 Dashboard'!$B$8="(Semua)",$AG101='📊 Dashboard'!$B$8),OR('📊 Dashboard'!$B$9="(Semua)",$K101='📊 Dashboard'!$B$9)),1,0))</f>
        <v/>
      </c>
    </row>
    <row r="102" ht="58" customHeight="1">
      <c r="A102" s="30">
        <f>IF($B102="","",ROW()-2)</f>
        <v/>
      </c>
      <c r="B102" s="31" t="n"/>
      <c r="C102" s="32" t="n"/>
      <c r="D102" s="32" t="n"/>
      <c r="E102" s="30">
        <f>IF($C102="","",IF(AND($C102&gt;=TIME(14,0,0),$C102&lt;TIME(19,30,0)),"London",IF(AND($C102&gt;=TIME(19,30,0),$C102&lt;TIME(23,0,0)),"Overlap LDN+NY",IF(OR($C102&gt;=TIME(23,0,0),$C102&lt;TIME(4,0,0)),"New York","Asia"))))</f>
        <v/>
      </c>
      <c r="F102" s="33" t="n"/>
      <c r="G102" s="33" t="n"/>
      <c r="H102" s="33" t="n"/>
      <c r="I102" s="33" t="n"/>
      <c r="J102" s="33" t="n"/>
      <c r="K102" s="33" t="n"/>
      <c r="L102" s="33" t="n"/>
      <c r="M102" s="33" t="n"/>
      <c r="N102" s="34" t="n"/>
      <c r="O102" s="34" t="n"/>
      <c r="P102" s="34" t="n"/>
      <c r="Q102" s="34" t="n"/>
      <c r="R102" s="35">
        <f>IFERROR(IF(OR($N102="",$O102="",$F102=""),"",ROUND(('⚙️ Setelan'!$B$3*'⚙️ Setelan'!$B$4/100)/(ABS($N102-$O102)*VLOOKUP($F102,'⚙️ Setelan'!$A$14:$F$20,4,FALSE)),2)),"")</f>
        <v/>
      </c>
      <c r="S102" s="36" t="n"/>
      <c r="T102" s="37">
        <f>IFERROR(IF(OR($N102="",$O102="",$S102=""),"",ABS($N102-$O102)*$S102*VLOOKUP($F102,'⚙️ Setelan'!$A$14:$F$20,4,FALSE)),"")</f>
        <v/>
      </c>
      <c r="U102" s="35">
        <f>IFERROR(IF(OR($N102="",$O102="",$P102=""),"",ROUND(ABS($P102-$N102)/ABS($N102-$O102),2)),"")</f>
        <v/>
      </c>
      <c r="V102" s="37">
        <f>IFERROR(IF(OR($Q102="",$N102="",$S102=""),"",($Q102-$N102)*IF($G102="Buy",1,-1)*$S102*VLOOKUP($F102,'⚙️ Setelan'!$A$14:$F$20,4,FALSE)),"")</f>
        <v/>
      </c>
      <c r="W102" s="37">
        <f>IFERROR(IF(OR($S102="",$F102=""),"",$S102*VLOOKUP($F102,'⚙️ Setelan'!$A$14:$F$20,5,FALSE)),"")</f>
        <v/>
      </c>
      <c r="X102" s="37">
        <f>IF($V102="","",$V102-IF($W102="",0,$W102))</f>
        <v/>
      </c>
      <c r="Y102" s="35">
        <f>IF(OR($X102="",$T102="",$T102=0),"",ROUND($X102/$T102,2))</f>
        <v/>
      </c>
      <c r="Z102" s="30">
        <f>IF($X102="","",IF($X102&gt;0,"Win",IF($X102&lt;0,"Loss","BE")))</f>
        <v/>
      </c>
      <c r="AA102" s="38">
        <f>IF(OR($C102="",$D102=""),"",ROUND(MOD($D102-$C102,1)*1440,0))</f>
        <v/>
      </c>
      <c r="AB102" s="34" t="n"/>
      <c r="AC102" s="34" t="n"/>
      <c r="AD102" s="35">
        <f>IFERROR(IF(OR($AB102="",$T102="",$T102=0),"",ROUND(ABS($N102-$AB102)*$S102*VLOOKUP($F102,'⚙️ Setelan'!$A$14:$F$20,4,FALSE)/$T102,2)),"")</f>
        <v/>
      </c>
      <c r="AE102" s="35">
        <f>IFERROR(IF(OR($AC102="",$T102="",$T102=0),"",ROUND(ABS($AC102-$N102)*$S102*VLOOKUP($F102,'⚙️ Setelan'!$A$14:$F$20,4,FALSE)/$T102,2)),"")</f>
        <v/>
      </c>
      <c r="AF102" s="33" t="n"/>
      <c r="AG102" s="33" t="n"/>
      <c r="AH102" s="33" t="n"/>
      <c r="AI102" s="33" t="n"/>
      <c r="AJ102" s="33" t="n"/>
      <c r="AK102" s="39" t="n"/>
      <c r="AL102" s="30">
        <f>IF(OR($C102="",$B102=""),"",IF(AND($Z101="Loss",$B102=$B101,MOD($C102-$D101,1)*1440&lt;'⚙️ Setelan'!$B$9),"⚠️ Revenge",""))</f>
        <v/>
      </c>
      <c r="AM102" s="40" t="n"/>
      <c r="AN102" s="30">
        <f>IF($AM102="","",IFERROR(IMAGE(IF(REGEXMATCH($AM102,"\.(png|jpg|jpeg|gif)$"),$AM102,"https://s3.tradingview.com/snapshots/"&amp;LOWER(MID(REGEXEXTRACT($AM102,"/x/([A-Za-z0-9]+)"),1,1))&amp;"/"&amp;REGEXEXTRACT($AM102,"/x/([A-Za-z0-9]+)")&amp;".png"),1),"⚠️ link tidak dikenali"))</f>
        <v/>
      </c>
      <c r="AO102" s="40" t="n"/>
      <c r="AP102" s="30">
        <f>IF($AO102="","",IFERROR(IMAGE(IF(REGEXMATCH($AO102,"\.(png|jpg|jpeg|gif)$"),$AO102,"https://s3.tradingview.com/snapshots/"&amp;LOWER(MID(REGEXEXTRACT($AO102,"/x/([A-Za-z0-9]+)"),1,1))&amp;"/"&amp;REGEXEXTRACT($AO102,"/x/([A-Za-z0-9]+)")&amp;".png"),1),"⚠️ link tidak dikenali"))</f>
        <v/>
      </c>
      <c r="AQ102" s="38">
        <f>IF($Z102="",0,IF(AND(OR('📊 Dashboard'!$B$4="(Semua)",$F102='📊 Dashboard'!$B$4),OR('📊 Dashboard'!$B$5="(Semua)",$H102='📊 Dashboard'!$B$5),OR('📊 Dashboard'!$B$6="(Semua)",$E102='📊 Dashboard'!$B$6),OR('📊 Dashboard'!$B$7="(Semua)",$AF102='📊 Dashboard'!$B$7),OR('📊 Dashboard'!$B$8="(Semua)",$AG102='📊 Dashboard'!$B$8),OR('📊 Dashboard'!$B$9="(Semua)",$K102='📊 Dashboard'!$B$9)),1,0))</f>
        <v/>
      </c>
    </row>
    <row r="103" ht="58" customHeight="1">
      <c r="A103" s="30">
        <f>IF($B103="","",ROW()-2)</f>
        <v/>
      </c>
      <c r="B103" s="31" t="n"/>
      <c r="C103" s="32" t="n"/>
      <c r="D103" s="32" t="n"/>
      <c r="E103" s="30">
        <f>IF($C103="","",IF(AND($C103&gt;=TIME(14,0,0),$C103&lt;TIME(19,30,0)),"London",IF(AND($C103&gt;=TIME(19,30,0),$C103&lt;TIME(23,0,0)),"Overlap LDN+NY",IF(OR($C103&gt;=TIME(23,0,0),$C103&lt;TIME(4,0,0)),"New York","Asia"))))</f>
        <v/>
      </c>
      <c r="F103" s="33" t="n"/>
      <c r="G103" s="33" t="n"/>
      <c r="H103" s="33" t="n"/>
      <c r="I103" s="33" t="n"/>
      <c r="J103" s="33" t="n"/>
      <c r="K103" s="33" t="n"/>
      <c r="L103" s="33" t="n"/>
      <c r="M103" s="33" t="n"/>
      <c r="N103" s="34" t="n"/>
      <c r="O103" s="34" t="n"/>
      <c r="P103" s="34" t="n"/>
      <c r="Q103" s="34" t="n"/>
      <c r="R103" s="35">
        <f>IFERROR(IF(OR($N103="",$O103="",$F103=""),"",ROUND(('⚙️ Setelan'!$B$3*'⚙️ Setelan'!$B$4/100)/(ABS($N103-$O103)*VLOOKUP($F103,'⚙️ Setelan'!$A$14:$F$20,4,FALSE)),2)),"")</f>
        <v/>
      </c>
      <c r="S103" s="36" t="n"/>
      <c r="T103" s="37">
        <f>IFERROR(IF(OR($N103="",$O103="",$S103=""),"",ABS($N103-$O103)*$S103*VLOOKUP($F103,'⚙️ Setelan'!$A$14:$F$20,4,FALSE)),"")</f>
        <v/>
      </c>
      <c r="U103" s="35">
        <f>IFERROR(IF(OR($N103="",$O103="",$P103=""),"",ROUND(ABS($P103-$N103)/ABS($N103-$O103),2)),"")</f>
        <v/>
      </c>
      <c r="V103" s="37">
        <f>IFERROR(IF(OR($Q103="",$N103="",$S103=""),"",($Q103-$N103)*IF($G103="Buy",1,-1)*$S103*VLOOKUP($F103,'⚙️ Setelan'!$A$14:$F$20,4,FALSE)),"")</f>
        <v/>
      </c>
      <c r="W103" s="37">
        <f>IFERROR(IF(OR($S103="",$F103=""),"",$S103*VLOOKUP($F103,'⚙️ Setelan'!$A$14:$F$20,5,FALSE)),"")</f>
        <v/>
      </c>
      <c r="X103" s="37">
        <f>IF($V103="","",$V103-IF($W103="",0,$W103))</f>
        <v/>
      </c>
      <c r="Y103" s="35">
        <f>IF(OR($X103="",$T103="",$T103=0),"",ROUND($X103/$T103,2))</f>
        <v/>
      </c>
      <c r="Z103" s="30">
        <f>IF($X103="","",IF($X103&gt;0,"Win",IF($X103&lt;0,"Loss","BE")))</f>
        <v/>
      </c>
      <c r="AA103" s="38">
        <f>IF(OR($C103="",$D103=""),"",ROUND(MOD($D103-$C103,1)*1440,0))</f>
        <v/>
      </c>
      <c r="AB103" s="34" t="n"/>
      <c r="AC103" s="34" t="n"/>
      <c r="AD103" s="35">
        <f>IFERROR(IF(OR($AB103="",$T103="",$T103=0),"",ROUND(ABS($N103-$AB103)*$S103*VLOOKUP($F103,'⚙️ Setelan'!$A$14:$F$20,4,FALSE)/$T103,2)),"")</f>
        <v/>
      </c>
      <c r="AE103" s="35">
        <f>IFERROR(IF(OR($AC103="",$T103="",$T103=0),"",ROUND(ABS($AC103-$N103)*$S103*VLOOKUP($F103,'⚙️ Setelan'!$A$14:$F$20,4,FALSE)/$T103,2)),"")</f>
        <v/>
      </c>
      <c r="AF103" s="33" t="n"/>
      <c r="AG103" s="33" t="n"/>
      <c r="AH103" s="33" t="n"/>
      <c r="AI103" s="33" t="n"/>
      <c r="AJ103" s="33" t="n"/>
      <c r="AK103" s="39" t="n"/>
      <c r="AL103" s="30">
        <f>IF(OR($C103="",$B103=""),"",IF(AND($Z102="Loss",$B103=$B102,MOD($C103-$D102,1)*1440&lt;'⚙️ Setelan'!$B$9),"⚠️ Revenge",""))</f>
        <v/>
      </c>
      <c r="AM103" s="40" t="n"/>
      <c r="AN103" s="30">
        <f>IF($AM103="","",IFERROR(IMAGE(IF(REGEXMATCH($AM103,"\.(png|jpg|jpeg|gif)$"),$AM103,"https://s3.tradingview.com/snapshots/"&amp;LOWER(MID(REGEXEXTRACT($AM103,"/x/([A-Za-z0-9]+)"),1,1))&amp;"/"&amp;REGEXEXTRACT($AM103,"/x/([A-Za-z0-9]+)")&amp;".png"),1),"⚠️ link tidak dikenali"))</f>
        <v/>
      </c>
      <c r="AO103" s="40" t="n"/>
      <c r="AP103" s="30">
        <f>IF($AO103="","",IFERROR(IMAGE(IF(REGEXMATCH($AO103,"\.(png|jpg|jpeg|gif)$"),$AO103,"https://s3.tradingview.com/snapshots/"&amp;LOWER(MID(REGEXEXTRACT($AO103,"/x/([A-Za-z0-9]+)"),1,1))&amp;"/"&amp;REGEXEXTRACT($AO103,"/x/([A-Za-z0-9]+)")&amp;".png"),1),"⚠️ link tidak dikenali"))</f>
        <v/>
      </c>
      <c r="AQ103" s="38">
        <f>IF($Z103="",0,IF(AND(OR('📊 Dashboard'!$B$4="(Semua)",$F103='📊 Dashboard'!$B$4),OR('📊 Dashboard'!$B$5="(Semua)",$H103='📊 Dashboard'!$B$5),OR('📊 Dashboard'!$B$6="(Semua)",$E103='📊 Dashboard'!$B$6),OR('📊 Dashboard'!$B$7="(Semua)",$AF103='📊 Dashboard'!$B$7),OR('📊 Dashboard'!$B$8="(Semua)",$AG103='📊 Dashboard'!$B$8),OR('📊 Dashboard'!$B$9="(Semua)",$K103='📊 Dashboard'!$B$9)),1,0))</f>
        <v/>
      </c>
    </row>
    <row r="104" ht="58" customHeight="1">
      <c r="A104" s="30">
        <f>IF($B104="","",ROW()-2)</f>
        <v/>
      </c>
      <c r="B104" s="31" t="n"/>
      <c r="C104" s="32" t="n"/>
      <c r="D104" s="32" t="n"/>
      <c r="E104" s="30">
        <f>IF($C104="","",IF(AND($C104&gt;=TIME(14,0,0),$C104&lt;TIME(19,30,0)),"London",IF(AND($C104&gt;=TIME(19,30,0),$C104&lt;TIME(23,0,0)),"Overlap LDN+NY",IF(OR($C104&gt;=TIME(23,0,0),$C104&lt;TIME(4,0,0)),"New York","Asia"))))</f>
        <v/>
      </c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4" t="n"/>
      <c r="O104" s="34" t="n"/>
      <c r="P104" s="34" t="n"/>
      <c r="Q104" s="34" t="n"/>
      <c r="R104" s="35">
        <f>IFERROR(IF(OR($N104="",$O104="",$F104=""),"",ROUND(('⚙️ Setelan'!$B$3*'⚙️ Setelan'!$B$4/100)/(ABS($N104-$O104)*VLOOKUP($F104,'⚙️ Setelan'!$A$14:$F$20,4,FALSE)),2)),"")</f>
        <v/>
      </c>
      <c r="S104" s="36" t="n"/>
      <c r="T104" s="37">
        <f>IFERROR(IF(OR($N104="",$O104="",$S104=""),"",ABS($N104-$O104)*$S104*VLOOKUP($F104,'⚙️ Setelan'!$A$14:$F$20,4,FALSE)),"")</f>
        <v/>
      </c>
      <c r="U104" s="35">
        <f>IFERROR(IF(OR($N104="",$O104="",$P104=""),"",ROUND(ABS($P104-$N104)/ABS($N104-$O104),2)),"")</f>
        <v/>
      </c>
      <c r="V104" s="37">
        <f>IFERROR(IF(OR($Q104="",$N104="",$S104=""),"",($Q104-$N104)*IF($G104="Buy",1,-1)*$S104*VLOOKUP($F104,'⚙️ Setelan'!$A$14:$F$20,4,FALSE)),"")</f>
        <v/>
      </c>
      <c r="W104" s="37">
        <f>IFERROR(IF(OR($S104="",$F104=""),"",$S104*VLOOKUP($F104,'⚙️ Setelan'!$A$14:$F$20,5,FALSE)),"")</f>
        <v/>
      </c>
      <c r="X104" s="37">
        <f>IF($V104="","",$V104-IF($W104="",0,$W104))</f>
        <v/>
      </c>
      <c r="Y104" s="35">
        <f>IF(OR($X104="",$T104="",$T104=0),"",ROUND($X104/$T104,2))</f>
        <v/>
      </c>
      <c r="Z104" s="30">
        <f>IF($X104="","",IF($X104&gt;0,"Win",IF($X104&lt;0,"Loss","BE")))</f>
        <v/>
      </c>
      <c r="AA104" s="38">
        <f>IF(OR($C104="",$D104=""),"",ROUND(MOD($D104-$C104,1)*1440,0))</f>
        <v/>
      </c>
      <c r="AB104" s="34" t="n"/>
      <c r="AC104" s="34" t="n"/>
      <c r="AD104" s="35">
        <f>IFERROR(IF(OR($AB104="",$T104="",$T104=0),"",ROUND(ABS($N104-$AB104)*$S104*VLOOKUP($F104,'⚙️ Setelan'!$A$14:$F$20,4,FALSE)/$T104,2)),"")</f>
        <v/>
      </c>
      <c r="AE104" s="35">
        <f>IFERROR(IF(OR($AC104="",$T104="",$T104=0),"",ROUND(ABS($AC104-$N104)*$S104*VLOOKUP($F104,'⚙️ Setelan'!$A$14:$F$20,4,FALSE)/$T104,2)),"")</f>
        <v/>
      </c>
      <c r="AF104" s="33" t="n"/>
      <c r="AG104" s="33" t="n"/>
      <c r="AH104" s="33" t="n"/>
      <c r="AI104" s="33" t="n"/>
      <c r="AJ104" s="33" t="n"/>
      <c r="AK104" s="39" t="n"/>
      <c r="AL104" s="30">
        <f>IF(OR($C104="",$B104=""),"",IF(AND($Z103="Loss",$B104=$B103,MOD($C104-$D103,1)*1440&lt;'⚙️ Setelan'!$B$9),"⚠️ Revenge",""))</f>
        <v/>
      </c>
      <c r="AM104" s="40" t="n"/>
      <c r="AN104" s="30">
        <f>IF($AM104="","",IFERROR(IMAGE(IF(REGEXMATCH($AM104,"\.(png|jpg|jpeg|gif)$"),$AM104,"https://s3.tradingview.com/snapshots/"&amp;LOWER(MID(REGEXEXTRACT($AM104,"/x/([A-Za-z0-9]+)"),1,1))&amp;"/"&amp;REGEXEXTRACT($AM104,"/x/([A-Za-z0-9]+)")&amp;".png"),1),"⚠️ link tidak dikenali"))</f>
        <v/>
      </c>
      <c r="AO104" s="40" t="n"/>
      <c r="AP104" s="30">
        <f>IF($AO104="","",IFERROR(IMAGE(IF(REGEXMATCH($AO104,"\.(png|jpg|jpeg|gif)$"),$AO104,"https://s3.tradingview.com/snapshots/"&amp;LOWER(MID(REGEXEXTRACT($AO104,"/x/([A-Za-z0-9]+)"),1,1))&amp;"/"&amp;REGEXEXTRACT($AO104,"/x/([A-Za-z0-9]+)")&amp;".png"),1),"⚠️ link tidak dikenali"))</f>
        <v/>
      </c>
      <c r="AQ104" s="38">
        <f>IF($Z104="",0,IF(AND(OR('📊 Dashboard'!$B$4="(Semua)",$F104='📊 Dashboard'!$B$4),OR('📊 Dashboard'!$B$5="(Semua)",$H104='📊 Dashboard'!$B$5),OR('📊 Dashboard'!$B$6="(Semua)",$E104='📊 Dashboard'!$B$6),OR('📊 Dashboard'!$B$7="(Semua)",$AF104='📊 Dashboard'!$B$7),OR('📊 Dashboard'!$B$8="(Semua)",$AG104='📊 Dashboard'!$B$8),OR('📊 Dashboard'!$B$9="(Semua)",$K104='📊 Dashboard'!$B$9)),1,0))</f>
        <v/>
      </c>
    </row>
    <row r="105" ht="58" customHeight="1">
      <c r="A105" s="30">
        <f>IF($B105="","",ROW()-2)</f>
        <v/>
      </c>
      <c r="B105" s="31" t="n"/>
      <c r="C105" s="32" t="n"/>
      <c r="D105" s="32" t="n"/>
      <c r="E105" s="30">
        <f>IF($C105="","",IF(AND($C105&gt;=TIME(14,0,0),$C105&lt;TIME(19,30,0)),"London",IF(AND($C105&gt;=TIME(19,30,0),$C105&lt;TIME(23,0,0)),"Overlap LDN+NY",IF(OR($C105&gt;=TIME(23,0,0),$C105&lt;TIME(4,0,0)),"New York","Asia"))))</f>
        <v/>
      </c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4" t="n"/>
      <c r="O105" s="34" t="n"/>
      <c r="P105" s="34" t="n"/>
      <c r="Q105" s="34" t="n"/>
      <c r="R105" s="35">
        <f>IFERROR(IF(OR($N105="",$O105="",$F105=""),"",ROUND(('⚙️ Setelan'!$B$3*'⚙️ Setelan'!$B$4/100)/(ABS($N105-$O105)*VLOOKUP($F105,'⚙️ Setelan'!$A$14:$F$20,4,FALSE)),2)),"")</f>
        <v/>
      </c>
      <c r="S105" s="36" t="n"/>
      <c r="T105" s="37">
        <f>IFERROR(IF(OR($N105="",$O105="",$S105=""),"",ABS($N105-$O105)*$S105*VLOOKUP($F105,'⚙️ Setelan'!$A$14:$F$20,4,FALSE)),"")</f>
        <v/>
      </c>
      <c r="U105" s="35">
        <f>IFERROR(IF(OR($N105="",$O105="",$P105=""),"",ROUND(ABS($P105-$N105)/ABS($N105-$O105),2)),"")</f>
        <v/>
      </c>
      <c r="V105" s="37">
        <f>IFERROR(IF(OR($Q105="",$N105="",$S105=""),"",($Q105-$N105)*IF($G105="Buy",1,-1)*$S105*VLOOKUP($F105,'⚙️ Setelan'!$A$14:$F$20,4,FALSE)),"")</f>
        <v/>
      </c>
      <c r="W105" s="37">
        <f>IFERROR(IF(OR($S105="",$F105=""),"",$S105*VLOOKUP($F105,'⚙️ Setelan'!$A$14:$F$20,5,FALSE)),"")</f>
        <v/>
      </c>
      <c r="X105" s="37">
        <f>IF($V105="","",$V105-IF($W105="",0,$W105))</f>
        <v/>
      </c>
      <c r="Y105" s="35">
        <f>IF(OR($X105="",$T105="",$T105=0),"",ROUND($X105/$T105,2))</f>
        <v/>
      </c>
      <c r="Z105" s="30">
        <f>IF($X105="","",IF($X105&gt;0,"Win",IF($X105&lt;0,"Loss","BE")))</f>
        <v/>
      </c>
      <c r="AA105" s="38">
        <f>IF(OR($C105="",$D105=""),"",ROUND(MOD($D105-$C105,1)*1440,0))</f>
        <v/>
      </c>
      <c r="AB105" s="34" t="n"/>
      <c r="AC105" s="34" t="n"/>
      <c r="AD105" s="35">
        <f>IFERROR(IF(OR($AB105="",$T105="",$T105=0),"",ROUND(ABS($N105-$AB105)*$S105*VLOOKUP($F105,'⚙️ Setelan'!$A$14:$F$20,4,FALSE)/$T105,2)),"")</f>
        <v/>
      </c>
      <c r="AE105" s="35">
        <f>IFERROR(IF(OR($AC105="",$T105="",$T105=0),"",ROUND(ABS($AC105-$N105)*$S105*VLOOKUP($F105,'⚙️ Setelan'!$A$14:$F$20,4,FALSE)/$T105,2)),"")</f>
        <v/>
      </c>
      <c r="AF105" s="33" t="n"/>
      <c r="AG105" s="33" t="n"/>
      <c r="AH105" s="33" t="n"/>
      <c r="AI105" s="33" t="n"/>
      <c r="AJ105" s="33" t="n"/>
      <c r="AK105" s="39" t="n"/>
      <c r="AL105" s="30">
        <f>IF(OR($C105="",$B105=""),"",IF(AND($Z104="Loss",$B105=$B104,MOD($C105-$D104,1)*1440&lt;'⚙️ Setelan'!$B$9),"⚠️ Revenge",""))</f>
        <v/>
      </c>
      <c r="AM105" s="40" t="n"/>
      <c r="AN105" s="30">
        <f>IF($AM105="","",IFERROR(IMAGE(IF(REGEXMATCH($AM105,"\.(png|jpg|jpeg|gif)$"),$AM105,"https://s3.tradingview.com/snapshots/"&amp;LOWER(MID(REGEXEXTRACT($AM105,"/x/([A-Za-z0-9]+)"),1,1))&amp;"/"&amp;REGEXEXTRACT($AM105,"/x/([A-Za-z0-9]+)")&amp;".png"),1),"⚠️ link tidak dikenali"))</f>
        <v/>
      </c>
      <c r="AO105" s="40" t="n"/>
      <c r="AP105" s="30">
        <f>IF($AO105="","",IFERROR(IMAGE(IF(REGEXMATCH($AO105,"\.(png|jpg|jpeg|gif)$"),$AO105,"https://s3.tradingview.com/snapshots/"&amp;LOWER(MID(REGEXEXTRACT($AO105,"/x/([A-Za-z0-9]+)"),1,1))&amp;"/"&amp;REGEXEXTRACT($AO105,"/x/([A-Za-z0-9]+)")&amp;".png"),1),"⚠️ link tidak dikenali"))</f>
        <v/>
      </c>
      <c r="AQ105" s="38">
        <f>IF($Z105="",0,IF(AND(OR('📊 Dashboard'!$B$4="(Semua)",$F105='📊 Dashboard'!$B$4),OR('📊 Dashboard'!$B$5="(Semua)",$H105='📊 Dashboard'!$B$5),OR('📊 Dashboard'!$B$6="(Semua)",$E105='📊 Dashboard'!$B$6),OR('📊 Dashboard'!$B$7="(Semua)",$AF105='📊 Dashboard'!$B$7),OR('📊 Dashboard'!$B$8="(Semua)",$AG105='📊 Dashboard'!$B$8),OR('📊 Dashboard'!$B$9="(Semua)",$K105='📊 Dashboard'!$B$9)),1,0))</f>
        <v/>
      </c>
    </row>
    <row r="106" ht="58" customHeight="1">
      <c r="A106" s="30">
        <f>IF($B106="","",ROW()-2)</f>
        <v/>
      </c>
      <c r="B106" s="31" t="n"/>
      <c r="C106" s="32" t="n"/>
      <c r="D106" s="32" t="n"/>
      <c r="E106" s="30">
        <f>IF($C106="","",IF(AND($C106&gt;=TIME(14,0,0),$C106&lt;TIME(19,30,0)),"London",IF(AND($C106&gt;=TIME(19,30,0),$C106&lt;TIME(23,0,0)),"Overlap LDN+NY",IF(OR($C106&gt;=TIME(23,0,0),$C106&lt;TIME(4,0,0)),"New York","Asia"))))</f>
        <v/>
      </c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4" t="n"/>
      <c r="O106" s="34" t="n"/>
      <c r="P106" s="34" t="n"/>
      <c r="Q106" s="34" t="n"/>
      <c r="R106" s="35">
        <f>IFERROR(IF(OR($N106="",$O106="",$F106=""),"",ROUND(('⚙️ Setelan'!$B$3*'⚙️ Setelan'!$B$4/100)/(ABS($N106-$O106)*VLOOKUP($F106,'⚙️ Setelan'!$A$14:$F$20,4,FALSE)),2)),"")</f>
        <v/>
      </c>
      <c r="S106" s="36" t="n"/>
      <c r="T106" s="37">
        <f>IFERROR(IF(OR($N106="",$O106="",$S106=""),"",ABS($N106-$O106)*$S106*VLOOKUP($F106,'⚙️ Setelan'!$A$14:$F$20,4,FALSE)),"")</f>
        <v/>
      </c>
      <c r="U106" s="35">
        <f>IFERROR(IF(OR($N106="",$O106="",$P106=""),"",ROUND(ABS($P106-$N106)/ABS($N106-$O106),2)),"")</f>
        <v/>
      </c>
      <c r="V106" s="37">
        <f>IFERROR(IF(OR($Q106="",$N106="",$S106=""),"",($Q106-$N106)*IF($G106="Buy",1,-1)*$S106*VLOOKUP($F106,'⚙️ Setelan'!$A$14:$F$20,4,FALSE)),"")</f>
        <v/>
      </c>
      <c r="W106" s="37">
        <f>IFERROR(IF(OR($S106="",$F106=""),"",$S106*VLOOKUP($F106,'⚙️ Setelan'!$A$14:$F$20,5,FALSE)),"")</f>
        <v/>
      </c>
      <c r="X106" s="37">
        <f>IF($V106="","",$V106-IF($W106="",0,$W106))</f>
        <v/>
      </c>
      <c r="Y106" s="35">
        <f>IF(OR($X106="",$T106="",$T106=0),"",ROUND($X106/$T106,2))</f>
        <v/>
      </c>
      <c r="Z106" s="30">
        <f>IF($X106="","",IF($X106&gt;0,"Win",IF($X106&lt;0,"Loss","BE")))</f>
        <v/>
      </c>
      <c r="AA106" s="38">
        <f>IF(OR($C106="",$D106=""),"",ROUND(MOD($D106-$C106,1)*1440,0))</f>
        <v/>
      </c>
      <c r="AB106" s="34" t="n"/>
      <c r="AC106" s="34" t="n"/>
      <c r="AD106" s="35">
        <f>IFERROR(IF(OR($AB106="",$T106="",$T106=0),"",ROUND(ABS($N106-$AB106)*$S106*VLOOKUP($F106,'⚙️ Setelan'!$A$14:$F$20,4,FALSE)/$T106,2)),"")</f>
        <v/>
      </c>
      <c r="AE106" s="35">
        <f>IFERROR(IF(OR($AC106="",$T106="",$T106=0),"",ROUND(ABS($AC106-$N106)*$S106*VLOOKUP($F106,'⚙️ Setelan'!$A$14:$F$20,4,FALSE)/$T106,2)),"")</f>
        <v/>
      </c>
      <c r="AF106" s="33" t="n"/>
      <c r="AG106" s="33" t="n"/>
      <c r="AH106" s="33" t="n"/>
      <c r="AI106" s="33" t="n"/>
      <c r="AJ106" s="33" t="n"/>
      <c r="AK106" s="39" t="n"/>
      <c r="AL106" s="30">
        <f>IF(OR($C106="",$B106=""),"",IF(AND($Z105="Loss",$B106=$B105,MOD($C106-$D105,1)*1440&lt;'⚙️ Setelan'!$B$9),"⚠️ Revenge",""))</f>
        <v/>
      </c>
      <c r="AM106" s="40" t="n"/>
      <c r="AN106" s="30">
        <f>IF($AM106="","",IFERROR(IMAGE(IF(REGEXMATCH($AM106,"\.(png|jpg|jpeg|gif)$"),$AM106,"https://s3.tradingview.com/snapshots/"&amp;LOWER(MID(REGEXEXTRACT($AM106,"/x/([A-Za-z0-9]+)"),1,1))&amp;"/"&amp;REGEXEXTRACT($AM106,"/x/([A-Za-z0-9]+)")&amp;".png"),1),"⚠️ link tidak dikenali"))</f>
        <v/>
      </c>
      <c r="AO106" s="40" t="n"/>
      <c r="AP106" s="30">
        <f>IF($AO106="","",IFERROR(IMAGE(IF(REGEXMATCH($AO106,"\.(png|jpg|jpeg|gif)$"),$AO106,"https://s3.tradingview.com/snapshots/"&amp;LOWER(MID(REGEXEXTRACT($AO106,"/x/([A-Za-z0-9]+)"),1,1))&amp;"/"&amp;REGEXEXTRACT($AO106,"/x/([A-Za-z0-9]+)")&amp;".png"),1),"⚠️ link tidak dikenali"))</f>
        <v/>
      </c>
      <c r="AQ106" s="38">
        <f>IF($Z106="",0,IF(AND(OR('📊 Dashboard'!$B$4="(Semua)",$F106='📊 Dashboard'!$B$4),OR('📊 Dashboard'!$B$5="(Semua)",$H106='📊 Dashboard'!$B$5),OR('📊 Dashboard'!$B$6="(Semua)",$E106='📊 Dashboard'!$B$6),OR('📊 Dashboard'!$B$7="(Semua)",$AF106='📊 Dashboard'!$B$7),OR('📊 Dashboard'!$B$8="(Semua)",$AG106='📊 Dashboard'!$B$8),OR('📊 Dashboard'!$B$9="(Semua)",$K106='📊 Dashboard'!$B$9)),1,0))</f>
        <v/>
      </c>
    </row>
    <row r="107" ht="58" customHeight="1">
      <c r="A107" s="30">
        <f>IF($B107="","",ROW()-2)</f>
        <v/>
      </c>
      <c r="B107" s="31" t="n"/>
      <c r="C107" s="32" t="n"/>
      <c r="D107" s="32" t="n"/>
      <c r="E107" s="30">
        <f>IF($C107="","",IF(AND($C107&gt;=TIME(14,0,0),$C107&lt;TIME(19,30,0)),"London",IF(AND($C107&gt;=TIME(19,30,0),$C107&lt;TIME(23,0,0)),"Overlap LDN+NY",IF(OR($C107&gt;=TIME(23,0,0),$C107&lt;TIME(4,0,0)),"New York","Asia"))))</f>
        <v/>
      </c>
      <c r="F107" s="33" t="n"/>
      <c r="G107" s="33" t="n"/>
      <c r="H107" s="33" t="n"/>
      <c r="I107" s="33" t="n"/>
      <c r="J107" s="33" t="n"/>
      <c r="K107" s="33" t="n"/>
      <c r="L107" s="33" t="n"/>
      <c r="M107" s="33" t="n"/>
      <c r="N107" s="34" t="n"/>
      <c r="O107" s="34" t="n"/>
      <c r="P107" s="34" t="n"/>
      <c r="Q107" s="34" t="n"/>
      <c r="R107" s="35">
        <f>IFERROR(IF(OR($N107="",$O107="",$F107=""),"",ROUND(('⚙️ Setelan'!$B$3*'⚙️ Setelan'!$B$4/100)/(ABS($N107-$O107)*VLOOKUP($F107,'⚙️ Setelan'!$A$14:$F$20,4,FALSE)),2)),"")</f>
        <v/>
      </c>
      <c r="S107" s="36" t="n"/>
      <c r="T107" s="37">
        <f>IFERROR(IF(OR($N107="",$O107="",$S107=""),"",ABS($N107-$O107)*$S107*VLOOKUP($F107,'⚙️ Setelan'!$A$14:$F$20,4,FALSE)),"")</f>
        <v/>
      </c>
      <c r="U107" s="35">
        <f>IFERROR(IF(OR($N107="",$O107="",$P107=""),"",ROUND(ABS($P107-$N107)/ABS($N107-$O107),2)),"")</f>
        <v/>
      </c>
      <c r="V107" s="37">
        <f>IFERROR(IF(OR($Q107="",$N107="",$S107=""),"",($Q107-$N107)*IF($G107="Buy",1,-1)*$S107*VLOOKUP($F107,'⚙️ Setelan'!$A$14:$F$20,4,FALSE)),"")</f>
        <v/>
      </c>
      <c r="W107" s="37">
        <f>IFERROR(IF(OR($S107="",$F107=""),"",$S107*VLOOKUP($F107,'⚙️ Setelan'!$A$14:$F$20,5,FALSE)),"")</f>
        <v/>
      </c>
      <c r="X107" s="37">
        <f>IF($V107="","",$V107-IF($W107="",0,$W107))</f>
        <v/>
      </c>
      <c r="Y107" s="35">
        <f>IF(OR($X107="",$T107="",$T107=0),"",ROUND($X107/$T107,2))</f>
        <v/>
      </c>
      <c r="Z107" s="30">
        <f>IF($X107="","",IF($X107&gt;0,"Win",IF($X107&lt;0,"Loss","BE")))</f>
        <v/>
      </c>
      <c r="AA107" s="38">
        <f>IF(OR($C107="",$D107=""),"",ROUND(MOD($D107-$C107,1)*1440,0))</f>
        <v/>
      </c>
      <c r="AB107" s="34" t="n"/>
      <c r="AC107" s="34" t="n"/>
      <c r="AD107" s="35">
        <f>IFERROR(IF(OR($AB107="",$T107="",$T107=0),"",ROUND(ABS($N107-$AB107)*$S107*VLOOKUP($F107,'⚙️ Setelan'!$A$14:$F$20,4,FALSE)/$T107,2)),"")</f>
        <v/>
      </c>
      <c r="AE107" s="35">
        <f>IFERROR(IF(OR($AC107="",$T107="",$T107=0),"",ROUND(ABS($AC107-$N107)*$S107*VLOOKUP($F107,'⚙️ Setelan'!$A$14:$F$20,4,FALSE)/$T107,2)),"")</f>
        <v/>
      </c>
      <c r="AF107" s="33" t="n"/>
      <c r="AG107" s="33" t="n"/>
      <c r="AH107" s="33" t="n"/>
      <c r="AI107" s="33" t="n"/>
      <c r="AJ107" s="33" t="n"/>
      <c r="AK107" s="39" t="n"/>
      <c r="AL107" s="30">
        <f>IF(OR($C107="",$B107=""),"",IF(AND($Z106="Loss",$B107=$B106,MOD($C107-$D106,1)*1440&lt;'⚙️ Setelan'!$B$9),"⚠️ Revenge",""))</f>
        <v/>
      </c>
      <c r="AM107" s="40" t="n"/>
      <c r="AN107" s="30">
        <f>IF($AM107="","",IFERROR(IMAGE(IF(REGEXMATCH($AM107,"\.(png|jpg|jpeg|gif)$"),$AM107,"https://s3.tradingview.com/snapshots/"&amp;LOWER(MID(REGEXEXTRACT($AM107,"/x/([A-Za-z0-9]+)"),1,1))&amp;"/"&amp;REGEXEXTRACT($AM107,"/x/([A-Za-z0-9]+)")&amp;".png"),1),"⚠️ link tidak dikenali"))</f>
        <v/>
      </c>
      <c r="AO107" s="40" t="n"/>
      <c r="AP107" s="30">
        <f>IF($AO107="","",IFERROR(IMAGE(IF(REGEXMATCH($AO107,"\.(png|jpg|jpeg|gif)$"),$AO107,"https://s3.tradingview.com/snapshots/"&amp;LOWER(MID(REGEXEXTRACT($AO107,"/x/([A-Za-z0-9]+)"),1,1))&amp;"/"&amp;REGEXEXTRACT($AO107,"/x/([A-Za-z0-9]+)")&amp;".png"),1),"⚠️ link tidak dikenali"))</f>
        <v/>
      </c>
      <c r="AQ107" s="38">
        <f>IF($Z107="",0,IF(AND(OR('📊 Dashboard'!$B$4="(Semua)",$F107='📊 Dashboard'!$B$4),OR('📊 Dashboard'!$B$5="(Semua)",$H107='📊 Dashboard'!$B$5),OR('📊 Dashboard'!$B$6="(Semua)",$E107='📊 Dashboard'!$B$6),OR('📊 Dashboard'!$B$7="(Semua)",$AF107='📊 Dashboard'!$B$7),OR('📊 Dashboard'!$B$8="(Semua)",$AG107='📊 Dashboard'!$B$8),OR('📊 Dashboard'!$B$9="(Semua)",$K107='📊 Dashboard'!$B$9)),1,0))</f>
        <v/>
      </c>
    </row>
    <row r="108" ht="58" customHeight="1">
      <c r="A108" s="30">
        <f>IF($B108="","",ROW()-2)</f>
        <v/>
      </c>
      <c r="B108" s="31" t="n"/>
      <c r="C108" s="32" t="n"/>
      <c r="D108" s="32" t="n"/>
      <c r="E108" s="30">
        <f>IF($C108="","",IF(AND($C108&gt;=TIME(14,0,0),$C108&lt;TIME(19,30,0)),"London",IF(AND($C108&gt;=TIME(19,30,0),$C108&lt;TIME(23,0,0)),"Overlap LDN+NY",IF(OR($C108&gt;=TIME(23,0,0),$C108&lt;TIME(4,0,0)),"New York","Asia"))))</f>
        <v/>
      </c>
      <c r="F108" s="33" t="n"/>
      <c r="G108" s="33" t="n"/>
      <c r="H108" s="33" t="n"/>
      <c r="I108" s="33" t="n"/>
      <c r="J108" s="33" t="n"/>
      <c r="K108" s="33" t="n"/>
      <c r="L108" s="33" t="n"/>
      <c r="M108" s="33" t="n"/>
      <c r="N108" s="34" t="n"/>
      <c r="O108" s="34" t="n"/>
      <c r="P108" s="34" t="n"/>
      <c r="Q108" s="34" t="n"/>
      <c r="R108" s="35">
        <f>IFERROR(IF(OR($N108="",$O108="",$F108=""),"",ROUND(('⚙️ Setelan'!$B$3*'⚙️ Setelan'!$B$4/100)/(ABS($N108-$O108)*VLOOKUP($F108,'⚙️ Setelan'!$A$14:$F$20,4,FALSE)),2)),"")</f>
        <v/>
      </c>
      <c r="S108" s="36" t="n"/>
      <c r="T108" s="37">
        <f>IFERROR(IF(OR($N108="",$O108="",$S108=""),"",ABS($N108-$O108)*$S108*VLOOKUP($F108,'⚙️ Setelan'!$A$14:$F$20,4,FALSE)),"")</f>
        <v/>
      </c>
      <c r="U108" s="35">
        <f>IFERROR(IF(OR($N108="",$O108="",$P108=""),"",ROUND(ABS($P108-$N108)/ABS($N108-$O108),2)),"")</f>
        <v/>
      </c>
      <c r="V108" s="37">
        <f>IFERROR(IF(OR($Q108="",$N108="",$S108=""),"",($Q108-$N108)*IF($G108="Buy",1,-1)*$S108*VLOOKUP($F108,'⚙️ Setelan'!$A$14:$F$20,4,FALSE)),"")</f>
        <v/>
      </c>
      <c r="W108" s="37">
        <f>IFERROR(IF(OR($S108="",$F108=""),"",$S108*VLOOKUP($F108,'⚙️ Setelan'!$A$14:$F$20,5,FALSE)),"")</f>
        <v/>
      </c>
      <c r="X108" s="37">
        <f>IF($V108="","",$V108-IF($W108="",0,$W108))</f>
        <v/>
      </c>
      <c r="Y108" s="35">
        <f>IF(OR($X108="",$T108="",$T108=0),"",ROUND($X108/$T108,2))</f>
        <v/>
      </c>
      <c r="Z108" s="30">
        <f>IF($X108="","",IF($X108&gt;0,"Win",IF($X108&lt;0,"Loss","BE")))</f>
        <v/>
      </c>
      <c r="AA108" s="38">
        <f>IF(OR($C108="",$D108=""),"",ROUND(MOD($D108-$C108,1)*1440,0))</f>
        <v/>
      </c>
      <c r="AB108" s="34" t="n"/>
      <c r="AC108" s="34" t="n"/>
      <c r="AD108" s="35">
        <f>IFERROR(IF(OR($AB108="",$T108="",$T108=0),"",ROUND(ABS($N108-$AB108)*$S108*VLOOKUP($F108,'⚙️ Setelan'!$A$14:$F$20,4,FALSE)/$T108,2)),"")</f>
        <v/>
      </c>
      <c r="AE108" s="35">
        <f>IFERROR(IF(OR($AC108="",$T108="",$T108=0),"",ROUND(ABS($AC108-$N108)*$S108*VLOOKUP($F108,'⚙️ Setelan'!$A$14:$F$20,4,FALSE)/$T108,2)),"")</f>
        <v/>
      </c>
      <c r="AF108" s="33" t="n"/>
      <c r="AG108" s="33" t="n"/>
      <c r="AH108" s="33" t="n"/>
      <c r="AI108" s="33" t="n"/>
      <c r="AJ108" s="33" t="n"/>
      <c r="AK108" s="39" t="n"/>
      <c r="AL108" s="30">
        <f>IF(OR($C108="",$B108=""),"",IF(AND($Z107="Loss",$B108=$B107,MOD($C108-$D107,1)*1440&lt;'⚙️ Setelan'!$B$9),"⚠️ Revenge",""))</f>
        <v/>
      </c>
      <c r="AM108" s="40" t="n"/>
      <c r="AN108" s="30">
        <f>IF($AM108="","",IFERROR(IMAGE(IF(REGEXMATCH($AM108,"\.(png|jpg|jpeg|gif)$"),$AM108,"https://s3.tradingview.com/snapshots/"&amp;LOWER(MID(REGEXEXTRACT($AM108,"/x/([A-Za-z0-9]+)"),1,1))&amp;"/"&amp;REGEXEXTRACT($AM108,"/x/([A-Za-z0-9]+)")&amp;".png"),1),"⚠️ link tidak dikenali"))</f>
        <v/>
      </c>
      <c r="AO108" s="40" t="n"/>
      <c r="AP108" s="30">
        <f>IF($AO108="","",IFERROR(IMAGE(IF(REGEXMATCH($AO108,"\.(png|jpg|jpeg|gif)$"),$AO108,"https://s3.tradingview.com/snapshots/"&amp;LOWER(MID(REGEXEXTRACT($AO108,"/x/([A-Za-z0-9]+)"),1,1))&amp;"/"&amp;REGEXEXTRACT($AO108,"/x/([A-Za-z0-9]+)")&amp;".png"),1),"⚠️ link tidak dikenali"))</f>
        <v/>
      </c>
      <c r="AQ108" s="38">
        <f>IF($Z108="",0,IF(AND(OR('📊 Dashboard'!$B$4="(Semua)",$F108='📊 Dashboard'!$B$4),OR('📊 Dashboard'!$B$5="(Semua)",$H108='📊 Dashboard'!$B$5),OR('📊 Dashboard'!$B$6="(Semua)",$E108='📊 Dashboard'!$B$6),OR('📊 Dashboard'!$B$7="(Semua)",$AF108='📊 Dashboard'!$B$7),OR('📊 Dashboard'!$B$8="(Semua)",$AG108='📊 Dashboard'!$B$8),OR('📊 Dashboard'!$B$9="(Semua)",$K108='📊 Dashboard'!$B$9)),1,0))</f>
        <v/>
      </c>
    </row>
    <row r="109" ht="58" customHeight="1">
      <c r="A109" s="30">
        <f>IF($B109="","",ROW()-2)</f>
        <v/>
      </c>
      <c r="B109" s="31" t="n"/>
      <c r="C109" s="32" t="n"/>
      <c r="D109" s="32" t="n"/>
      <c r="E109" s="30">
        <f>IF($C109="","",IF(AND($C109&gt;=TIME(14,0,0),$C109&lt;TIME(19,30,0)),"London",IF(AND($C109&gt;=TIME(19,30,0),$C109&lt;TIME(23,0,0)),"Overlap LDN+NY",IF(OR($C109&gt;=TIME(23,0,0),$C109&lt;TIME(4,0,0)),"New York","Asia"))))</f>
        <v/>
      </c>
      <c r="F109" s="33" t="n"/>
      <c r="G109" s="33" t="n"/>
      <c r="H109" s="33" t="n"/>
      <c r="I109" s="33" t="n"/>
      <c r="J109" s="33" t="n"/>
      <c r="K109" s="33" t="n"/>
      <c r="L109" s="33" t="n"/>
      <c r="M109" s="33" t="n"/>
      <c r="N109" s="34" t="n"/>
      <c r="O109" s="34" t="n"/>
      <c r="P109" s="34" t="n"/>
      <c r="Q109" s="34" t="n"/>
      <c r="R109" s="35">
        <f>IFERROR(IF(OR($N109="",$O109="",$F109=""),"",ROUND(('⚙️ Setelan'!$B$3*'⚙️ Setelan'!$B$4/100)/(ABS($N109-$O109)*VLOOKUP($F109,'⚙️ Setelan'!$A$14:$F$20,4,FALSE)),2)),"")</f>
        <v/>
      </c>
      <c r="S109" s="36" t="n"/>
      <c r="T109" s="37">
        <f>IFERROR(IF(OR($N109="",$O109="",$S109=""),"",ABS($N109-$O109)*$S109*VLOOKUP($F109,'⚙️ Setelan'!$A$14:$F$20,4,FALSE)),"")</f>
        <v/>
      </c>
      <c r="U109" s="35">
        <f>IFERROR(IF(OR($N109="",$O109="",$P109=""),"",ROUND(ABS($P109-$N109)/ABS($N109-$O109),2)),"")</f>
        <v/>
      </c>
      <c r="V109" s="37">
        <f>IFERROR(IF(OR($Q109="",$N109="",$S109=""),"",($Q109-$N109)*IF($G109="Buy",1,-1)*$S109*VLOOKUP($F109,'⚙️ Setelan'!$A$14:$F$20,4,FALSE)),"")</f>
        <v/>
      </c>
      <c r="W109" s="37">
        <f>IFERROR(IF(OR($S109="",$F109=""),"",$S109*VLOOKUP($F109,'⚙️ Setelan'!$A$14:$F$20,5,FALSE)),"")</f>
        <v/>
      </c>
      <c r="X109" s="37">
        <f>IF($V109="","",$V109-IF($W109="",0,$W109))</f>
        <v/>
      </c>
      <c r="Y109" s="35">
        <f>IF(OR($X109="",$T109="",$T109=0),"",ROUND($X109/$T109,2))</f>
        <v/>
      </c>
      <c r="Z109" s="30">
        <f>IF($X109="","",IF($X109&gt;0,"Win",IF($X109&lt;0,"Loss","BE")))</f>
        <v/>
      </c>
      <c r="AA109" s="38">
        <f>IF(OR($C109="",$D109=""),"",ROUND(MOD($D109-$C109,1)*1440,0))</f>
        <v/>
      </c>
      <c r="AB109" s="34" t="n"/>
      <c r="AC109" s="34" t="n"/>
      <c r="AD109" s="35">
        <f>IFERROR(IF(OR($AB109="",$T109="",$T109=0),"",ROUND(ABS($N109-$AB109)*$S109*VLOOKUP($F109,'⚙️ Setelan'!$A$14:$F$20,4,FALSE)/$T109,2)),"")</f>
        <v/>
      </c>
      <c r="AE109" s="35">
        <f>IFERROR(IF(OR($AC109="",$T109="",$T109=0),"",ROUND(ABS($AC109-$N109)*$S109*VLOOKUP($F109,'⚙️ Setelan'!$A$14:$F$20,4,FALSE)/$T109,2)),"")</f>
        <v/>
      </c>
      <c r="AF109" s="33" t="n"/>
      <c r="AG109" s="33" t="n"/>
      <c r="AH109" s="33" t="n"/>
      <c r="AI109" s="33" t="n"/>
      <c r="AJ109" s="33" t="n"/>
      <c r="AK109" s="39" t="n"/>
      <c r="AL109" s="30">
        <f>IF(OR($C109="",$B109=""),"",IF(AND($Z108="Loss",$B109=$B108,MOD($C109-$D108,1)*1440&lt;'⚙️ Setelan'!$B$9),"⚠️ Revenge",""))</f>
        <v/>
      </c>
      <c r="AM109" s="40" t="n"/>
      <c r="AN109" s="30">
        <f>IF($AM109="","",IFERROR(IMAGE(IF(REGEXMATCH($AM109,"\.(png|jpg|jpeg|gif)$"),$AM109,"https://s3.tradingview.com/snapshots/"&amp;LOWER(MID(REGEXEXTRACT($AM109,"/x/([A-Za-z0-9]+)"),1,1))&amp;"/"&amp;REGEXEXTRACT($AM109,"/x/([A-Za-z0-9]+)")&amp;".png"),1),"⚠️ link tidak dikenali"))</f>
        <v/>
      </c>
      <c r="AO109" s="40" t="n"/>
      <c r="AP109" s="30">
        <f>IF($AO109="","",IFERROR(IMAGE(IF(REGEXMATCH($AO109,"\.(png|jpg|jpeg|gif)$"),$AO109,"https://s3.tradingview.com/snapshots/"&amp;LOWER(MID(REGEXEXTRACT($AO109,"/x/([A-Za-z0-9]+)"),1,1))&amp;"/"&amp;REGEXEXTRACT($AO109,"/x/([A-Za-z0-9]+)")&amp;".png"),1),"⚠️ link tidak dikenali"))</f>
        <v/>
      </c>
      <c r="AQ109" s="38">
        <f>IF($Z109="",0,IF(AND(OR('📊 Dashboard'!$B$4="(Semua)",$F109='📊 Dashboard'!$B$4),OR('📊 Dashboard'!$B$5="(Semua)",$H109='📊 Dashboard'!$B$5),OR('📊 Dashboard'!$B$6="(Semua)",$E109='📊 Dashboard'!$B$6),OR('📊 Dashboard'!$B$7="(Semua)",$AF109='📊 Dashboard'!$B$7),OR('📊 Dashboard'!$B$8="(Semua)",$AG109='📊 Dashboard'!$B$8),OR('📊 Dashboard'!$B$9="(Semua)",$K109='📊 Dashboard'!$B$9)),1,0))</f>
        <v/>
      </c>
    </row>
    <row r="110" ht="58" customHeight="1">
      <c r="A110" s="30">
        <f>IF($B110="","",ROW()-2)</f>
        <v/>
      </c>
      <c r="B110" s="31" t="n"/>
      <c r="C110" s="32" t="n"/>
      <c r="D110" s="32" t="n"/>
      <c r="E110" s="30">
        <f>IF($C110="","",IF(AND($C110&gt;=TIME(14,0,0),$C110&lt;TIME(19,30,0)),"London",IF(AND($C110&gt;=TIME(19,30,0),$C110&lt;TIME(23,0,0)),"Overlap LDN+NY",IF(OR($C110&gt;=TIME(23,0,0),$C110&lt;TIME(4,0,0)),"New York","Asia"))))</f>
        <v/>
      </c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4" t="n"/>
      <c r="O110" s="34" t="n"/>
      <c r="P110" s="34" t="n"/>
      <c r="Q110" s="34" t="n"/>
      <c r="R110" s="35">
        <f>IFERROR(IF(OR($N110="",$O110="",$F110=""),"",ROUND(('⚙️ Setelan'!$B$3*'⚙️ Setelan'!$B$4/100)/(ABS($N110-$O110)*VLOOKUP($F110,'⚙️ Setelan'!$A$14:$F$20,4,FALSE)),2)),"")</f>
        <v/>
      </c>
      <c r="S110" s="36" t="n"/>
      <c r="T110" s="37">
        <f>IFERROR(IF(OR($N110="",$O110="",$S110=""),"",ABS($N110-$O110)*$S110*VLOOKUP($F110,'⚙️ Setelan'!$A$14:$F$20,4,FALSE)),"")</f>
        <v/>
      </c>
      <c r="U110" s="35">
        <f>IFERROR(IF(OR($N110="",$O110="",$P110=""),"",ROUND(ABS($P110-$N110)/ABS($N110-$O110),2)),"")</f>
        <v/>
      </c>
      <c r="V110" s="37">
        <f>IFERROR(IF(OR($Q110="",$N110="",$S110=""),"",($Q110-$N110)*IF($G110="Buy",1,-1)*$S110*VLOOKUP($F110,'⚙️ Setelan'!$A$14:$F$20,4,FALSE)),"")</f>
        <v/>
      </c>
      <c r="W110" s="37">
        <f>IFERROR(IF(OR($S110="",$F110=""),"",$S110*VLOOKUP($F110,'⚙️ Setelan'!$A$14:$F$20,5,FALSE)),"")</f>
        <v/>
      </c>
      <c r="X110" s="37">
        <f>IF($V110="","",$V110-IF($W110="",0,$W110))</f>
        <v/>
      </c>
      <c r="Y110" s="35">
        <f>IF(OR($X110="",$T110="",$T110=0),"",ROUND($X110/$T110,2))</f>
        <v/>
      </c>
      <c r="Z110" s="30">
        <f>IF($X110="","",IF($X110&gt;0,"Win",IF($X110&lt;0,"Loss","BE")))</f>
        <v/>
      </c>
      <c r="AA110" s="38">
        <f>IF(OR($C110="",$D110=""),"",ROUND(MOD($D110-$C110,1)*1440,0))</f>
        <v/>
      </c>
      <c r="AB110" s="34" t="n"/>
      <c r="AC110" s="34" t="n"/>
      <c r="AD110" s="35">
        <f>IFERROR(IF(OR($AB110="",$T110="",$T110=0),"",ROUND(ABS($N110-$AB110)*$S110*VLOOKUP($F110,'⚙️ Setelan'!$A$14:$F$20,4,FALSE)/$T110,2)),"")</f>
        <v/>
      </c>
      <c r="AE110" s="35">
        <f>IFERROR(IF(OR($AC110="",$T110="",$T110=0),"",ROUND(ABS($AC110-$N110)*$S110*VLOOKUP($F110,'⚙️ Setelan'!$A$14:$F$20,4,FALSE)/$T110,2)),"")</f>
        <v/>
      </c>
      <c r="AF110" s="33" t="n"/>
      <c r="AG110" s="33" t="n"/>
      <c r="AH110" s="33" t="n"/>
      <c r="AI110" s="33" t="n"/>
      <c r="AJ110" s="33" t="n"/>
      <c r="AK110" s="39" t="n"/>
      <c r="AL110" s="30">
        <f>IF(OR($C110="",$B110=""),"",IF(AND($Z109="Loss",$B110=$B109,MOD($C110-$D109,1)*1440&lt;'⚙️ Setelan'!$B$9),"⚠️ Revenge",""))</f>
        <v/>
      </c>
      <c r="AM110" s="40" t="n"/>
      <c r="AN110" s="30">
        <f>IF($AM110="","",IFERROR(IMAGE(IF(REGEXMATCH($AM110,"\.(png|jpg|jpeg|gif)$"),$AM110,"https://s3.tradingview.com/snapshots/"&amp;LOWER(MID(REGEXEXTRACT($AM110,"/x/([A-Za-z0-9]+)"),1,1))&amp;"/"&amp;REGEXEXTRACT($AM110,"/x/([A-Za-z0-9]+)")&amp;".png"),1),"⚠️ link tidak dikenali"))</f>
        <v/>
      </c>
      <c r="AO110" s="40" t="n"/>
      <c r="AP110" s="30">
        <f>IF($AO110="","",IFERROR(IMAGE(IF(REGEXMATCH($AO110,"\.(png|jpg|jpeg|gif)$"),$AO110,"https://s3.tradingview.com/snapshots/"&amp;LOWER(MID(REGEXEXTRACT($AO110,"/x/([A-Za-z0-9]+)"),1,1))&amp;"/"&amp;REGEXEXTRACT($AO110,"/x/([A-Za-z0-9]+)")&amp;".png"),1),"⚠️ link tidak dikenali"))</f>
        <v/>
      </c>
      <c r="AQ110" s="38">
        <f>IF($Z110="",0,IF(AND(OR('📊 Dashboard'!$B$4="(Semua)",$F110='📊 Dashboard'!$B$4),OR('📊 Dashboard'!$B$5="(Semua)",$H110='📊 Dashboard'!$B$5),OR('📊 Dashboard'!$B$6="(Semua)",$E110='📊 Dashboard'!$B$6),OR('📊 Dashboard'!$B$7="(Semua)",$AF110='📊 Dashboard'!$B$7),OR('📊 Dashboard'!$B$8="(Semua)",$AG110='📊 Dashboard'!$B$8),OR('📊 Dashboard'!$B$9="(Semua)",$K110='📊 Dashboard'!$B$9)),1,0))</f>
        <v/>
      </c>
    </row>
    <row r="111" ht="58" customHeight="1">
      <c r="A111" s="30">
        <f>IF($B111="","",ROW()-2)</f>
        <v/>
      </c>
      <c r="B111" s="31" t="n"/>
      <c r="C111" s="32" t="n"/>
      <c r="D111" s="32" t="n"/>
      <c r="E111" s="30">
        <f>IF($C111="","",IF(AND($C111&gt;=TIME(14,0,0),$C111&lt;TIME(19,30,0)),"London",IF(AND($C111&gt;=TIME(19,30,0),$C111&lt;TIME(23,0,0)),"Overlap LDN+NY",IF(OR($C111&gt;=TIME(23,0,0),$C111&lt;TIME(4,0,0)),"New York","Asia"))))</f>
        <v/>
      </c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4" t="n"/>
      <c r="O111" s="34" t="n"/>
      <c r="P111" s="34" t="n"/>
      <c r="Q111" s="34" t="n"/>
      <c r="R111" s="35">
        <f>IFERROR(IF(OR($N111="",$O111="",$F111=""),"",ROUND(('⚙️ Setelan'!$B$3*'⚙️ Setelan'!$B$4/100)/(ABS($N111-$O111)*VLOOKUP($F111,'⚙️ Setelan'!$A$14:$F$20,4,FALSE)),2)),"")</f>
        <v/>
      </c>
      <c r="S111" s="36" t="n"/>
      <c r="T111" s="37">
        <f>IFERROR(IF(OR($N111="",$O111="",$S111=""),"",ABS($N111-$O111)*$S111*VLOOKUP($F111,'⚙️ Setelan'!$A$14:$F$20,4,FALSE)),"")</f>
        <v/>
      </c>
      <c r="U111" s="35">
        <f>IFERROR(IF(OR($N111="",$O111="",$P111=""),"",ROUND(ABS($P111-$N111)/ABS($N111-$O111),2)),"")</f>
        <v/>
      </c>
      <c r="V111" s="37">
        <f>IFERROR(IF(OR($Q111="",$N111="",$S111=""),"",($Q111-$N111)*IF($G111="Buy",1,-1)*$S111*VLOOKUP($F111,'⚙️ Setelan'!$A$14:$F$20,4,FALSE)),"")</f>
        <v/>
      </c>
      <c r="W111" s="37">
        <f>IFERROR(IF(OR($S111="",$F111=""),"",$S111*VLOOKUP($F111,'⚙️ Setelan'!$A$14:$F$20,5,FALSE)),"")</f>
        <v/>
      </c>
      <c r="X111" s="37">
        <f>IF($V111="","",$V111-IF($W111="",0,$W111))</f>
        <v/>
      </c>
      <c r="Y111" s="35">
        <f>IF(OR($X111="",$T111="",$T111=0),"",ROUND($X111/$T111,2))</f>
        <v/>
      </c>
      <c r="Z111" s="30">
        <f>IF($X111="","",IF($X111&gt;0,"Win",IF($X111&lt;0,"Loss","BE")))</f>
        <v/>
      </c>
      <c r="AA111" s="38">
        <f>IF(OR($C111="",$D111=""),"",ROUND(MOD($D111-$C111,1)*1440,0))</f>
        <v/>
      </c>
      <c r="AB111" s="34" t="n"/>
      <c r="AC111" s="34" t="n"/>
      <c r="AD111" s="35">
        <f>IFERROR(IF(OR($AB111="",$T111="",$T111=0),"",ROUND(ABS($N111-$AB111)*$S111*VLOOKUP($F111,'⚙️ Setelan'!$A$14:$F$20,4,FALSE)/$T111,2)),"")</f>
        <v/>
      </c>
      <c r="AE111" s="35">
        <f>IFERROR(IF(OR($AC111="",$T111="",$T111=0),"",ROUND(ABS($AC111-$N111)*$S111*VLOOKUP($F111,'⚙️ Setelan'!$A$14:$F$20,4,FALSE)/$T111,2)),"")</f>
        <v/>
      </c>
      <c r="AF111" s="33" t="n"/>
      <c r="AG111" s="33" t="n"/>
      <c r="AH111" s="33" t="n"/>
      <c r="AI111" s="33" t="n"/>
      <c r="AJ111" s="33" t="n"/>
      <c r="AK111" s="39" t="n"/>
      <c r="AL111" s="30">
        <f>IF(OR($C111="",$B111=""),"",IF(AND($Z110="Loss",$B111=$B110,MOD($C111-$D110,1)*1440&lt;'⚙️ Setelan'!$B$9),"⚠️ Revenge",""))</f>
        <v/>
      </c>
      <c r="AM111" s="40" t="n"/>
      <c r="AN111" s="30">
        <f>IF($AM111="","",IFERROR(IMAGE(IF(REGEXMATCH($AM111,"\.(png|jpg|jpeg|gif)$"),$AM111,"https://s3.tradingview.com/snapshots/"&amp;LOWER(MID(REGEXEXTRACT($AM111,"/x/([A-Za-z0-9]+)"),1,1))&amp;"/"&amp;REGEXEXTRACT($AM111,"/x/([A-Za-z0-9]+)")&amp;".png"),1),"⚠️ link tidak dikenali"))</f>
        <v/>
      </c>
      <c r="AO111" s="40" t="n"/>
      <c r="AP111" s="30">
        <f>IF($AO111="","",IFERROR(IMAGE(IF(REGEXMATCH($AO111,"\.(png|jpg|jpeg|gif)$"),$AO111,"https://s3.tradingview.com/snapshots/"&amp;LOWER(MID(REGEXEXTRACT($AO111,"/x/([A-Za-z0-9]+)"),1,1))&amp;"/"&amp;REGEXEXTRACT($AO111,"/x/([A-Za-z0-9]+)")&amp;".png"),1),"⚠️ link tidak dikenali"))</f>
        <v/>
      </c>
      <c r="AQ111" s="38">
        <f>IF($Z111="",0,IF(AND(OR('📊 Dashboard'!$B$4="(Semua)",$F111='📊 Dashboard'!$B$4),OR('📊 Dashboard'!$B$5="(Semua)",$H111='📊 Dashboard'!$B$5),OR('📊 Dashboard'!$B$6="(Semua)",$E111='📊 Dashboard'!$B$6),OR('📊 Dashboard'!$B$7="(Semua)",$AF111='📊 Dashboard'!$B$7),OR('📊 Dashboard'!$B$8="(Semua)",$AG111='📊 Dashboard'!$B$8),OR('📊 Dashboard'!$B$9="(Semua)",$K111='📊 Dashboard'!$B$9)),1,0))</f>
        <v/>
      </c>
    </row>
    <row r="112" ht="58" customHeight="1">
      <c r="A112" s="30">
        <f>IF($B112="","",ROW()-2)</f>
        <v/>
      </c>
      <c r="B112" s="31" t="n"/>
      <c r="C112" s="32" t="n"/>
      <c r="D112" s="32" t="n"/>
      <c r="E112" s="30">
        <f>IF($C112="","",IF(AND($C112&gt;=TIME(14,0,0),$C112&lt;TIME(19,30,0)),"London",IF(AND($C112&gt;=TIME(19,30,0),$C112&lt;TIME(23,0,0)),"Overlap LDN+NY",IF(OR($C112&gt;=TIME(23,0,0),$C112&lt;TIME(4,0,0)),"New York","Asia"))))</f>
        <v/>
      </c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4" t="n"/>
      <c r="O112" s="34" t="n"/>
      <c r="P112" s="34" t="n"/>
      <c r="Q112" s="34" t="n"/>
      <c r="R112" s="35">
        <f>IFERROR(IF(OR($N112="",$O112="",$F112=""),"",ROUND(('⚙️ Setelan'!$B$3*'⚙️ Setelan'!$B$4/100)/(ABS($N112-$O112)*VLOOKUP($F112,'⚙️ Setelan'!$A$14:$F$20,4,FALSE)),2)),"")</f>
        <v/>
      </c>
      <c r="S112" s="36" t="n"/>
      <c r="T112" s="37">
        <f>IFERROR(IF(OR($N112="",$O112="",$S112=""),"",ABS($N112-$O112)*$S112*VLOOKUP($F112,'⚙️ Setelan'!$A$14:$F$20,4,FALSE)),"")</f>
        <v/>
      </c>
      <c r="U112" s="35">
        <f>IFERROR(IF(OR($N112="",$O112="",$P112=""),"",ROUND(ABS($P112-$N112)/ABS($N112-$O112),2)),"")</f>
        <v/>
      </c>
      <c r="V112" s="37">
        <f>IFERROR(IF(OR($Q112="",$N112="",$S112=""),"",($Q112-$N112)*IF($G112="Buy",1,-1)*$S112*VLOOKUP($F112,'⚙️ Setelan'!$A$14:$F$20,4,FALSE)),"")</f>
        <v/>
      </c>
      <c r="W112" s="37">
        <f>IFERROR(IF(OR($S112="",$F112=""),"",$S112*VLOOKUP($F112,'⚙️ Setelan'!$A$14:$F$20,5,FALSE)),"")</f>
        <v/>
      </c>
      <c r="X112" s="37">
        <f>IF($V112="","",$V112-IF($W112="",0,$W112))</f>
        <v/>
      </c>
      <c r="Y112" s="35">
        <f>IF(OR($X112="",$T112="",$T112=0),"",ROUND($X112/$T112,2))</f>
        <v/>
      </c>
      <c r="Z112" s="30">
        <f>IF($X112="","",IF($X112&gt;0,"Win",IF($X112&lt;0,"Loss","BE")))</f>
        <v/>
      </c>
      <c r="AA112" s="38">
        <f>IF(OR($C112="",$D112=""),"",ROUND(MOD($D112-$C112,1)*1440,0))</f>
        <v/>
      </c>
      <c r="AB112" s="34" t="n"/>
      <c r="AC112" s="34" t="n"/>
      <c r="AD112" s="35">
        <f>IFERROR(IF(OR($AB112="",$T112="",$T112=0),"",ROUND(ABS($N112-$AB112)*$S112*VLOOKUP($F112,'⚙️ Setelan'!$A$14:$F$20,4,FALSE)/$T112,2)),"")</f>
        <v/>
      </c>
      <c r="AE112" s="35">
        <f>IFERROR(IF(OR($AC112="",$T112="",$T112=0),"",ROUND(ABS($AC112-$N112)*$S112*VLOOKUP($F112,'⚙️ Setelan'!$A$14:$F$20,4,FALSE)/$T112,2)),"")</f>
        <v/>
      </c>
      <c r="AF112" s="33" t="n"/>
      <c r="AG112" s="33" t="n"/>
      <c r="AH112" s="33" t="n"/>
      <c r="AI112" s="33" t="n"/>
      <c r="AJ112" s="33" t="n"/>
      <c r="AK112" s="39" t="n"/>
      <c r="AL112" s="30">
        <f>IF(OR($C112="",$B112=""),"",IF(AND($Z111="Loss",$B112=$B111,MOD($C112-$D111,1)*1440&lt;'⚙️ Setelan'!$B$9),"⚠️ Revenge",""))</f>
        <v/>
      </c>
      <c r="AM112" s="40" t="n"/>
      <c r="AN112" s="30">
        <f>IF($AM112="","",IFERROR(IMAGE(IF(REGEXMATCH($AM112,"\.(png|jpg|jpeg|gif)$"),$AM112,"https://s3.tradingview.com/snapshots/"&amp;LOWER(MID(REGEXEXTRACT($AM112,"/x/([A-Za-z0-9]+)"),1,1))&amp;"/"&amp;REGEXEXTRACT($AM112,"/x/([A-Za-z0-9]+)")&amp;".png"),1),"⚠️ link tidak dikenali"))</f>
        <v/>
      </c>
      <c r="AO112" s="40" t="n"/>
      <c r="AP112" s="30">
        <f>IF($AO112="","",IFERROR(IMAGE(IF(REGEXMATCH($AO112,"\.(png|jpg|jpeg|gif)$"),$AO112,"https://s3.tradingview.com/snapshots/"&amp;LOWER(MID(REGEXEXTRACT($AO112,"/x/([A-Za-z0-9]+)"),1,1))&amp;"/"&amp;REGEXEXTRACT($AO112,"/x/([A-Za-z0-9]+)")&amp;".png"),1),"⚠️ link tidak dikenali"))</f>
        <v/>
      </c>
      <c r="AQ112" s="38">
        <f>IF($Z112="",0,IF(AND(OR('📊 Dashboard'!$B$4="(Semua)",$F112='📊 Dashboard'!$B$4),OR('📊 Dashboard'!$B$5="(Semua)",$H112='📊 Dashboard'!$B$5),OR('📊 Dashboard'!$B$6="(Semua)",$E112='📊 Dashboard'!$B$6),OR('📊 Dashboard'!$B$7="(Semua)",$AF112='📊 Dashboard'!$B$7),OR('📊 Dashboard'!$B$8="(Semua)",$AG112='📊 Dashboard'!$B$8),OR('📊 Dashboard'!$B$9="(Semua)",$K112='📊 Dashboard'!$B$9)),1,0))</f>
        <v/>
      </c>
    </row>
    <row r="113" ht="58" customHeight="1">
      <c r="A113" s="30">
        <f>IF($B113="","",ROW()-2)</f>
        <v/>
      </c>
      <c r="B113" s="31" t="n"/>
      <c r="C113" s="32" t="n"/>
      <c r="D113" s="32" t="n"/>
      <c r="E113" s="30">
        <f>IF($C113="","",IF(AND($C113&gt;=TIME(14,0,0),$C113&lt;TIME(19,30,0)),"London",IF(AND($C113&gt;=TIME(19,30,0),$C113&lt;TIME(23,0,0)),"Overlap LDN+NY",IF(OR($C113&gt;=TIME(23,0,0),$C113&lt;TIME(4,0,0)),"New York","Asia"))))</f>
        <v/>
      </c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4" t="n"/>
      <c r="O113" s="34" t="n"/>
      <c r="P113" s="34" t="n"/>
      <c r="Q113" s="34" t="n"/>
      <c r="R113" s="35">
        <f>IFERROR(IF(OR($N113="",$O113="",$F113=""),"",ROUND(('⚙️ Setelan'!$B$3*'⚙️ Setelan'!$B$4/100)/(ABS($N113-$O113)*VLOOKUP($F113,'⚙️ Setelan'!$A$14:$F$20,4,FALSE)),2)),"")</f>
        <v/>
      </c>
      <c r="S113" s="36" t="n"/>
      <c r="T113" s="37">
        <f>IFERROR(IF(OR($N113="",$O113="",$S113=""),"",ABS($N113-$O113)*$S113*VLOOKUP($F113,'⚙️ Setelan'!$A$14:$F$20,4,FALSE)),"")</f>
        <v/>
      </c>
      <c r="U113" s="35">
        <f>IFERROR(IF(OR($N113="",$O113="",$P113=""),"",ROUND(ABS($P113-$N113)/ABS($N113-$O113),2)),"")</f>
        <v/>
      </c>
      <c r="V113" s="37">
        <f>IFERROR(IF(OR($Q113="",$N113="",$S113=""),"",($Q113-$N113)*IF($G113="Buy",1,-1)*$S113*VLOOKUP($F113,'⚙️ Setelan'!$A$14:$F$20,4,FALSE)),"")</f>
        <v/>
      </c>
      <c r="W113" s="37">
        <f>IFERROR(IF(OR($S113="",$F113=""),"",$S113*VLOOKUP($F113,'⚙️ Setelan'!$A$14:$F$20,5,FALSE)),"")</f>
        <v/>
      </c>
      <c r="X113" s="37">
        <f>IF($V113="","",$V113-IF($W113="",0,$W113))</f>
        <v/>
      </c>
      <c r="Y113" s="35">
        <f>IF(OR($X113="",$T113="",$T113=0),"",ROUND($X113/$T113,2))</f>
        <v/>
      </c>
      <c r="Z113" s="30">
        <f>IF($X113="","",IF($X113&gt;0,"Win",IF($X113&lt;0,"Loss","BE")))</f>
        <v/>
      </c>
      <c r="AA113" s="38">
        <f>IF(OR($C113="",$D113=""),"",ROUND(MOD($D113-$C113,1)*1440,0))</f>
        <v/>
      </c>
      <c r="AB113" s="34" t="n"/>
      <c r="AC113" s="34" t="n"/>
      <c r="AD113" s="35">
        <f>IFERROR(IF(OR($AB113="",$T113="",$T113=0),"",ROUND(ABS($N113-$AB113)*$S113*VLOOKUP($F113,'⚙️ Setelan'!$A$14:$F$20,4,FALSE)/$T113,2)),"")</f>
        <v/>
      </c>
      <c r="AE113" s="35">
        <f>IFERROR(IF(OR($AC113="",$T113="",$T113=0),"",ROUND(ABS($AC113-$N113)*$S113*VLOOKUP($F113,'⚙️ Setelan'!$A$14:$F$20,4,FALSE)/$T113,2)),"")</f>
        <v/>
      </c>
      <c r="AF113" s="33" t="n"/>
      <c r="AG113" s="33" t="n"/>
      <c r="AH113" s="33" t="n"/>
      <c r="AI113" s="33" t="n"/>
      <c r="AJ113" s="33" t="n"/>
      <c r="AK113" s="39" t="n"/>
      <c r="AL113" s="30">
        <f>IF(OR($C113="",$B113=""),"",IF(AND($Z112="Loss",$B113=$B112,MOD($C113-$D112,1)*1440&lt;'⚙️ Setelan'!$B$9),"⚠️ Revenge",""))</f>
        <v/>
      </c>
      <c r="AM113" s="40" t="n"/>
      <c r="AN113" s="30">
        <f>IF($AM113="","",IFERROR(IMAGE(IF(REGEXMATCH($AM113,"\.(png|jpg|jpeg|gif)$"),$AM113,"https://s3.tradingview.com/snapshots/"&amp;LOWER(MID(REGEXEXTRACT($AM113,"/x/([A-Za-z0-9]+)"),1,1))&amp;"/"&amp;REGEXEXTRACT($AM113,"/x/([A-Za-z0-9]+)")&amp;".png"),1),"⚠️ link tidak dikenali"))</f>
        <v/>
      </c>
      <c r="AO113" s="40" t="n"/>
      <c r="AP113" s="30">
        <f>IF($AO113="","",IFERROR(IMAGE(IF(REGEXMATCH($AO113,"\.(png|jpg|jpeg|gif)$"),$AO113,"https://s3.tradingview.com/snapshots/"&amp;LOWER(MID(REGEXEXTRACT($AO113,"/x/([A-Za-z0-9]+)"),1,1))&amp;"/"&amp;REGEXEXTRACT($AO113,"/x/([A-Za-z0-9]+)")&amp;".png"),1),"⚠️ link tidak dikenali"))</f>
        <v/>
      </c>
      <c r="AQ113" s="38">
        <f>IF($Z113="",0,IF(AND(OR('📊 Dashboard'!$B$4="(Semua)",$F113='📊 Dashboard'!$B$4),OR('📊 Dashboard'!$B$5="(Semua)",$H113='📊 Dashboard'!$B$5),OR('📊 Dashboard'!$B$6="(Semua)",$E113='📊 Dashboard'!$B$6),OR('📊 Dashboard'!$B$7="(Semua)",$AF113='📊 Dashboard'!$B$7),OR('📊 Dashboard'!$B$8="(Semua)",$AG113='📊 Dashboard'!$B$8),OR('📊 Dashboard'!$B$9="(Semua)",$K113='📊 Dashboard'!$B$9)),1,0))</f>
        <v/>
      </c>
    </row>
    <row r="114" ht="58" customHeight="1">
      <c r="A114" s="30">
        <f>IF($B114="","",ROW()-2)</f>
        <v/>
      </c>
      <c r="B114" s="31" t="n"/>
      <c r="C114" s="32" t="n"/>
      <c r="D114" s="32" t="n"/>
      <c r="E114" s="30">
        <f>IF($C114="","",IF(AND($C114&gt;=TIME(14,0,0),$C114&lt;TIME(19,30,0)),"London",IF(AND($C114&gt;=TIME(19,30,0),$C114&lt;TIME(23,0,0)),"Overlap LDN+NY",IF(OR($C114&gt;=TIME(23,0,0),$C114&lt;TIME(4,0,0)),"New York","Asia"))))</f>
        <v/>
      </c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4" t="n"/>
      <c r="O114" s="34" t="n"/>
      <c r="P114" s="34" t="n"/>
      <c r="Q114" s="34" t="n"/>
      <c r="R114" s="35">
        <f>IFERROR(IF(OR($N114="",$O114="",$F114=""),"",ROUND(('⚙️ Setelan'!$B$3*'⚙️ Setelan'!$B$4/100)/(ABS($N114-$O114)*VLOOKUP($F114,'⚙️ Setelan'!$A$14:$F$20,4,FALSE)),2)),"")</f>
        <v/>
      </c>
      <c r="S114" s="36" t="n"/>
      <c r="T114" s="37">
        <f>IFERROR(IF(OR($N114="",$O114="",$S114=""),"",ABS($N114-$O114)*$S114*VLOOKUP($F114,'⚙️ Setelan'!$A$14:$F$20,4,FALSE)),"")</f>
        <v/>
      </c>
      <c r="U114" s="35">
        <f>IFERROR(IF(OR($N114="",$O114="",$P114=""),"",ROUND(ABS($P114-$N114)/ABS($N114-$O114),2)),"")</f>
        <v/>
      </c>
      <c r="V114" s="37">
        <f>IFERROR(IF(OR($Q114="",$N114="",$S114=""),"",($Q114-$N114)*IF($G114="Buy",1,-1)*$S114*VLOOKUP($F114,'⚙️ Setelan'!$A$14:$F$20,4,FALSE)),"")</f>
        <v/>
      </c>
      <c r="W114" s="37">
        <f>IFERROR(IF(OR($S114="",$F114=""),"",$S114*VLOOKUP($F114,'⚙️ Setelan'!$A$14:$F$20,5,FALSE)),"")</f>
        <v/>
      </c>
      <c r="X114" s="37">
        <f>IF($V114="","",$V114-IF($W114="",0,$W114))</f>
        <v/>
      </c>
      <c r="Y114" s="35">
        <f>IF(OR($X114="",$T114="",$T114=0),"",ROUND($X114/$T114,2))</f>
        <v/>
      </c>
      <c r="Z114" s="30">
        <f>IF($X114="","",IF($X114&gt;0,"Win",IF($X114&lt;0,"Loss","BE")))</f>
        <v/>
      </c>
      <c r="AA114" s="38">
        <f>IF(OR($C114="",$D114=""),"",ROUND(MOD($D114-$C114,1)*1440,0))</f>
        <v/>
      </c>
      <c r="AB114" s="34" t="n"/>
      <c r="AC114" s="34" t="n"/>
      <c r="AD114" s="35">
        <f>IFERROR(IF(OR($AB114="",$T114="",$T114=0),"",ROUND(ABS($N114-$AB114)*$S114*VLOOKUP($F114,'⚙️ Setelan'!$A$14:$F$20,4,FALSE)/$T114,2)),"")</f>
        <v/>
      </c>
      <c r="AE114" s="35">
        <f>IFERROR(IF(OR($AC114="",$T114="",$T114=0),"",ROUND(ABS($AC114-$N114)*$S114*VLOOKUP($F114,'⚙️ Setelan'!$A$14:$F$20,4,FALSE)/$T114,2)),"")</f>
        <v/>
      </c>
      <c r="AF114" s="33" t="n"/>
      <c r="AG114" s="33" t="n"/>
      <c r="AH114" s="33" t="n"/>
      <c r="AI114" s="33" t="n"/>
      <c r="AJ114" s="33" t="n"/>
      <c r="AK114" s="39" t="n"/>
      <c r="AL114" s="30">
        <f>IF(OR($C114="",$B114=""),"",IF(AND($Z113="Loss",$B114=$B113,MOD($C114-$D113,1)*1440&lt;'⚙️ Setelan'!$B$9),"⚠️ Revenge",""))</f>
        <v/>
      </c>
      <c r="AM114" s="40" t="n"/>
      <c r="AN114" s="30">
        <f>IF($AM114="","",IFERROR(IMAGE(IF(REGEXMATCH($AM114,"\.(png|jpg|jpeg|gif)$"),$AM114,"https://s3.tradingview.com/snapshots/"&amp;LOWER(MID(REGEXEXTRACT($AM114,"/x/([A-Za-z0-9]+)"),1,1))&amp;"/"&amp;REGEXEXTRACT($AM114,"/x/([A-Za-z0-9]+)")&amp;".png"),1),"⚠️ link tidak dikenali"))</f>
        <v/>
      </c>
      <c r="AO114" s="40" t="n"/>
      <c r="AP114" s="30">
        <f>IF($AO114="","",IFERROR(IMAGE(IF(REGEXMATCH($AO114,"\.(png|jpg|jpeg|gif)$"),$AO114,"https://s3.tradingview.com/snapshots/"&amp;LOWER(MID(REGEXEXTRACT($AO114,"/x/([A-Za-z0-9]+)"),1,1))&amp;"/"&amp;REGEXEXTRACT($AO114,"/x/([A-Za-z0-9]+)")&amp;".png"),1),"⚠️ link tidak dikenali"))</f>
        <v/>
      </c>
      <c r="AQ114" s="38">
        <f>IF($Z114="",0,IF(AND(OR('📊 Dashboard'!$B$4="(Semua)",$F114='📊 Dashboard'!$B$4),OR('📊 Dashboard'!$B$5="(Semua)",$H114='📊 Dashboard'!$B$5),OR('📊 Dashboard'!$B$6="(Semua)",$E114='📊 Dashboard'!$B$6),OR('📊 Dashboard'!$B$7="(Semua)",$AF114='📊 Dashboard'!$B$7),OR('📊 Dashboard'!$B$8="(Semua)",$AG114='📊 Dashboard'!$B$8),OR('📊 Dashboard'!$B$9="(Semua)",$K114='📊 Dashboard'!$B$9)),1,0))</f>
        <v/>
      </c>
    </row>
    <row r="115" ht="58" customHeight="1">
      <c r="A115" s="30">
        <f>IF($B115="","",ROW()-2)</f>
        <v/>
      </c>
      <c r="B115" s="31" t="n"/>
      <c r="C115" s="32" t="n"/>
      <c r="D115" s="32" t="n"/>
      <c r="E115" s="30">
        <f>IF($C115="","",IF(AND($C115&gt;=TIME(14,0,0),$C115&lt;TIME(19,30,0)),"London",IF(AND($C115&gt;=TIME(19,30,0),$C115&lt;TIME(23,0,0)),"Overlap LDN+NY",IF(OR($C115&gt;=TIME(23,0,0),$C115&lt;TIME(4,0,0)),"New York","Asia"))))</f>
        <v/>
      </c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4" t="n"/>
      <c r="O115" s="34" t="n"/>
      <c r="P115" s="34" t="n"/>
      <c r="Q115" s="34" t="n"/>
      <c r="R115" s="35">
        <f>IFERROR(IF(OR($N115="",$O115="",$F115=""),"",ROUND(('⚙️ Setelan'!$B$3*'⚙️ Setelan'!$B$4/100)/(ABS($N115-$O115)*VLOOKUP($F115,'⚙️ Setelan'!$A$14:$F$20,4,FALSE)),2)),"")</f>
        <v/>
      </c>
      <c r="S115" s="36" t="n"/>
      <c r="T115" s="37">
        <f>IFERROR(IF(OR($N115="",$O115="",$S115=""),"",ABS($N115-$O115)*$S115*VLOOKUP($F115,'⚙️ Setelan'!$A$14:$F$20,4,FALSE)),"")</f>
        <v/>
      </c>
      <c r="U115" s="35">
        <f>IFERROR(IF(OR($N115="",$O115="",$P115=""),"",ROUND(ABS($P115-$N115)/ABS($N115-$O115),2)),"")</f>
        <v/>
      </c>
      <c r="V115" s="37">
        <f>IFERROR(IF(OR($Q115="",$N115="",$S115=""),"",($Q115-$N115)*IF($G115="Buy",1,-1)*$S115*VLOOKUP($F115,'⚙️ Setelan'!$A$14:$F$20,4,FALSE)),"")</f>
        <v/>
      </c>
      <c r="W115" s="37">
        <f>IFERROR(IF(OR($S115="",$F115=""),"",$S115*VLOOKUP($F115,'⚙️ Setelan'!$A$14:$F$20,5,FALSE)),"")</f>
        <v/>
      </c>
      <c r="X115" s="37">
        <f>IF($V115="","",$V115-IF($W115="",0,$W115))</f>
        <v/>
      </c>
      <c r="Y115" s="35">
        <f>IF(OR($X115="",$T115="",$T115=0),"",ROUND($X115/$T115,2))</f>
        <v/>
      </c>
      <c r="Z115" s="30">
        <f>IF($X115="","",IF($X115&gt;0,"Win",IF($X115&lt;0,"Loss","BE")))</f>
        <v/>
      </c>
      <c r="AA115" s="38">
        <f>IF(OR($C115="",$D115=""),"",ROUND(MOD($D115-$C115,1)*1440,0))</f>
        <v/>
      </c>
      <c r="AB115" s="34" t="n"/>
      <c r="AC115" s="34" t="n"/>
      <c r="AD115" s="35">
        <f>IFERROR(IF(OR($AB115="",$T115="",$T115=0),"",ROUND(ABS($N115-$AB115)*$S115*VLOOKUP($F115,'⚙️ Setelan'!$A$14:$F$20,4,FALSE)/$T115,2)),"")</f>
        <v/>
      </c>
      <c r="AE115" s="35">
        <f>IFERROR(IF(OR($AC115="",$T115="",$T115=0),"",ROUND(ABS($AC115-$N115)*$S115*VLOOKUP($F115,'⚙️ Setelan'!$A$14:$F$20,4,FALSE)/$T115,2)),"")</f>
        <v/>
      </c>
      <c r="AF115" s="33" t="n"/>
      <c r="AG115" s="33" t="n"/>
      <c r="AH115" s="33" t="n"/>
      <c r="AI115" s="33" t="n"/>
      <c r="AJ115" s="33" t="n"/>
      <c r="AK115" s="39" t="n"/>
      <c r="AL115" s="30">
        <f>IF(OR($C115="",$B115=""),"",IF(AND($Z114="Loss",$B115=$B114,MOD($C115-$D114,1)*1440&lt;'⚙️ Setelan'!$B$9),"⚠️ Revenge",""))</f>
        <v/>
      </c>
      <c r="AM115" s="40" t="n"/>
      <c r="AN115" s="30">
        <f>IF($AM115="","",IFERROR(IMAGE(IF(REGEXMATCH($AM115,"\.(png|jpg|jpeg|gif)$"),$AM115,"https://s3.tradingview.com/snapshots/"&amp;LOWER(MID(REGEXEXTRACT($AM115,"/x/([A-Za-z0-9]+)"),1,1))&amp;"/"&amp;REGEXEXTRACT($AM115,"/x/([A-Za-z0-9]+)")&amp;".png"),1),"⚠️ link tidak dikenali"))</f>
        <v/>
      </c>
      <c r="AO115" s="40" t="n"/>
      <c r="AP115" s="30">
        <f>IF($AO115="","",IFERROR(IMAGE(IF(REGEXMATCH($AO115,"\.(png|jpg|jpeg|gif)$"),$AO115,"https://s3.tradingview.com/snapshots/"&amp;LOWER(MID(REGEXEXTRACT($AO115,"/x/([A-Za-z0-9]+)"),1,1))&amp;"/"&amp;REGEXEXTRACT($AO115,"/x/([A-Za-z0-9]+)")&amp;".png"),1),"⚠️ link tidak dikenali"))</f>
        <v/>
      </c>
      <c r="AQ115" s="38">
        <f>IF($Z115="",0,IF(AND(OR('📊 Dashboard'!$B$4="(Semua)",$F115='📊 Dashboard'!$B$4),OR('📊 Dashboard'!$B$5="(Semua)",$H115='📊 Dashboard'!$B$5),OR('📊 Dashboard'!$B$6="(Semua)",$E115='📊 Dashboard'!$B$6),OR('📊 Dashboard'!$B$7="(Semua)",$AF115='📊 Dashboard'!$B$7),OR('📊 Dashboard'!$B$8="(Semua)",$AG115='📊 Dashboard'!$B$8),OR('📊 Dashboard'!$B$9="(Semua)",$K115='📊 Dashboard'!$B$9)),1,0))</f>
        <v/>
      </c>
    </row>
    <row r="116" ht="58" customHeight="1">
      <c r="A116" s="30">
        <f>IF($B116="","",ROW()-2)</f>
        <v/>
      </c>
      <c r="B116" s="31" t="n"/>
      <c r="C116" s="32" t="n"/>
      <c r="D116" s="32" t="n"/>
      <c r="E116" s="30">
        <f>IF($C116="","",IF(AND($C116&gt;=TIME(14,0,0),$C116&lt;TIME(19,30,0)),"London",IF(AND($C116&gt;=TIME(19,30,0),$C116&lt;TIME(23,0,0)),"Overlap LDN+NY",IF(OR($C116&gt;=TIME(23,0,0),$C116&lt;TIME(4,0,0)),"New York","Asia"))))</f>
        <v/>
      </c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4" t="n"/>
      <c r="O116" s="34" t="n"/>
      <c r="P116" s="34" t="n"/>
      <c r="Q116" s="34" t="n"/>
      <c r="R116" s="35">
        <f>IFERROR(IF(OR($N116="",$O116="",$F116=""),"",ROUND(('⚙️ Setelan'!$B$3*'⚙️ Setelan'!$B$4/100)/(ABS($N116-$O116)*VLOOKUP($F116,'⚙️ Setelan'!$A$14:$F$20,4,FALSE)),2)),"")</f>
        <v/>
      </c>
      <c r="S116" s="36" t="n"/>
      <c r="T116" s="37">
        <f>IFERROR(IF(OR($N116="",$O116="",$S116=""),"",ABS($N116-$O116)*$S116*VLOOKUP($F116,'⚙️ Setelan'!$A$14:$F$20,4,FALSE)),"")</f>
        <v/>
      </c>
      <c r="U116" s="35">
        <f>IFERROR(IF(OR($N116="",$O116="",$P116=""),"",ROUND(ABS($P116-$N116)/ABS($N116-$O116),2)),"")</f>
        <v/>
      </c>
      <c r="V116" s="37">
        <f>IFERROR(IF(OR($Q116="",$N116="",$S116=""),"",($Q116-$N116)*IF($G116="Buy",1,-1)*$S116*VLOOKUP($F116,'⚙️ Setelan'!$A$14:$F$20,4,FALSE)),"")</f>
        <v/>
      </c>
      <c r="W116" s="37">
        <f>IFERROR(IF(OR($S116="",$F116=""),"",$S116*VLOOKUP($F116,'⚙️ Setelan'!$A$14:$F$20,5,FALSE)),"")</f>
        <v/>
      </c>
      <c r="X116" s="37">
        <f>IF($V116="","",$V116-IF($W116="",0,$W116))</f>
        <v/>
      </c>
      <c r="Y116" s="35">
        <f>IF(OR($X116="",$T116="",$T116=0),"",ROUND($X116/$T116,2))</f>
        <v/>
      </c>
      <c r="Z116" s="30">
        <f>IF($X116="","",IF($X116&gt;0,"Win",IF($X116&lt;0,"Loss","BE")))</f>
        <v/>
      </c>
      <c r="AA116" s="38">
        <f>IF(OR($C116="",$D116=""),"",ROUND(MOD($D116-$C116,1)*1440,0))</f>
        <v/>
      </c>
      <c r="AB116" s="34" t="n"/>
      <c r="AC116" s="34" t="n"/>
      <c r="AD116" s="35">
        <f>IFERROR(IF(OR($AB116="",$T116="",$T116=0),"",ROUND(ABS($N116-$AB116)*$S116*VLOOKUP($F116,'⚙️ Setelan'!$A$14:$F$20,4,FALSE)/$T116,2)),"")</f>
        <v/>
      </c>
      <c r="AE116" s="35">
        <f>IFERROR(IF(OR($AC116="",$T116="",$T116=0),"",ROUND(ABS($AC116-$N116)*$S116*VLOOKUP($F116,'⚙️ Setelan'!$A$14:$F$20,4,FALSE)/$T116,2)),"")</f>
        <v/>
      </c>
      <c r="AF116" s="33" t="n"/>
      <c r="AG116" s="33" t="n"/>
      <c r="AH116" s="33" t="n"/>
      <c r="AI116" s="33" t="n"/>
      <c r="AJ116" s="33" t="n"/>
      <c r="AK116" s="39" t="n"/>
      <c r="AL116" s="30">
        <f>IF(OR($C116="",$B116=""),"",IF(AND($Z115="Loss",$B116=$B115,MOD($C116-$D115,1)*1440&lt;'⚙️ Setelan'!$B$9),"⚠️ Revenge",""))</f>
        <v/>
      </c>
      <c r="AM116" s="40" t="n"/>
      <c r="AN116" s="30">
        <f>IF($AM116="","",IFERROR(IMAGE(IF(REGEXMATCH($AM116,"\.(png|jpg|jpeg|gif)$"),$AM116,"https://s3.tradingview.com/snapshots/"&amp;LOWER(MID(REGEXEXTRACT($AM116,"/x/([A-Za-z0-9]+)"),1,1))&amp;"/"&amp;REGEXEXTRACT($AM116,"/x/([A-Za-z0-9]+)")&amp;".png"),1),"⚠️ link tidak dikenali"))</f>
        <v/>
      </c>
      <c r="AO116" s="40" t="n"/>
      <c r="AP116" s="30">
        <f>IF($AO116="","",IFERROR(IMAGE(IF(REGEXMATCH($AO116,"\.(png|jpg|jpeg|gif)$"),$AO116,"https://s3.tradingview.com/snapshots/"&amp;LOWER(MID(REGEXEXTRACT($AO116,"/x/([A-Za-z0-9]+)"),1,1))&amp;"/"&amp;REGEXEXTRACT($AO116,"/x/([A-Za-z0-9]+)")&amp;".png"),1),"⚠️ link tidak dikenali"))</f>
        <v/>
      </c>
      <c r="AQ116" s="38">
        <f>IF($Z116="",0,IF(AND(OR('📊 Dashboard'!$B$4="(Semua)",$F116='📊 Dashboard'!$B$4),OR('📊 Dashboard'!$B$5="(Semua)",$H116='📊 Dashboard'!$B$5),OR('📊 Dashboard'!$B$6="(Semua)",$E116='📊 Dashboard'!$B$6),OR('📊 Dashboard'!$B$7="(Semua)",$AF116='📊 Dashboard'!$B$7),OR('📊 Dashboard'!$B$8="(Semua)",$AG116='📊 Dashboard'!$B$8),OR('📊 Dashboard'!$B$9="(Semua)",$K116='📊 Dashboard'!$B$9)),1,0))</f>
        <v/>
      </c>
    </row>
    <row r="117" ht="58" customHeight="1">
      <c r="A117" s="30">
        <f>IF($B117="","",ROW()-2)</f>
        <v/>
      </c>
      <c r="B117" s="31" t="n"/>
      <c r="C117" s="32" t="n"/>
      <c r="D117" s="32" t="n"/>
      <c r="E117" s="30">
        <f>IF($C117="","",IF(AND($C117&gt;=TIME(14,0,0),$C117&lt;TIME(19,30,0)),"London",IF(AND($C117&gt;=TIME(19,30,0),$C117&lt;TIME(23,0,0)),"Overlap LDN+NY",IF(OR($C117&gt;=TIME(23,0,0),$C117&lt;TIME(4,0,0)),"New York","Asia"))))</f>
        <v/>
      </c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4" t="n"/>
      <c r="O117" s="34" t="n"/>
      <c r="P117" s="34" t="n"/>
      <c r="Q117" s="34" t="n"/>
      <c r="R117" s="35">
        <f>IFERROR(IF(OR($N117="",$O117="",$F117=""),"",ROUND(('⚙️ Setelan'!$B$3*'⚙️ Setelan'!$B$4/100)/(ABS($N117-$O117)*VLOOKUP($F117,'⚙️ Setelan'!$A$14:$F$20,4,FALSE)),2)),"")</f>
        <v/>
      </c>
      <c r="S117" s="36" t="n"/>
      <c r="T117" s="37">
        <f>IFERROR(IF(OR($N117="",$O117="",$S117=""),"",ABS($N117-$O117)*$S117*VLOOKUP($F117,'⚙️ Setelan'!$A$14:$F$20,4,FALSE)),"")</f>
        <v/>
      </c>
      <c r="U117" s="35">
        <f>IFERROR(IF(OR($N117="",$O117="",$P117=""),"",ROUND(ABS($P117-$N117)/ABS($N117-$O117),2)),"")</f>
        <v/>
      </c>
      <c r="V117" s="37">
        <f>IFERROR(IF(OR($Q117="",$N117="",$S117=""),"",($Q117-$N117)*IF($G117="Buy",1,-1)*$S117*VLOOKUP($F117,'⚙️ Setelan'!$A$14:$F$20,4,FALSE)),"")</f>
        <v/>
      </c>
      <c r="W117" s="37">
        <f>IFERROR(IF(OR($S117="",$F117=""),"",$S117*VLOOKUP($F117,'⚙️ Setelan'!$A$14:$F$20,5,FALSE)),"")</f>
        <v/>
      </c>
      <c r="X117" s="37">
        <f>IF($V117="","",$V117-IF($W117="",0,$W117))</f>
        <v/>
      </c>
      <c r="Y117" s="35">
        <f>IF(OR($X117="",$T117="",$T117=0),"",ROUND($X117/$T117,2))</f>
        <v/>
      </c>
      <c r="Z117" s="30">
        <f>IF($X117="","",IF($X117&gt;0,"Win",IF($X117&lt;0,"Loss","BE")))</f>
        <v/>
      </c>
      <c r="AA117" s="38">
        <f>IF(OR($C117="",$D117=""),"",ROUND(MOD($D117-$C117,1)*1440,0))</f>
        <v/>
      </c>
      <c r="AB117" s="34" t="n"/>
      <c r="AC117" s="34" t="n"/>
      <c r="AD117" s="35">
        <f>IFERROR(IF(OR($AB117="",$T117="",$T117=0),"",ROUND(ABS($N117-$AB117)*$S117*VLOOKUP($F117,'⚙️ Setelan'!$A$14:$F$20,4,FALSE)/$T117,2)),"")</f>
        <v/>
      </c>
      <c r="AE117" s="35">
        <f>IFERROR(IF(OR($AC117="",$T117="",$T117=0),"",ROUND(ABS($AC117-$N117)*$S117*VLOOKUP($F117,'⚙️ Setelan'!$A$14:$F$20,4,FALSE)/$T117,2)),"")</f>
        <v/>
      </c>
      <c r="AF117" s="33" t="n"/>
      <c r="AG117" s="33" t="n"/>
      <c r="AH117" s="33" t="n"/>
      <c r="AI117" s="33" t="n"/>
      <c r="AJ117" s="33" t="n"/>
      <c r="AK117" s="39" t="n"/>
      <c r="AL117" s="30">
        <f>IF(OR($C117="",$B117=""),"",IF(AND($Z116="Loss",$B117=$B116,MOD($C117-$D116,1)*1440&lt;'⚙️ Setelan'!$B$9),"⚠️ Revenge",""))</f>
        <v/>
      </c>
      <c r="AM117" s="40" t="n"/>
      <c r="AN117" s="30">
        <f>IF($AM117="","",IFERROR(IMAGE(IF(REGEXMATCH($AM117,"\.(png|jpg|jpeg|gif)$"),$AM117,"https://s3.tradingview.com/snapshots/"&amp;LOWER(MID(REGEXEXTRACT($AM117,"/x/([A-Za-z0-9]+)"),1,1))&amp;"/"&amp;REGEXEXTRACT($AM117,"/x/([A-Za-z0-9]+)")&amp;".png"),1),"⚠️ link tidak dikenali"))</f>
        <v/>
      </c>
      <c r="AO117" s="40" t="n"/>
      <c r="AP117" s="30">
        <f>IF($AO117="","",IFERROR(IMAGE(IF(REGEXMATCH($AO117,"\.(png|jpg|jpeg|gif)$"),$AO117,"https://s3.tradingview.com/snapshots/"&amp;LOWER(MID(REGEXEXTRACT($AO117,"/x/([A-Za-z0-9]+)"),1,1))&amp;"/"&amp;REGEXEXTRACT($AO117,"/x/([A-Za-z0-9]+)")&amp;".png"),1),"⚠️ link tidak dikenali"))</f>
        <v/>
      </c>
      <c r="AQ117" s="38">
        <f>IF($Z117="",0,IF(AND(OR('📊 Dashboard'!$B$4="(Semua)",$F117='📊 Dashboard'!$B$4),OR('📊 Dashboard'!$B$5="(Semua)",$H117='📊 Dashboard'!$B$5),OR('📊 Dashboard'!$B$6="(Semua)",$E117='📊 Dashboard'!$B$6),OR('📊 Dashboard'!$B$7="(Semua)",$AF117='📊 Dashboard'!$B$7),OR('📊 Dashboard'!$B$8="(Semua)",$AG117='📊 Dashboard'!$B$8),OR('📊 Dashboard'!$B$9="(Semua)",$K117='📊 Dashboard'!$B$9)),1,0))</f>
        <v/>
      </c>
    </row>
    <row r="118" ht="58" customHeight="1">
      <c r="A118" s="30">
        <f>IF($B118="","",ROW()-2)</f>
        <v/>
      </c>
      <c r="B118" s="31" t="n"/>
      <c r="C118" s="32" t="n"/>
      <c r="D118" s="32" t="n"/>
      <c r="E118" s="30">
        <f>IF($C118="","",IF(AND($C118&gt;=TIME(14,0,0),$C118&lt;TIME(19,30,0)),"London",IF(AND($C118&gt;=TIME(19,30,0),$C118&lt;TIME(23,0,0)),"Overlap LDN+NY",IF(OR($C118&gt;=TIME(23,0,0),$C118&lt;TIME(4,0,0)),"New York","Asia"))))</f>
        <v/>
      </c>
      <c r="F118" s="33" t="n"/>
      <c r="G118" s="33" t="n"/>
      <c r="H118" s="33" t="n"/>
      <c r="I118" s="33" t="n"/>
      <c r="J118" s="33" t="n"/>
      <c r="K118" s="33" t="n"/>
      <c r="L118" s="33" t="n"/>
      <c r="M118" s="33" t="n"/>
      <c r="N118" s="34" t="n"/>
      <c r="O118" s="34" t="n"/>
      <c r="P118" s="34" t="n"/>
      <c r="Q118" s="34" t="n"/>
      <c r="R118" s="35">
        <f>IFERROR(IF(OR($N118="",$O118="",$F118=""),"",ROUND(('⚙️ Setelan'!$B$3*'⚙️ Setelan'!$B$4/100)/(ABS($N118-$O118)*VLOOKUP($F118,'⚙️ Setelan'!$A$14:$F$20,4,FALSE)),2)),"")</f>
        <v/>
      </c>
      <c r="S118" s="36" t="n"/>
      <c r="T118" s="37">
        <f>IFERROR(IF(OR($N118="",$O118="",$S118=""),"",ABS($N118-$O118)*$S118*VLOOKUP($F118,'⚙️ Setelan'!$A$14:$F$20,4,FALSE)),"")</f>
        <v/>
      </c>
      <c r="U118" s="35">
        <f>IFERROR(IF(OR($N118="",$O118="",$P118=""),"",ROUND(ABS($P118-$N118)/ABS($N118-$O118),2)),"")</f>
        <v/>
      </c>
      <c r="V118" s="37">
        <f>IFERROR(IF(OR($Q118="",$N118="",$S118=""),"",($Q118-$N118)*IF($G118="Buy",1,-1)*$S118*VLOOKUP($F118,'⚙️ Setelan'!$A$14:$F$20,4,FALSE)),"")</f>
        <v/>
      </c>
      <c r="W118" s="37">
        <f>IFERROR(IF(OR($S118="",$F118=""),"",$S118*VLOOKUP($F118,'⚙️ Setelan'!$A$14:$F$20,5,FALSE)),"")</f>
        <v/>
      </c>
      <c r="X118" s="37">
        <f>IF($V118="","",$V118-IF($W118="",0,$W118))</f>
        <v/>
      </c>
      <c r="Y118" s="35">
        <f>IF(OR($X118="",$T118="",$T118=0),"",ROUND($X118/$T118,2))</f>
        <v/>
      </c>
      <c r="Z118" s="30">
        <f>IF($X118="","",IF($X118&gt;0,"Win",IF($X118&lt;0,"Loss","BE")))</f>
        <v/>
      </c>
      <c r="AA118" s="38">
        <f>IF(OR($C118="",$D118=""),"",ROUND(MOD($D118-$C118,1)*1440,0))</f>
        <v/>
      </c>
      <c r="AB118" s="34" t="n"/>
      <c r="AC118" s="34" t="n"/>
      <c r="AD118" s="35">
        <f>IFERROR(IF(OR($AB118="",$T118="",$T118=0),"",ROUND(ABS($N118-$AB118)*$S118*VLOOKUP($F118,'⚙️ Setelan'!$A$14:$F$20,4,FALSE)/$T118,2)),"")</f>
        <v/>
      </c>
      <c r="AE118" s="35">
        <f>IFERROR(IF(OR($AC118="",$T118="",$T118=0),"",ROUND(ABS($AC118-$N118)*$S118*VLOOKUP($F118,'⚙️ Setelan'!$A$14:$F$20,4,FALSE)/$T118,2)),"")</f>
        <v/>
      </c>
      <c r="AF118" s="33" t="n"/>
      <c r="AG118" s="33" t="n"/>
      <c r="AH118" s="33" t="n"/>
      <c r="AI118" s="33" t="n"/>
      <c r="AJ118" s="33" t="n"/>
      <c r="AK118" s="39" t="n"/>
      <c r="AL118" s="30">
        <f>IF(OR($C118="",$B118=""),"",IF(AND($Z117="Loss",$B118=$B117,MOD($C118-$D117,1)*1440&lt;'⚙️ Setelan'!$B$9),"⚠️ Revenge",""))</f>
        <v/>
      </c>
      <c r="AM118" s="40" t="n"/>
      <c r="AN118" s="30">
        <f>IF($AM118="","",IFERROR(IMAGE(IF(REGEXMATCH($AM118,"\.(png|jpg|jpeg|gif)$"),$AM118,"https://s3.tradingview.com/snapshots/"&amp;LOWER(MID(REGEXEXTRACT($AM118,"/x/([A-Za-z0-9]+)"),1,1))&amp;"/"&amp;REGEXEXTRACT($AM118,"/x/([A-Za-z0-9]+)")&amp;".png"),1),"⚠️ link tidak dikenali"))</f>
        <v/>
      </c>
      <c r="AO118" s="40" t="n"/>
      <c r="AP118" s="30">
        <f>IF($AO118="","",IFERROR(IMAGE(IF(REGEXMATCH($AO118,"\.(png|jpg|jpeg|gif)$"),$AO118,"https://s3.tradingview.com/snapshots/"&amp;LOWER(MID(REGEXEXTRACT($AO118,"/x/([A-Za-z0-9]+)"),1,1))&amp;"/"&amp;REGEXEXTRACT($AO118,"/x/([A-Za-z0-9]+)")&amp;".png"),1),"⚠️ link tidak dikenali"))</f>
        <v/>
      </c>
      <c r="AQ118" s="38">
        <f>IF($Z118="",0,IF(AND(OR('📊 Dashboard'!$B$4="(Semua)",$F118='📊 Dashboard'!$B$4),OR('📊 Dashboard'!$B$5="(Semua)",$H118='📊 Dashboard'!$B$5),OR('📊 Dashboard'!$B$6="(Semua)",$E118='📊 Dashboard'!$B$6),OR('📊 Dashboard'!$B$7="(Semua)",$AF118='📊 Dashboard'!$B$7),OR('📊 Dashboard'!$B$8="(Semua)",$AG118='📊 Dashboard'!$B$8),OR('📊 Dashboard'!$B$9="(Semua)",$K118='📊 Dashboard'!$B$9)),1,0))</f>
        <v/>
      </c>
    </row>
    <row r="119" ht="58" customHeight="1">
      <c r="A119" s="30">
        <f>IF($B119="","",ROW()-2)</f>
        <v/>
      </c>
      <c r="B119" s="31" t="n"/>
      <c r="C119" s="32" t="n"/>
      <c r="D119" s="32" t="n"/>
      <c r="E119" s="30">
        <f>IF($C119="","",IF(AND($C119&gt;=TIME(14,0,0),$C119&lt;TIME(19,30,0)),"London",IF(AND($C119&gt;=TIME(19,30,0),$C119&lt;TIME(23,0,0)),"Overlap LDN+NY",IF(OR($C119&gt;=TIME(23,0,0),$C119&lt;TIME(4,0,0)),"New York","Asia"))))</f>
        <v/>
      </c>
      <c r="F119" s="33" t="n"/>
      <c r="G119" s="33" t="n"/>
      <c r="H119" s="33" t="n"/>
      <c r="I119" s="33" t="n"/>
      <c r="J119" s="33" t="n"/>
      <c r="K119" s="33" t="n"/>
      <c r="L119" s="33" t="n"/>
      <c r="M119" s="33" t="n"/>
      <c r="N119" s="34" t="n"/>
      <c r="O119" s="34" t="n"/>
      <c r="P119" s="34" t="n"/>
      <c r="Q119" s="34" t="n"/>
      <c r="R119" s="35">
        <f>IFERROR(IF(OR($N119="",$O119="",$F119=""),"",ROUND(('⚙️ Setelan'!$B$3*'⚙️ Setelan'!$B$4/100)/(ABS($N119-$O119)*VLOOKUP($F119,'⚙️ Setelan'!$A$14:$F$20,4,FALSE)),2)),"")</f>
        <v/>
      </c>
      <c r="S119" s="36" t="n"/>
      <c r="T119" s="37">
        <f>IFERROR(IF(OR($N119="",$O119="",$S119=""),"",ABS($N119-$O119)*$S119*VLOOKUP($F119,'⚙️ Setelan'!$A$14:$F$20,4,FALSE)),"")</f>
        <v/>
      </c>
      <c r="U119" s="35">
        <f>IFERROR(IF(OR($N119="",$O119="",$P119=""),"",ROUND(ABS($P119-$N119)/ABS($N119-$O119),2)),"")</f>
        <v/>
      </c>
      <c r="V119" s="37">
        <f>IFERROR(IF(OR($Q119="",$N119="",$S119=""),"",($Q119-$N119)*IF($G119="Buy",1,-1)*$S119*VLOOKUP($F119,'⚙️ Setelan'!$A$14:$F$20,4,FALSE)),"")</f>
        <v/>
      </c>
      <c r="W119" s="37">
        <f>IFERROR(IF(OR($S119="",$F119=""),"",$S119*VLOOKUP($F119,'⚙️ Setelan'!$A$14:$F$20,5,FALSE)),"")</f>
        <v/>
      </c>
      <c r="X119" s="37">
        <f>IF($V119="","",$V119-IF($W119="",0,$W119))</f>
        <v/>
      </c>
      <c r="Y119" s="35">
        <f>IF(OR($X119="",$T119="",$T119=0),"",ROUND($X119/$T119,2))</f>
        <v/>
      </c>
      <c r="Z119" s="30">
        <f>IF($X119="","",IF($X119&gt;0,"Win",IF($X119&lt;0,"Loss","BE")))</f>
        <v/>
      </c>
      <c r="AA119" s="38">
        <f>IF(OR($C119="",$D119=""),"",ROUND(MOD($D119-$C119,1)*1440,0))</f>
        <v/>
      </c>
      <c r="AB119" s="34" t="n"/>
      <c r="AC119" s="34" t="n"/>
      <c r="AD119" s="35">
        <f>IFERROR(IF(OR($AB119="",$T119="",$T119=0),"",ROUND(ABS($N119-$AB119)*$S119*VLOOKUP($F119,'⚙️ Setelan'!$A$14:$F$20,4,FALSE)/$T119,2)),"")</f>
        <v/>
      </c>
      <c r="AE119" s="35">
        <f>IFERROR(IF(OR($AC119="",$T119="",$T119=0),"",ROUND(ABS($AC119-$N119)*$S119*VLOOKUP($F119,'⚙️ Setelan'!$A$14:$F$20,4,FALSE)/$T119,2)),"")</f>
        <v/>
      </c>
      <c r="AF119" s="33" t="n"/>
      <c r="AG119" s="33" t="n"/>
      <c r="AH119" s="33" t="n"/>
      <c r="AI119" s="33" t="n"/>
      <c r="AJ119" s="33" t="n"/>
      <c r="AK119" s="39" t="n"/>
      <c r="AL119" s="30">
        <f>IF(OR($C119="",$B119=""),"",IF(AND($Z118="Loss",$B119=$B118,MOD($C119-$D118,1)*1440&lt;'⚙️ Setelan'!$B$9),"⚠️ Revenge",""))</f>
        <v/>
      </c>
      <c r="AM119" s="40" t="n"/>
      <c r="AN119" s="30">
        <f>IF($AM119="","",IFERROR(IMAGE(IF(REGEXMATCH($AM119,"\.(png|jpg|jpeg|gif)$"),$AM119,"https://s3.tradingview.com/snapshots/"&amp;LOWER(MID(REGEXEXTRACT($AM119,"/x/([A-Za-z0-9]+)"),1,1))&amp;"/"&amp;REGEXEXTRACT($AM119,"/x/([A-Za-z0-9]+)")&amp;".png"),1),"⚠️ link tidak dikenali"))</f>
        <v/>
      </c>
      <c r="AO119" s="40" t="n"/>
      <c r="AP119" s="30">
        <f>IF($AO119="","",IFERROR(IMAGE(IF(REGEXMATCH($AO119,"\.(png|jpg|jpeg|gif)$"),$AO119,"https://s3.tradingview.com/snapshots/"&amp;LOWER(MID(REGEXEXTRACT($AO119,"/x/([A-Za-z0-9]+)"),1,1))&amp;"/"&amp;REGEXEXTRACT($AO119,"/x/([A-Za-z0-9]+)")&amp;".png"),1),"⚠️ link tidak dikenali"))</f>
        <v/>
      </c>
      <c r="AQ119" s="38">
        <f>IF($Z119="",0,IF(AND(OR('📊 Dashboard'!$B$4="(Semua)",$F119='📊 Dashboard'!$B$4),OR('📊 Dashboard'!$B$5="(Semua)",$H119='📊 Dashboard'!$B$5),OR('📊 Dashboard'!$B$6="(Semua)",$E119='📊 Dashboard'!$B$6),OR('📊 Dashboard'!$B$7="(Semua)",$AF119='📊 Dashboard'!$B$7),OR('📊 Dashboard'!$B$8="(Semua)",$AG119='📊 Dashboard'!$B$8),OR('📊 Dashboard'!$B$9="(Semua)",$K119='📊 Dashboard'!$B$9)),1,0))</f>
        <v/>
      </c>
    </row>
    <row r="120" ht="58" customHeight="1">
      <c r="A120" s="30">
        <f>IF($B120="","",ROW()-2)</f>
        <v/>
      </c>
      <c r="B120" s="31" t="n"/>
      <c r="C120" s="32" t="n"/>
      <c r="D120" s="32" t="n"/>
      <c r="E120" s="30">
        <f>IF($C120="","",IF(AND($C120&gt;=TIME(14,0,0),$C120&lt;TIME(19,30,0)),"London",IF(AND($C120&gt;=TIME(19,30,0),$C120&lt;TIME(23,0,0)),"Overlap LDN+NY",IF(OR($C120&gt;=TIME(23,0,0),$C120&lt;TIME(4,0,0)),"New York","Asia"))))</f>
        <v/>
      </c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4" t="n"/>
      <c r="O120" s="34" t="n"/>
      <c r="P120" s="34" t="n"/>
      <c r="Q120" s="34" t="n"/>
      <c r="R120" s="35">
        <f>IFERROR(IF(OR($N120="",$O120="",$F120=""),"",ROUND(('⚙️ Setelan'!$B$3*'⚙️ Setelan'!$B$4/100)/(ABS($N120-$O120)*VLOOKUP($F120,'⚙️ Setelan'!$A$14:$F$20,4,FALSE)),2)),"")</f>
        <v/>
      </c>
      <c r="S120" s="36" t="n"/>
      <c r="T120" s="37">
        <f>IFERROR(IF(OR($N120="",$O120="",$S120=""),"",ABS($N120-$O120)*$S120*VLOOKUP($F120,'⚙️ Setelan'!$A$14:$F$20,4,FALSE)),"")</f>
        <v/>
      </c>
      <c r="U120" s="35">
        <f>IFERROR(IF(OR($N120="",$O120="",$P120=""),"",ROUND(ABS($P120-$N120)/ABS($N120-$O120),2)),"")</f>
        <v/>
      </c>
      <c r="V120" s="37">
        <f>IFERROR(IF(OR($Q120="",$N120="",$S120=""),"",($Q120-$N120)*IF($G120="Buy",1,-1)*$S120*VLOOKUP($F120,'⚙️ Setelan'!$A$14:$F$20,4,FALSE)),"")</f>
        <v/>
      </c>
      <c r="W120" s="37">
        <f>IFERROR(IF(OR($S120="",$F120=""),"",$S120*VLOOKUP($F120,'⚙️ Setelan'!$A$14:$F$20,5,FALSE)),"")</f>
        <v/>
      </c>
      <c r="X120" s="37">
        <f>IF($V120="","",$V120-IF($W120="",0,$W120))</f>
        <v/>
      </c>
      <c r="Y120" s="35">
        <f>IF(OR($X120="",$T120="",$T120=0),"",ROUND($X120/$T120,2))</f>
        <v/>
      </c>
      <c r="Z120" s="30">
        <f>IF($X120="","",IF($X120&gt;0,"Win",IF($X120&lt;0,"Loss","BE")))</f>
        <v/>
      </c>
      <c r="AA120" s="38">
        <f>IF(OR($C120="",$D120=""),"",ROUND(MOD($D120-$C120,1)*1440,0))</f>
        <v/>
      </c>
      <c r="AB120" s="34" t="n"/>
      <c r="AC120" s="34" t="n"/>
      <c r="AD120" s="35">
        <f>IFERROR(IF(OR($AB120="",$T120="",$T120=0),"",ROUND(ABS($N120-$AB120)*$S120*VLOOKUP($F120,'⚙️ Setelan'!$A$14:$F$20,4,FALSE)/$T120,2)),"")</f>
        <v/>
      </c>
      <c r="AE120" s="35">
        <f>IFERROR(IF(OR($AC120="",$T120="",$T120=0),"",ROUND(ABS($AC120-$N120)*$S120*VLOOKUP($F120,'⚙️ Setelan'!$A$14:$F$20,4,FALSE)/$T120,2)),"")</f>
        <v/>
      </c>
      <c r="AF120" s="33" t="n"/>
      <c r="AG120" s="33" t="n"/>
      <c r="AH120" s="33" t="n"/>
      <c r="AI120" s="33" t="n"/>
      <c r="AJ120" s="33" t="n"/>
      <c r="AK120" s="39" t="n"/>
      <c r="AL120" s="30">
        <f>IF(OR($C120="",$B120=""),"",IF(AND($Z119="Loss",$B120=$B119,MOD($C120-$D119,1)*1440&lt;'⚙️ Setelan'!$B$9),"⚠️ Revenge",""))</f>
        <v/>
      </c>
      <c r="AM120" s="40" t="n"/>
      <c r="AN120" s="30">
        <f>IF($AM120="","",IFERROR(IMAGE(IF(REGEXMATCH($AM120,"\.(png|jpg|jpeg|gif)$"),$AM120,"https://s3.tradingview.com/snapshots/"&amp;LOWER(MID(REGEXEXTRACT($AM120,"/x/([A-Za-z0-9]+)"),1,1))&amp;"/"&amp;REGEXEXTRACT($AM120,"/x/([A-Za-z0-9]+)")&amp;".png"),1),"⚠️ link tidak dikenali"))</f>
        <v/>
      </c>
      <c r="AO120" s="40" t="n"/>
      <c r="AP120" s="30">
        <f>IF($AO120="","",IFERROR(IMAGE(IF(REGEXMATCH($AO120,"\.(png|jpg|jpeg|gif)$"),$AO120,"https://s3.tradingview.com/snapshots/"&amp;LOWER(MID(REGEXEXTRACT($AO120,"/x/([A-Za-z0-9]+)"),1,1))&amp;"/"&amp;REGEXEXTRACT($AO120,"/x/([A-Za-z0-9]+)")&amp;".png"),1),"⚠️ link tidak dikenali"))</f>
        <v/>
      </c>
      <c r="AQ120" s="38">
        <f>IF($Z120="",0,IF(AND(OR('📊 Dashboard'!$B$4="(Semua)",$F120='📊 Dashboard'!$B$4),OR('📊 Dashboard'!$B$5="(Semua)",$H120='📊 Dashboard'!$B$5),OR('📊 Dashboard'!$B$6="(Semua)",$E120='📊 Dashboard'!$B$6),OR('📊 Dashboard'!$B$7="(Semua)",$AF120='📊 Dashboard'!$B$7),OR('📊 Dashboard'!$B$8="(Semua)",$AG120='📊 Dashboard'!$B$8),OR('📊 Dashboard'!$B$9="(Semua)",$K120='📊 Dashboard'!$B$9)),1,0))</f>
        <v/>
      </c>
    </row>
    <row r="121" ht="58" customHeight="1">
      <c r="A121" s="30">
        <f>IF($B121="","",ROW()-2)</f>
        <v/>
      </c>
      <c r="B121" s="31" t="n"/>
      <c r="C121" s="32" t="n"/>
      <c r="D121" s="32" t="n"/>
      <c r="E121" s="30">
        <f>IF($C121="","",IF(AND($C121&gt;=TIME(14,0,0),$C121&lt;TIME(19,30,0)),"London",IF(AND($C121&gt;=TIME(19,30,0),$C121&lt;TIME(23,0,0)),"Overlap LDN+NY",IF(OR($C121&gt;=TIME(23,0,0),$C121&lt;TIME(4,0,0)),"New York","Asia"))))</f>
        <v/>
      </c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4" t="n"/>
      <c r="O121" s="34" t="n"/>
      <c r="P121" s="34" t="n"/>
      <c r="Q121" s="34" t="n"/>
      <c r="R121" s="35">
        <f>IFERROR(IF(OR($N121="",$O121="",$F121=""),"",ROUND(('⚙️ Setelan'!$B$3*'⚙️ Setelan'!$B$4/100)/(ABS($N121-$O121)*VLOOKUP($F121,'⚙️ Setelan'!$A$14:$F$20,4,FALSE)),2)),"")</f>
        <v/>
      </c>
      <c r="S121" s="36" t="n"/>
      <c r="T121" s="37">
        <f>IFERROR(IF(OR($N121="",$O121="",$S121=""),"",ABS($N121-$O121)*$S121*VLOOKUP($F121,'⚙️ Setelan'!$A$14:$F$20,4,FALSE)),"")</f>
        <v/>
      </c>
      <c r="U121" s="35">
        <f>IFERROR(IF(OR($N121="",$O121="",$P121=""),"",ROUND(ABS($P121-$N121)/ABS($N121-$O121),2)),"")</f>
        <v/>
      </c>
      <c r="V121" s="37">
        <f>IFERROR(IF(OR($Q121="",$N121="",$S121=""),"",($Q121-$N121)*IF($G121="Buy",1,-1)*$S121*VLOOKUP($F121,'⚙️ Setelan'!$A$14:$F$20,4,FALSE)),"")</f>
        <v/>
      </c>
      <c r="W121" s="37">
        <f>IFERROR(IF(OR($S121="",$F121=""),"",$S121*VLOOKUP($F121,'⚙️ Setelan'!$A$14:$F$20,5,FALSE)),"")</f>
        <v/>
      </c>
      <c r="X121" s="37">
        <f>IF($V121="","",$V121-IF($W121="",0,$W121))</f>
        <v/>
      </c>
      <c r="Y121" s="35">
        <f>IF(OR($X121="",$T121="",$T121=0),"",ROUND($X121/$T121,2))</f>
        <v/>
      </c>
      <c r="Z121" s="30">
        <f>IF($X121="","",IF($X121&gt;0,"Win",IF($X121&lt;0,"Loss","BE")))</f>
        <v/>
      </c>
      <c r="AA121" s="38">
        <f>IF(OR($C121="",$D121=""),"",ROUND(MOD($D121-$C121,1)*1440,0))</f>
        <v/>
      </c>
      <c r="AB121" s="34" t="n"/>
      <c r="AC121" s="34" t="n"/>
      <c r="AD121" s="35">
        <f>IFERROR(IF(OR($AB121="",$T121="",$T121=0),"",ROUND(ABS($N121-$AB121)*$S121*VLOOKUP($F121,'⚙️ Setelan'!$A$14:$F$20,4,FALSE)/$T121,2)),"")</f>
        <v/>
      </c>
      <c r="AE121" s="35">
        <f>IFERROR(IF(OR($AC121="",$T121="",$T121=0),"",ROUND(ABS($AC121-$N121)*$S121*VLOOKUP($F121,'⚙️ Setelan'!$A$14:$F$20,4,FALSE)/$T121,2)),"")</f>
        <v/>
      </c>
      <c r="AF121" s="33" t="n"/>
      <c r="AG121" s="33" t="n"/>
      <c r="AH121" s="33" t="n"/>
      <c r="AI121" s="33" t="n"/>
      <c r="AJ121" s="33" t="n"/>
      <c r="AK121" s="39" t="n"/>
      <c r="AL121" s="30">
        <f>IF(OR($C121="",$B121=""),"",IF(AND($Z120="Loss",$B121=$B120,MOD($C121-$D120,1)*1440&lt;'⚙️ Setelan'!$B$9),"⚠️ Revenge",""))</f>
        <v/>
      </c>
      <c r="AM121" s="40" t="n"/>
      <c r="AN121" s="30">
        <f>IF($AM121="","",IFERROR(IMAGE(IF(REGEXMATCH($AM121,"\.(png|jpg|jpeg|gif)$"),$AM121,"https://s3.tradingview.com/snapshots/"&amp;LOWER(MID(REGEXEXTRACT($AM121,"/x/([A-Za-z0-9]+)"),1,1))&amp;"/"&amp;REGEXEXTRACT($AM121,"/x/([A-Za-z0-9]+)")&amp;".png"),1),"⚠️ link tidak dikenali"))</f>
        <v/>
      </c>
      <c r="AO121" s="40" t="n"/>
      <c r="AP121" s="30">
        <f>IF($AO121="","",IFERROR(IMAGE(IF(REGEXMATCH($AO121,"\.(png|jpg|jpeg|gif)$"),$AO121,"https://s3.tradingview.com/snapshots/"&amp;LOWER(MID(REGEXEXTRACT($AO121,"/x/([A-Za-z0-9]+)"),1,1))&amp;"/"&amp;REGEXEXTRACT($AO121,"/x/([A-Za-z0-9]+)")&amp;".png"),1),"⚠️ link tidak dikenali"))</f>
        <v/>
      </c>
      <c r="AQ121" s="38">
        <f>IF($Z121="",0,IF(AND(OR('📊 Dashboard'!$B$4="(Semua)",$F121='📊 Dashboard'!$B$4),OR('📊 Dashboard'!$B$5="(Semua)",$H121='📊 Dashboard'!$B$5),OR('📊 Dashboard'!$B$6="(Semua)",$E121='📊 Dashboard'!$B$6),OR('📊 Dashboard'!$B$7="(Semua)",$AF121='📊 Dashboard'!$B$7),OR('📊 Dashboard'!$B$8="(Semua)",$AG121='📊 Dashboard'!$B$8),OR('📊 Dashboard'!$B$9="(Semua)",$K121='📊 Dashboard'!$B$9)),1,0))</f>
        <v/>
      </c>
    </row>
    <row r="122" ht="58" customHeight="1">
      <c r="A122" s="30">
        <f>IF($B122="","",ROW()-2)</f>
        <v/>
      </c>
      <c r="B122" s="31" t="n"/>
      <c r="C122" s="32" t="n"/>
      <c r="D122" s="32" t="n"/>
      <c r="E122" s="30">
        <f>IF($C122="","",IF(AND($C122&gt;=TIME(14,0,0),$C122&lt;TIME(19,30,0)),"London",IF(AND($C122&gt;=TIME(19,30,0),$C122&lt;TIME(23,0,0)),"Overlap LDN+NY",IF(OR($C122&gt;=TIME(23,0,0),$C122&lt;TIME(4,0,0)),"New York","Asia"))))</f>
        <v/>
      </c>
      <c r="F122" s="33" t="n"/>
      <c r="G122" s="33" t="n"/>
      <c r="H122" s="33" t="n"/>
      <c r="I122" s="33" t="n"/>
      <c r="J122" s="33" t="n"/>
      <c r="K122" s="33" t="n"/>
      <c r="L122" s="33" t="n"/>
      <c r="M122" s="33" t="n"/>
      <c r="N122" s="34" t="n"/>
      <c r="O122" s="34" t="n"/>
      <c r="P122" s="34" t="n"/>
      <c r="Q122" s="34" t="n"/>
      <c r="R122" s="35">
        <f>IFERROR(IF(OR($N122="",$O122="",$F122=""),"",ROUND(('⚙️ Setelan'!$B$3*'⚙️ Setelan'!$B$4/100)/(ABS($N122-$O122)*VLOOKUP($F122,'⚙️ Setelan'!$A$14:$F$20,4,FALSE)),2)),"")</f>
        <v/>
      </c>
      <c r="S122" s="36" t="n"/>
      <c r="T122" s="37">
        <f>IFERROR(IF(OR($N122="",$O122="",$S122=""),"",ABS($N122-$O122)*$S122*VLOOKUP($F122,'⚙️ Setelan'!$A$14:$F$20,4,FALSE)),"")</f>
        <v/>
      </c>
      <c r="U122" s="35">
        <f>IFERROR(IF(OR($N122="",$O122="",$P122=""),"",ROUND(ABS($P122-$N122)/ABS($N122-$O122),2)),"")</f>
        <v/>
      </c>
      <c r="V122" s="37">
        <f>IFERROR(IF(OR($Q122="",$N122="",$S122=""),"",($Q122-$N122)*IF($G122="Buy",1,-1)*$S122*VLOOKUP($F122,'⚙️ Setelan'!$A$14:$F$20,4,FALSE)),"")</f>
        <v/>
      </c>
      <c r="W122" s="37">
        <f>IFERROR(IF(OR($S122="",$F122=""),"",$S122*VLOOKUP($F122,'⚙️ Setelan'!$A$14:$F$20,5,FALSE)),"")</f>
        <v/>
      </c>
      <c r="X122" s="37">
        <f>IF($V122="","",$V122-IF($W122="",0,$W122))</f>
        <v/>
      </c>
      <c r="Y122" s="35">
        <f>IF(OR($X122="",$T122="",$T122=0),"",ROUND($X122/$T122,2))</f>
        <v/>
      </c>
      <c r="Z122" s="30">
        <f>IF($X122="","",IF($X122&gt;0,"Win",IF($X122&lt;0,"Loss","BE")))</f>
        <v/>
      </c>
      <c r="AA122" s="38">
        <f>IF(OR($C122="",$D122=""),"",ROUND(MOD($D122-$C122,1)*1440,0))</f>
        <v/>
      </c>
      <c r="AB122" s="34" t="n"/>
      <c r="AC122" s="34" t="n"/>
      <c r="AD122" s="35">
        <f>IFERROR(IF(OR($AB122="",$T122="",$T122=0),"",ROUND(ABS($N122-$AB122)*$S122*VLOOKUP($F122,'⚙️ Setelan'!$A$14:$F$20,4,FALSE)/$T122,2)),"")</f>
        <v/>
      </c>
      <c r="AE122" s="35">
        <f>IFERROR(IF(OR($AC122="",$T122="",$T122=0),"",ROUND(ABS($AC122-$N122)*$S122*VLOOKUP($F122,'⚙️ Setelan'!$A$14:$F$20,4,FALSE)/$T122,2)),"")</f>
        <v/>
      </c>
      <c r="AF122" s="33" t="n"/>
      <c r="AG122" s="33" t="n"/>
      <c r="AH122" s="33" t="n"/>
      <c r="AI122" s="33" t="n"/>
      <c r="AJ122" s="33" t="n"/>
      <c r="AK122" s="39" t="n"/>
      <c r="AL122" s="30">
        <f>IF(OR($C122="",$B122=""),"",IF(AND($Z121="Loss",$B122=$B121,MOD($C122-$D121,1)*1440&lt;'⚙️ Setelan'!$B$9),"⚠️ Revenge",""))</f>
        <v/>
      </c>
      <c r="AM122" s="40" t="n"/>
      <c r="AN122" s="30">
        <f>IF($AM122="","",IFERROR(IMAGE(IF(REGEXMATCH($AM122,"\.(png|jpg|jpeg|gif)$"),$AM122,"https://s3.tradingview.com/snapshots/"&amp;LOWER(MID(REGEXEXTRACT($AM122,"/x/([A-Za-z0-9]+)"),1,1))&amp;"/"&amp;REGEXEXTRACT($AM122,"/x/([A-Za-z0-9]+)")&amp;".png"),1),"⚠️ link tidak dikenali"))</f>
        <v/>
      </c>
      <c r="AO122" s="40" t="n"/>
      <c r="AP122" s="30">
        <f>IF($AO122="","",IFERROR(IMAGE(IF(REGEXMATCH($AO122,"\.(png|jpg|jpeg|gif)$"),$AO122,"https://s3.tradingview.com/snapshots/"&amp;LOWER(MID(REGEXEXTRACT($AO122,"/x/([A-Za-z0-9]+)"),1,1))&amp;"/"&amp;REGEXEXTRACT($AO122,"/x/([A-Za-z0-9]+)")&amp;".png"),1),"⚠️ link tidak dikenali"))</f>
        <v/>
      </c>
      <c r="AQ122" s="38">
        <f>IF($Z122="",0,IF(AND(OR('📊 Dashboard'!$B$4="(Semua)",$F122='📊 Dashboard'!$B$4),OR('📊 Dashboard'!$B$5="(Semua)",$H122='📊 Dashboard'!$B$5),OR('📊 Dashboard'!$B$6="(Semua)",$E122='📊 Dashboard'!$B$6),OR('📊 Dashboard'!$B$7="(Semua)",$AF122='📊 Dashboard'!$B$7),OR('📊 Dashboard'!$B$8="(Semua)",$AG122='📊 Dashboard'!$B$8),OR('📊 Dashboard'!$B$9="(Semua)",$K122='📊 Dashboard'!$B$9)),1,0))</f>
        <v/>
      </c>
    </row>
    <row r="123" ht="58" customHeight="1">
      <c r="A123" s="30">
        <f>IF($B123="","",ROW()-2)</f>
        <v/>
      </c>
      <c r="B123" s="31" t="n"/>
      <c r="C123" s="32" t="n"/>
      <c r="D123" s="32" t="n"/>
      <c r="E123" s="30">
        <f>IF($C123="","",IF(AND($C123&gt;=TIME(14,0,0),$C123&lt;TIME(19,30,0)),"London",IF(AND($C123&gt;=TIME(19,30,0),$C123&lt;TIME(23,0,0)),"Overlap LDN+NY",IF(OR($C123&gt;=TIME(23,0,0),$C123&lt;TIME(4,0,0)),"New York","Asia"))))</f>
        <v/>
      </c>
      <c r="F123" s="33" t="n"/>
      <c r="G123" s="33" t="n"/>
      <c r="H123" s="33" t="n"/>
      <c r="I123" s="33" t="n"/>
      <c r="J123" s="33" t="n"/>
      <c r="K123" s="33" t="n"/>
      <c r="L123" s="33" t="n"/>
      <c r="M123" s="33" t="n"/>
      <c r="N123" s="34" t="n"/>
      <c r="O123" s="34" t="n"/>
      <c r="P123" s="34" t="n"/>
      <c r="Q123" s="34" t="n"/>
      <c r="R123" s="35">
        <f>IFERROR(IF(OR($N123="",$O123="",$F123=""),"",ROUND(('⚙️ Setelan'!$B$3*'⚙️ Setelan'!$B$4/100)/(ABS($N123-$O123)*VLOOKUP($F123,'⚙️ Setelan'!$A$14:$F$20,4,FALSE)),2)),"")</f>
        <v/>
      </c>
      <c r="S123" s="36" t="n"/>
      <c r="T123" s="37">
        <f>IFERROR(IF(OR($N123="",$O123="",$S123=""),"",ABS($N123-$O123)*$S123*VLOOKUP($F123,'⚙️ Setelan'!$A$14:$F$20,4,FALSE)),"")</f>
        <v/>
      </c>
      <c r="U123" s="35">
        <f>IFERROR(IF(OR($N123="",$O123="",$P123=""),"",ROUND(ABS($P123-$N123)/ABS($N123-$O123),2)),"")</f>
        <v/>
      </c>
      <c r="V123" s="37">
        <f>IFERROR(IF(OR($Q123="",$N123="",$S123=""),"",($Q123-$N123)*IF($G123="Buy",1,-1)*$S123*VLOOKUP($F123,'⚙️ Setelan'!$A$14:$F$20,4,FALSE)),"")</f>
        <v/>
      </c>
      <c r="W123" s="37">
        <f>IFERROR(IF(OR($S123="",$F123=""),"",$S123*VLOOKUP($F123,'⚙️ Setelan'!$A$14:$F$20,5,FALSE)),"")</f>
        <v/>
      </c>
      <c r="X123" s="37">
        <f>IF($V123="","",$V123-IF($W123="",0,$W123))</f>
        <v/>
      </c>
      <c r="Y123" s="35">
        <f>IF(OR($X123="",$T123="",$T123=0),"",ROUND($X123/$T123,2))</f>
        <v/>
      </c>
      <c r="Z123" s="30">
        <f>IF($X123="","",IF($X123&gt;0,"Win",IF($X123&lt;0,"Loss","BE")))</f>
        <v/>
      </c>
      <c r="AA123" s="38">
        <f>IF(OR($C123="",$D123=""),"",ROUND(MOD($D123-$C123,1)*1440,0))</f>
        <v/>
      </c>
      <c r="AB123" s="34" t="n"/>
      <c r="AC123" s="34" t="n"/>
      <c r="AD123" s="35">
        <f>IFERROR(IF(OR($AB123="",$T123="",$T123=0),"",ROUND(ABS($N123-$AB123)*$S123*VLOOKUP($F123,'⚙️ Setelan'!$A$14:$F$20,4,FALSE)/$T123,2)),"")</f>
        <v/>
      </c>
      <c r="AE123" s="35">
        <f>IFERROR(IF(OR($AC123="",$T123="",$T123=0),"",ROUND(ABS($AC123-$N123)*$S123*VLOOKUP($F123,'⚙️ Setelan'!$A$14:$F$20,4,FALSE)/$T123,2)),"")</f>
        <v/>
      </c>
      <c r="AF123" s="33" t="n"/>
      <c r="AG123" s="33" t="n"/>
      <c r="AH123" s="33" t="n"/>
      <c r="AI123" s="33" t="n"/>
      <c r="AJ123" s="33" t="n"/>
      <c r="AK123" s="39" t="n"/>
      <c r="AL123" s="30">
        <f>IF(OR($C123="",$B123=""),"",IF(AND($Z122="Loss",$B123=$B122,MOD($C123-$D122,1)*1440&lt;'⚙️ Setelan'!$B$9),"⚠️ Revenge",""))</f>
        <v/>
      </c>
      <c r="AM123" s="40" t="n"/>
      <c r="AN123" s="30">
        <f>IF($AM123="","",IFERROR(IMAGE(IF(REGEXMATCH($AM123,"\.(png|jpg|jpeg|gif)$"),$AM123,"https://s3.tradingview.com/snapshots/"&amp;LOWER(MID(REGEXEXTRACT($AM123,"/x/([A-Za-z0-9]+)"),1,1))&amp;"/"&amp;REGEXEXTRACT($AM123,"/x/([A-Za-z0-9]+)")&amp;".png"),1),"⚠️ link tidak dikenali"))</f>
        <v/>
      </c>
      <c r="AO123" s="40" t="n"/>
      <c r="AP123" s="30">
        <f>IF($AO123="","",IFERROR(IMAGE(IF(REGEXMATCH($AO123,"\.(png|jpg|jpeg|gif)$"),$AO123,"https://s3.tradingview.com/snapshots/"&amp;LOWER(MID(REGEXEXTRACT($AO123,"/x/([A-Za-z0-9]+)"),1,1))&amp;"/"&amp;REGEXEXTRACT($AO123,"/x/([A-Za-z0-9]+)")&amp;".png"),1),"⚠️ link tidak dikenali"))</f>
        <v/>
      </c>
      <c r="AQ123" s="38">
        <f>IF($Z123="",0,IF(AND(OR('📊 Dashboard'!$B$4="(Semua)",$F123='📊 Dashboard'!$B$4),OR('📊 Dashboard'!$B$5="(Semua)",$H123='📊 Dashboard'!$B$5),OR('📊 Dashboard'!$B$6="(Semua)",$E123='📊 Dashboard'!$B$6),OR('📊 Dashboard'!$B$7="(Semua)",$AF123='📊 Dashboard'!$B$7),OR('📊 Dashboard'!$B$8="(Semua)",$AG123='📊 Dashboard'!$B$8),OR('📊 Dashboard'!$B$9="(Semua)",$K123='📊 Dashboard'!$B$9)),1,0))</f>
        <v/>
      </c>
    </row>
    <row r="124" ht="58" customHeight="1">
      <c r="A124" s="30">
        <f>IF($B124="","",ROW()-2)</f>
        <v/>
      </c>
      <c r="B124" s="31" t="n"/>
      <c r="C124" s="32" t="n"/>
      <c r="D124" s="32" t="n"/>
      <c r="E124" s="30">
        <f>IF($C124="","",IF(AND($C124&gt;=TIME(14,0,0),$C124&lt;TIME(19,30,0)),"London",IF(AND($C124&gt;=TIME(19,30,0),$C124&lt;TIME(23,0,0)),"Overlap LDN+NY",IF(OR($C124&gt;=TIME(23,0,0),$C124&lt;TIME(4,0,0)),"New York","Asia"))))</f>
        <v/>
      </c>
      <c r="F124" s="33" t="n"/>
      <c r="G124" s="33" t="n"/>
      <c r="H124" s="33" t="n"/>
      <c r="I124" s="33" t="n"/>
      <c r="J124" s="33" t="n"/>
      <c r="K124" s="33" t="n"/>
      <c r="L124" s="33" t="n"/>
      <c r="M124" s="33" t="n"/>
      <c r="N124" s="34" t="n"/>
      <c r="O124" s="34" t="n"/>
      <c r="P124" s="34" t="n"/>
      <c r="Q124" s="34" t="n"/>
      <c r="R124" s="35">
        <f>IFERROR(IF(OR($N124="",$O124="",$F124=""),"",ROUND(('⚙️ Setelan'!$B$3*'⚙️ Setelan'!$B$4/100)/(ABS($N124-$O124)*VLOOKUP($F124,'⚙️ Setelan'!$A$14:$F$20,4,FALSE)),2)),"")</f>
        <v/>
      </c>
      <c r="S124" s="36" t="n"/>
      <c r="T124" s="37">
        <f>IFERROR(IF(OR($N124="",$O124="",$S124=""),"",ABS($N124-$O124)*$S124*VLOOKUP($F124,'⚙️ Setelan'!$A$14:$F$20,4,FALSE)),"")</f>
        <v/>
      </c>
      <c r="U124" s="35">
        <f>IFERROR(IF(OR($N124="",$O124="",$P124=""),"",ROUND(ABS($P124-$N124)/ABS($N124-$O124),2)),"")</f>
        <v/>
      </c>
      <c r="V124" s="37">
        <f>IFERROR(IF(OR($Q124="",$N124="",$S124=""),"",($Q124-$N124)*IF($G124="Buy",1,-1)*$S124*VLOOKUP($F124,'⚙️ Setelan'!$A$14:$F$20,4,FALSE)),"")</f>
        <v/>
      </c>
      <c r="W124" s="37">
        <f>IFERROR(IF(OR($S124="",$F124=""),"",$S124*VLOOKUP($F124,'⚙️ Setelan'!$A$14:$F$20,5,FALSE)),"")</f>
        <v/>
      </c>
      <c r="X124" s="37">
        <f>IF($V124="","",$V124-IF($W124="",0,$W124))</f>
        <v/>
      </c>
      <c r="Y124" s="35">
        <f>IF(OR($X124="",$T124="",$T124=0),"",ROUND($X124/$T124,2))</f>
        <v/>
      </c>
      <c r="Z124" s="30">
        <f>IF($X124="","",IF($X124&gt;0,"Win",IF($X124&lt;0,"Loss","BE")))</f>
        <v/>
      </c>
      <c r="AA124" s="38">
        <f>IF(OR($C124="",$D124=""),"",ROUND(MOD($D124-$C124,1)*1440,0))</f>
        <v/>
      </c>
      <c r="AB124" s="34" t="n"/>
      <c r="AC124" s="34" t="n"/>
      <c r="AD124" s="35">
        <f>IFERROR(IF(OR($AB124="",$T124="",$T124=0),"",ROUND(ABS($N124-$AB124)*$S124*VLOOKUP($F124,'⚙️ Setelan'!$A$14:$F$20,4,FALSE)/$T124,2)),"")</f>
        <v/>
      </c>
      <c r="AE124" s="35">
        <f>IFERROR(IF(OR($AC124="",$T124="",$T124=0),"",ROUND(ABS($AC124-$N124)*$S124*VLOOKUP($F124,'⚙️ Setelan'!$A$14:$F$20,4,FALSE)/$T124,2)),"")</f>
        <v/>
      </c>
      <c r="AF124" s="33" t="n"/>
      <c r="AG124" s="33" t="n"/>
      <c r="AH124" s="33" t="n"/>
      <c r="AI124" s="33" t="n"/>
      <c r="AJ124" s="33" t="n"/>
      <c r="AK124" s="39" t="n"/>
      <c r="AL124" s="30">
        <f>IF(OR($C124="",$B124=""),"",IF(AND($Z123="Loss",$B124=$B123,MOD($C124-$D123,1)*1440&lt;'⚙️ Setelan'!$B$9),"⚠️ Revenge",""))</f>
        <v/>
      </c>
      <c r="AM124" s="40" t="n"/>
      <c r="AN124" s="30">
        <f>IF($AM124="","",IFERROR(IMAGE(IF(REGEXMATCH($AM124,"\.(png|jpg|jpeg|gif)$"),$AM124,"https://s3.tradingview.com/snapshots/"&amp;LOWER(MID(REGEXEXTRACT($AM124,"/x/([A-Za-z0-9]+)"),1,1))&amp;"/"&amp;REGEXEXTRACT($AM124,"/x/([A-Za-z0-9]+)")&amp;".png"),1),"⚠️ link tidak dikenali"))</f>
        <v/>
      </c>
      <c r="AO124" s="40" t="n"/>
      <c r="AP124" s="30">
        <f>IF($AO124="","",IFERROR(IMAGE(IF(REGEXMATCH($AO124,"\.(png|jpg|jpeg|gif)$"),$AO124,"https://s3.tradingview.com/snapshots/"&amp;LOWER(MID(REGEXEXTRACT($AO124,"/x/([A-Za-z0-9]+)"),1,1))&amp;"/"&amp;REGEXEXTRACT($AO124,"/x/([A-Za-z0-9]+)")&amp;".png"),1),"⚠️ link tidak dikenali"))</f>
        <v/>
      </c>
      <c r="AQ124" s="38">
        <f>IF($Z124="",0,IF(AND(OR('📊 Dashboard'!$B$4="(Semua)",$F124='📊 Dashboard'!$B$4),OR('📊 Dashboard'!$B$5="(Semua)",$H124='📊 Dashboard'!$B$5),OR('📊 Dashboard'!$B$6="(Semua)",$E124='📊 Dashboard'!$B$6),OR('📊 Dashboard'!$B$7="(Semua)",$AF124='📊 Dashboard'!$B$7),OR('📊 Dashboard'!$B$8="(Semua)",$AG124='📊 Dashboard'!$B$8),OR('📊 Dashboard'!$B$9="(Semua)",$K124='📊 Dashboard'!$B$9)),1,0))</f>
        <v/>
      </c>
    </row>
    <row r="125" ht="58" customHeight="1">
      <c r="A125" s="30">
        <f>IF($B125="","",ROW()-2)</f>
        <v/>
      </c>
      <c r="B125" s="31" t="n"/>
      <c r="C125" s="32" t="n"/>
      <c r="D125" s="32" t="n"/>
      <c r="E125" s="30">
        <f>IF($C125="","",IF(AND($C125&gt;=TIME(14,0,0),$C125&lt;TIME(19,30,0)),"London",IF(AND($C125&gt;=TIME(19,30,0),$C125&lt;TIME(23,0,0)),"Overlap LDN+NY",IF(OR($C125&gt;=TIME(23,0,0),$C125&lt;TIME(4,0,0)),"New York","Asia"))))</f>
        <v/>
      </c>
      <c r="F125" s="33" t="n"/>
      <c r="G125" s="33" t="n"/>
      <c r="H125" s="33" t="n"/>
      <c r="I125" s="33" t="n"/>
      <c r="J125" s="33" t="n"/>
      <c r="K125" s="33" t="n"/>
      <c r="L125" s="33" t="n"/>
      <c r="M125" s="33" t="n"/>
      <c r="N125" s="34" t="n"/>
      <c r="O125" s="34" t="n"/>
      <c r="P125" s="34" t="n"/>
      <c r="Q125" s="34" t="n"/>
      <c r="R125" s="35">
        <f>IFERROR(IF(OR($N125="",$O125="",$F125=""),"",ROUND(('⚙️ Setelan'!$B$3*'⚙️ Setelan'!$B$4/100)/(ABS($N125-$O125)*VLOOKUP($F125,'⚙️ Setelan'!$A$14:$F$20,4,FALSE)),2)),"")</f>
        <v/>
      </c>
      <c r="S125" s="36" t="n"/>
      <c r="T125" s="37">
        <f>IFERROR(IF(OR($N125="",$O125="",$S125=""),"",ABS($N125-$O125)*$S125*VLOOKUP($F125,'⚙️ Setelan'!$A$14:$F$20,4,FALSE)),"")</f>
        <v/>
      </c>
      <c r="U125" s="35">
        <f>IFERROR(IF(OR($N125="",$O125="",$P125=""),"",ROUND(ABS($P125-$N125)/ABS($N125-$O125),2)),"")</f>
        <v/>
      </c>
      <c r="V125" s="37">
        <f>IFERROR(IF(OR($Q125="",$N125="",$S125=""),"",($Q125-$N125)*IF($G125="Buy",1,-1)*$S125*VLOOKUP($F125,'⚙️ Setelan'!$A$14:$F$20,4,FALSE)),"")</f>
        <v/>
      </c>
      <c r="W125" s="37">
        <f>IFERROR(IF(OR($S125="",$F125=""),"",$S125*VLOOKUP($F125,'⚙️ Setelan'!$A$14:$F$20,5,FALSE)),"")</f>
        <v/>
      </c>
      <c r="X125" s="37">
        <f>IF($V125="","",$V125-IF($W125="",0,$W125))</f>
        <v/>
      </c>
      <c r="Y125" s="35">
        <f>IF(OR($X125="",$T125="",$T125=0),"",ROUND($X125/$T125,2))</f>
        <v/>
      </c>
      <c r="Z125" s="30">
        <f>IF($X125="","",IF($X125&gt;0,"Win",IF($X125&lt;0,"Loss","BE")))</f>
        <v/>
      </c>
      <c r="AA125" s="38">
        <f>IF(OR($C125="",$D125=""),"",ROUND(MOD($D125-$C125,1)*1440,0))</f>
        <v/>
      </c>
      <c r="AB125" s="34" t="n"/>
      <c r="AC125" s="34" t="n"/>
      <c r="AD125" s="35">
        <f>IFERROR(IF(OR($AB125="",$T125="",$T125=0),"",ROUND(ABS($N125-$AB125)*$S125*VLOOKUP($F125,'⚙️ Setelan'!$A$14:$F$20,4,FALSE)/$T125,2)),"")</f>
        <v/>
      </c>
      <c r="AE125" s="35">
        <f>IFERROR(IF(OR($AC125="",$T125="",$T125=0),"",ROUND(ABS($AC125-$N125)*$S125*VLOOKUP($F125,'⚙️ Setelan'!$A$14:$F$20,4,FALSE)/$T125,2)),"")</f>
        <v/>
      </c>
      <c r="AF125" s="33" t="n"/>
      <c r="AG125" s="33" t="n"/>
      <c r="AH125" s="33" t="n"/>
      <c r="AI125" s="33" t="n"/>
      <c r="AJ125" s="33" t="n"/>
      <c r="AK125" s="39" t="n"/>
      <c r="AL125" s="30">
        <f>IF(OR($C125="",$B125=""),"",IF(AND($Z124="Loss",$B125=$B124,MOD($C125-$D124,1)*1440&lt;'⚙️ Setelan'!$B$9),"⚠️ Revenge",""))</f>
        <v/>
      </c>
      <c r="AM125" s="40" t="n"/>
      <c r="AN125" s="30">
        <f>IF($AM125="","",IFERROR(IMAGE(IF(REGEXMATCH($AM125,"\.(png|jpg|jpeg|gif)$"),$AM125,"https://s3.tradingview.com/snapshots/"&amp;LOWER(MID(REGEXEXTRACT($AM125,"/x/([A-Za-z0-9]+)"),1,1))&amp;"/"&amp;REGEXEXTRACT($AM125,"/x/([A-Za-z0-9]+)")&amp;".png"),1),"⚠️ link tidak dikenali"))</f>
        <v/>
      </c>
      <c r="AO125" s="40" t="n"/>
      <c r="AP125" s="30">
        <f>IF($AO125="","",IFERROR(IMAGE(IF(REGEXMATCH($AO125,"\.(png|jpg|jpeg|gif)$"),$AO125,"https://s3.tradingview.com/snapshots/"&amp;LOWER(MID(REGEXEXTRACT($AO125,"/x/([A-Za-z0-9]+)"),1,1))&amp;"/"&amp;REGEXEXTRACT($AO125,"/x/([A-Za-z0-9]+)")&amp;".png"),1),"⚠️ link tidak dikenali"))</f>
        <v/>
      </c>
      <c r="AQ125" s="38">
        <f>IF($Z125="",0,IF(AND(OR('📊 Dashboard'!$B$4="(Semua)",$F125='📊 Dashboard'!$B$4),OR('📊 Dashboard'!$B$5="(Semua)",$H125='📊 Dashboard'!$B$5),OR('📊 Dashboard'!$B$6="(Semua)",$E125='📊 Dashboard'!$B$6),OR('📊 Dashboard'!$B$7="(Semua)",$AF125='📊 Dashboard'!$B$7),OR('📊 Dashboard'!$B$8="(Semua)",$AG125='📊 Dashboard'!$B$8),OR('📊 Dashboard'!$B$9="(Semua)",$K125='📊 Dashboard'!$B$9)),1,0))</f>
        <v/>
      </c>
    </row>
    <row r="126" ht="58" customHeight="1">
      <c r="A126" s="30">
        <f>IF($B126="","",ROW()-2)</f>
        <v/>
      </c>
      <c r="B126" s="31" t="n"/>
      <c r="C126" s="32" t="n"/>
      <c r="D126" s="32" t="n"/>
      <c r="E126" s="30">
        <f>IF($C126="","",IF(AND($C126&gt;=TIME(14,0,0),$C126&lt;TIME(19,30,0)),"London",IF(AND($C126&gt;=TIME(19,30,0),$C126&lt;TIME(23,0,0)),"Overlap LDN+NY",IF(OR($C126&gt;=TIME(23,0,0),$C126&lt;TIME(4,0,0)),"New York","Asia"))))</f>
        <v/>
      </c>
      <c r="F126" s="33" t="n"/>
      <c r="G126" s="33" t="n"/>
      <c r="H126" s="33" t="n"/>
      <c r="I126" s="33" t="n"/>
      <c r="J126" s="33" t="n"/>
      <c r="K126" s="33" t="n"/>
      <c r="L126" s="33" t="n"/>
      <c r="M126" s="33" t="n"/>
      <c r="N126" s="34" t="n"/>
      <c r="O126" s="34" t="n"/>
      <c r="P126" s="34" t="n"/>
      <c r="Q126" s="34" t="n"/>
      <c r="R126" s="35">
        <f>IFERROR(IF(OR($N126="",$O126="",$F126=""),"",ROUND(('⚙️ Setelan'!$B$3*'⚙️ Setelan'!$B$4/100)/(ABS($N126-$O126)*VLOOKUP($F126,'⚙️ Setelan'!$A$14:$F$20,4,FALSE)),2)),"")</f>
        <v/>
      </c>
      <c r="S126" s="36" t="n"/>
      <c r="T126" s="37">
        <f>IFERROR(IF(OR($N126="",$O126="",$S126=""),"",ABS($N126-$O126)*$S126*VLOOKUP($F126,'⚙️ Setelan'!$A$14:$F$20,4,FALSE)),"")</f>
        <v/>
      </c>
      <c r="U126" s="35">
        <f>IFERROR(IF(OR($N126="",$O126="",$P126=""),"",ROUND(ABS($P126-$N126)/ABS($N126-$O126),2)),"")</f>
        <v/>
      </c>
      <c r="V126" s="37">
        <f>IFERROR(IF(OR($Q126="",$N126="",$S126=""),"",($Q126-$N126)*IF($G126="Buy",1,-1)*$S126*VLOOKUP($F126,'⚙️ Setelan'!$A$14:$F$20,4,FALSE)),"")</f>
        <v/>
      </c>
      <c r="W126" s="37">
        <f>IFERROR(IF(OR($S126="",$F126=""),"",$S126*VLOOKUP($F126,'⚙️ Setelan'!$A$14:$F$20,5,FALSE)),"")</f>
        <v/>
      </c>
      <c r="X126" s="37">
        <f>IF($V126="","",$V126-IF($W126="",0,$W126))</f>
        <v/>
      </c>
      <c r="Y126" s="35">
        <f>IF(OR($X126="",$T126="",$T126=0),"",ROUND($X126/$T126,2))</f>
        <v/>
      </c>
      <c r="Z126" s="30">
        <f>IF($X126="","",IF($X126&gt;0,"Win",IF($X126&lt;0,"Loss","BE")))</f>
        <v/>
      </c>
      <c r="AA126" s="38">
        <f>IF(OR($C126="",$D126=""),"",ROUND(MOD($D126-$C126,1)*1440,0))</f>
        <v/>
      </c>
      <c r="AB126" s="34" t="n"/>
      <c r="AC126" s="34" t="n"/>
      <c r="AD126" s="35">
        <f>IFERROR(IF(OR($AB126="",$T126="",$T126=0),"",ROUND(ABS($N126-$AB126)*$S126*VLOOKUP($F126,'⚙️ Setelan'!$A$14:$F$20,4,FALSE)/$T126,2)),"")</f>
        <v/>
      </c>
      <c r="AE126" s="35">
        <f>IFERROR(IF(OR($AC126="",$T126="",$T126=0),"",ROUND(ABS($AC126-$N126)*$S126*VLOOKUP($F126,'⚙️ Setelan'!$A$14:$F$20,4,FALSE)/$T126,2)),"")</f>
        <v/>
      </c>
      <c r="AF126" s="33" t="n"/>
      <c r="AG126" s="33" t="n"/>
      <c r="AH126" s="33" t="n"/>
      <c r="AI126" s="33" t="n"/>
      <c r="AJ126" s="33" t="n"/>
      <c r="AK126" s="39" t="n"/>
      <c r="AL126" s="30">
        <f>IF(OR($C126="",$B126=""),"",IF(AND($Z125="Loss",$B126=$B125,MOD($C126-$D125,1)*1440&lt;'⚙️ Setelan'!$B$9),"⚠️ Revenge",""))</f>
        <v/>
      </c>
      <c r="AM126" s="40" t="n"/>
      <c r="AN126" s="30">
        <f>IF($AM126="","",IFERROR(IMAGE(IF(REGEXMATCH($AM126,"\.(png|jpg|jpeg|gif)$"),$AM126,"https://s3.tradingview.com/snapshots/"&amp;LOWER(MID(REGEXEXTRACT($AM126,"/x/([A-Za-z0-9]+)"),1,1))&amp;"/"&amp;REGEXEXTRACT($AM126,"/x/([A-Za-z0-9]+)")&amp;".png"),1),"⚠️ link tidak dikenali"))</f>
        <v/>
      </c>
      <c r="AO126" s="40" t="n"/>
      <c r="AP126" s="30">
        <f>IF($AO126="","",IFERROR(IMAGE(IF(REGEXMATCH($AO126,"\.(png|jpg|jpeg|gif)$"),$AO126,"https://s3.tradingview.com/snapshots/"&amp;LOWER(MID(REGEXEXTRACT($AO126,"/x/([A-Za-z0-9]+)"),1,1))&amp;"/"&amp;REGEXEXTRACT($AO126,"/x/([A-Za-z0-9]+)")&amp;".png"),1),"⚠️ link tidak dikenali"))</f>
        <v/>
      </c>
      <c r="AQ126" s="38">
        <f>IF($Z126="",0,IF(AND(OR('📊 Dashboard'!$B$4="(Semua)",$F126='📊 Dashboard'!$B$4),OR('📊 Dashboard'!$B$5="(Semua)",$H126='📊 Dashboard'!$B$5),OR('📊 Dashboard'!$B$6="(Semua)",$E126='📊 Dashboard'!$B$6),OR('📊 Dashboard'!$B$7="(Semua)",$AF126='📊 Dashboard'!$B$7),OR('📊 Dashboard'!$B$8="(Semua)",$AG126='📊 Dashboard'!$B$8),OR('📊 Dashboard'!$B$9="(Semua)",$K126='📊 Dashboard'!$B$9)),1,0))</f>
        <v/>
      </c>
    </row>
    <row r="127" ht="58" customHeight="1">
      <c r="A127" s="30">
        <f>IF($B127="","",ROW()-2)</f>
        <v/>
      </c>
      <c r="B127" s="31" t="n"/>
      <c r="C127" s="32" t="n"/>
      <c r="D127" s="32" t="n"/>
      <c r="E127" s="30">
        <f>IF($C127="","",IF(AND($C127&gt;=TIME(14,0,0),$C127&lt;TIME(19,30,0)),"London",IF(AND($C127&gt;=TIME(19,30,0),$C127&lt;TIME(23,0,0)),"Overlap LDN+NY",IF(OR($C127&gt;=TIME(23,0,0),$C127&lt;TIME(4,0,0)),"New York","Asia"))))</f>
        <v/>
      </c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4" t="n"/>
      <c r="O127" s="34" t="n"/>
      <c r="P127" s="34" t="n"/>
      <c r="Q127" s="34" t="n"/>
      <c r="R127" s="35">
        <f>IFERROR(IF(OR($N127="",$O127="",$F127=""),"",ROUND(('⚙️ Setelan'!$B$3*'⚙️ Setelan'!$B$4/100)/(ABS($N127-$O127)*VLOOKUP($F127,'⚙️ Setelan'!$A$14:$F$20,4,FALSE)),2)),"")</f>
        <v/>
      </c>
      <c r="S127" s="36" t="n"/>
      <c r="T127" s="37">
        <f>IFERROR(IF(OR($N127="",$O127="",$S127=""),"",ABS($N127-$O127)*$S127*VLOOKUP($F127,'⚙️ Setelan'!$A$14:$F$20,4,FALSE)),"")</f>
        <v/>
      </c>
      <c r="U127" s="35">
        <f>IFERROR(IF(OR($N127="",$O127="",$P127=""),"",ROUND(ABS($P127-$N127)/ABS($N127-$O127),2)),"")</f>
        <v/>
      </c>
      <c r="V127" s="37">
        <f>IFERROR(IF(OR($Q127="",$N127="",$S127=""),"",($Q127-$N127)*IF($G127="Buy",1,-1)*$S127*VLOOKUP($F127,'⚙️ Setelan'!$A$14:$F$20,4,FALSE)),"")</f>
        <v/>
      </c>
      <c r="W127" s="37">
        <f>IFERROR(IF(OR($S127="",$F127=""),"",$S127*VLOOKUP($F127,'⚙️ Setelan'!$A$14:$F$20,5,FALSE)),"")</f>
        <v/>
      </c>
      <c r="X127" s="37">
        <f>IF($V127="","",$V127-IF($W127="",0,$W127))</f>
        <v/>
      </c>
      <c r="Y127" s="35">
        <f>IF(OR($X127="",$T127="",$T127=0),"",ROUND($X127/$T127,2))</f>
        <v/>
      </c>
      <c r="Z127" s="30">
        <f>IF($X127="","",IF($X127&gt;0,"Win",IF($X127&lt;0,"Loss","BE")))</f>
        <v/>
      </c>
      <c r="AA127" s="38">
        <f>IF(OR($C127="",$D127=""),"",ROUND(MOD($D127-$C127,1)*1440,0))</f>
        <v/>
      </c>
      <c r="AB127" s="34" t="n"/>
      <c r="AC127" s="34" t="n"/>
      <c r="AD127" s="35">
        <f>IFERROR(IF(OR($AB127="",$T127="",$T127=0),"",ROUND(ABS($N127-$AB127)*$S127*VLOOKUP($F127,'⚙️ Setelan'!$A$14:$F$20,4,FALSE)/$T127,2)),"")</f>
        <v/>
      </c>
      <c r="AE127" s="35">
        <f>IFERROR(IF(OR($AC127="",$T127="",$T127=0),"",ROUND(ABS($AC127-$N127)*$S127*VLOOKUP($F127,'⚙️ Setelan'!$A$14:$F$20,4,FALSE)/$T127,2)),"")</f>
        <v/>
      </c>
      <c r="AF127" s="33" t="n"/>
      <c r="AG127" s="33" t="n"/>
      <c r="AH127" s="33" t="n"/>
      <c r="AI127" s="33" t="n"/>
      <c r="AJ127" s="33" t="n"/>
      <c r="AK127" s="39" t="n"/>
      <c r="AL127" s="30">
        <f>IF(OR($C127="",$B127=""),"",IF(AND($Z126="Loss",$B127=$B126,MOD($C127-$D126,1)*1440&lt;'⚙️ Setelan'!$B$9),"⚠️ Revenge",""))</f>
        <v/>
      </c>
      <c r="AM127" s="40" t="n"/>
      <c r="AN127" s="30">
        <f>IF($AM127="","",IFERROR(IMAGE(IF(REGEXMATCH($AM127,"\.(png|jpg|jpeg|gif)$"),$AM127,"https://s3.tradingview.com/snapshots/"&amp;LOWER(MID(REGEXEXTRACT($AM127,"/x/([A-Za-z0-9]+)"),1,1))&amp;"/"&amp;REGEXEXTRACT($AM127,"/x/([A-Za-z0-9]+)")&amp;".png"),1),"⚠️ link tidak dikenali"))</f>
        <v/>
      </c>
      <c r="AO127" s="40" t="n"/>
      <c r="AP127" s="30">
        <f>IF($AO127="","",IFERROR(IMAGE(IF(REGEXMATCH($AO127,"\.(png|jpg|jpeg|gif)$"),$AO127,"https://s3.tradingview.com/snapshots/"&amp;LOWER(MID(REGEXEXTRACT($AO127,"/x/([A-Za-z0-9]+)"),1,1))&amp;"/"&amp;REGEXEXTRACT($AO127,"/x/([A-Za-z0-9]+)")&amp;".png"),1),"⚠️ link tidak dikenali"))</f>
        <v/>
      </c>
      <c r="AQ127" s="38">
        <f>IF($Z127="",0,IF(AND(OR('📊 Dashboard'!$B$4="(Semua)",$F127='📊 Dashboard'!$B$4),OR('📊 Dashboard'!$B$5="(Semua)",$H127='📊 Dashboard'!$B$5),OR('📊 Dashboard'!$B$6="(Semua)",$E127='📊 Dashboard'!$B$6),OR('📊 Dashboard'!$B$7="(Semua)",$AF127='📊 Dashboard'!$B$7),OR('📊 Dashboard'!$B$8="(Semua)",$AG127='📊 Dashboard'!$B$8),OR('📊 Dashboard'!$B$9="(Semua)",$K127='📊 Dashboard'!$B$9)),1,0))</f>
        <v/>
      </c>
    </row>
    <row r="128" ht="58" customHeight="1">
      <c r="A128" s="30">
        <f>IF($B128="","",ROW()-2)</f>
        <v/>
      </c>
      <c r="B128" s="31" t="n"/>
      <c r="C128" s="32" t="n"/>
      <c r="D128" s="32" t="n"/>
      <c r="E128" s="30">
        <f>IF($C128="","",IF(AND($C128&gt;=TIME(14,0,0),$C128&lt;TIME(19,30,0)),"London",IF(AND($C128&gt;=TIME(19,30,0),$C128&lt;TIME(23,0,0)),"Overlap LDN+NY",IF(OR($C128&gt;=TIME(23,0,0),$C128&lt;TIME(4,0,0)),"New York","Asia"))))</f>
        <v/>
      </c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4" t="n"/>
      <c r="O128" s="34" t="n"/>
      <c r="P128" s="34" t="n"/>
      <c r="Q128" s="34" t="n"/>
      <c r="R128" s="35">
        <f>IFERROR(IF(OR($N128="",$O128="",$F128=""),"",ROUND(('⚙️ Setelan'!$B$3*'⚙️ Setelan'!$B$4/100)/(ABS($N128-$O128)*VLOOKUP($F128,'⚙️ Setelan'!$A$14:$F$20,4,FALSE)),2)),"")</f>
        <v/>
      </c>
      <c r="S128" s="36" t="n"/>
      <c r="T128" s="37">
        <f>IFERROR(IF(OR($N128="",$O128="",$S128=""),"",ABS($N128-$O128)*$S128*VLOOKUP($F128,'⚙️ Setelan'!$A$14:$F$20,4,FALSE)),"")</f>
        <v/>
      </c>
      <c r="U128" s="35">
        <f>IFERROR(IF(OR($N128="",$O128="",$P128=""),"",ROUND(ABS($P128-$N128)/ABS($N128-$O128),2)),"")</f>
        <v/>
      </c>
      <c r="V128" s="37">
        <f>IFERROR(IF(OR($Q128="",$N128="",$S128=""),"",($Q128-$N128)*IF($G128="Buy",1,-1)*$S128*VLOOKUP($F128,'⚙️ Setelan'!$A$14:$F$20,4,FALSE)),"")</f>
        <v/>
      </c>
      <c r="W128" s="37">
        <f>IFERROR(IF(OR($S128="",$F128=""),"",$S128*VLOOKUP($F128,'⚙️ Setelan'!$A$14:$F$20,5,FALSE)),"")</f>
        <v/>
      </c>
      <c r="X128" s="37">
        <f>IF($V128="","",$V128-IF($W128="",0,$W128))</f>
        <v/>
      </c>
      <c r="Y128" s="35">
        <f>IF(OR($X128="",$T128="",$T128=0),"",ROUND($X128/$T128,2))</f>
        <v/>
      </c>
      <c r="Z128" s="30">
        <f>IF($X128="","",IF($X128&gt;0,"Win",IF($X128&lt;0,"Loss","BE")))</f>
        <v/>
      </c>
      <c r="AA128" s="38">
        <f>IF(OR($C128="",$D128=""),"",ROUND(MOD($D128-$C128,1)*1440,0))</f>
        <v/>
      </c>
      <c r="AB128" s="34" t="n"/>
      <c r="AC128" s="34" t="n"/>
      <c r="AD128" s="35">
        <f>IFERROR(IF(OR($AB128="",$T128="",$T128=0),"",ROUND(ABS($N128-$AB128)*$S128*VLOOKUP($F128,'⚙️ Setelan'!$A$14:$F$20,4,FALSE)/$T128,2)),"")</f>
        <v/>
      </c>
      <c r="AE128" s="35">
        <f>IFERROR(IF(OR($AC128="",$T128="",$T128=0),"",ROUND(ABS($AC128-$N128)*$S128*VLOOKUP($F128,'⚙️ Setelan'!$A$14:$F$20,4,FALSE)/$T128,2)),"")</f>
        <v/>
      </c>
      <c r="AF128" s="33" t="n"/>
      <c r="AG128" s="33" t="n"/>
      <c r="AH128" s="33" t="n"/>
      <c r="AI128" s="33" t="n"/>
      <c r="AJ128" s="33" t="n"/>
      <c r="AK128" s="39" t="n"/>
      <c r="AL128" s="30">
        <f>IF(OR($C128="",$B128=""),"",IF(AND($Z127="Loss",$B128=$B127,MOD($C128-$D127,1)*1440&lt;'⚙️ Setelan'!$B$9),"⚠️ Revenge",""))</f>
        <v/>
      </c>
      <c r="AM128" s="40" t="n"/>
      <c r="AN128" s="30">
        <f>IF($AM128="","",IFERROR(IMAGE(IF(REGEXMATCH($AM128,"\.(png|jpg|jpeg|gif)$"),$AM128,"https://s3.tradingview.com/snapshots/"&amp;LOWER(MID(REGEXEXTRACT($AM128,"/x/([A-Za-z0-9]+)"),1,1))&amp;"/"&amp;REGEXEXTRACT($AM128,"/x/([A-Za-z0-9]+)")&amp;".png"),1),"⚠️ link tidak dikenali"))</f>
        <v/>
      </c>
      <c r="AO128" s="40" t="n"/>
      <c r="AP128" s="30">
        <f>IF($AO128="","",IFERROR(IMAGE(IF(REGEXMATCH($AO128,"\.(png|jpg|jpeg|gif)$"),$AO128,"https://s3.tradingview.com/snapshots/"&amp;LOWER(MID(REGEXEXTRACT($AO128,"/x/([A-Za-z0-9]+)"),1,1))&amp;"/"&amp;REGEXEXTRACT($AO128,"/x/([A-Za-z0-9]+)")&amp;".png"),1),"⚠️ link tidak dikenali"))</f>
        <v/>
      </c>
      <c r="AQ128" s="38">
        <f>IF($Z128="",0,IF(AND(OR('📊 Dashboard'!$B$4="(Semua)",$F128='📊 Dashboard'!$B$4),OR('📊 Dashboard'!$B$5="(Semua)",$H128='📊 Dashboard'!$B$5),OR('📊 Dashboard'!$B$6="(Semua)",$E128='📊 Dashboard'!$B$6),OR('📊 Dashboard'!$B$7="(Semua)",$AF128='📊 Dashboard'!$B$7),OR('📊 Dashboard'!$B$8="(Semua)",$AG128='📊 Dashboard'!$B$8),OR('📊 Dashboard'!$B$9="(Semua)",$K128='📊 Dashboard'!$B$9)),1,0))</f>
        <v/>
      </c>
    </row>
    <row r="129" ht="58" customHeight="1">
      <c r="A129" s="30">
        <f>IF($B129="","",ROW()-2)</f>
        <v/>
      </c>
      <c r="B129" s="31" t="n"/>
      <c r="C129" s="32" t="n"/>
      <c r="D129" s="32" t="n"/>
      <c r="E129" s="30">
        <f>IF($C129="","",IF(AND($C129&gt;=TIME(14,0,0),$C129&lt;TIME(19,30,0)),"London",IF(AND($C129&gt;=TIME(19,30,0),$C129&lt;TIME(23,0,0)),"Overlap LDN+NY",IF(OR($C129&gt;=TIME(23,0,0),$C129&lt;TIME(4,0,0)),"New York","Asia"))))</f>
        <v/>
      </c>
      <c r="F129" s="33" t="n"/>
      <c r="G129" s="33" t="n"/>
      <c r="H129" s="33" t="n"/>
      <c r="I129" s="33" t="n"/>
      <c r="J129" s="33" t="n"/>
      <c r="K129" s="33" t="n"/>
      <c r="L129" s="33" t="n"/>
      <c r="M129" s="33" t="n"/>
      <c r="N129" s="34" t="n"/>
      <c r="O129" s="34" t="n"/>
      <c r="P129" s="34" t="n"/>
      <c r="Q129" s="34" t="n"/>
      <c r="R129" s="35">
        <f>IFERROR(IF(OR($N129="",$O129="",$F129=""),"",ROUND(('⚙️ Setelan'!$B$3*'⚙️ Setelan'!$B$4/100)/(ABS($N129-$O129)*VLOOKUP($F129,'⚙️ Setelan'!$A$14:$F$20,4,FALSE)),2)),"")</f>
        <v/>
      </c>
      <c r="S129" s="36" t="n"/>
      <c r="T129" s="37">
        <f>IFERROR(IF(OR($N129="",$O129="",$S129=""),"",ABS($N129-$O129)*$S129*VLOOKUP($F129,'⚙️ Setelan'!$A$14:$F$20,4,FALSE)),"")</f>
        <v/>
      </c>
      <c r="U129" s="35">
        <f>IFERROR(IF(OR($N129="",$O129="",$P129=""),"",ROUND(ABS($P129-$N129)/ABS($N129-$O129),2)),"")</f>
        <v/>
      </c>
      <c r="V129" s="37">
        <f>IFERROR(IF(OR($Q129="",$N129="",$S129=""),"",($Q129-$N129)*IF($G129="Buy",1,-1)*$S129*VLOOKUP($F129,'⚙️ Setelan'!$A$14:$F$20,4,FALSE)),"")</f>
        <v/>
      </c>
      <c r="W129" s="37">
        <f>IFERROR(IF(OR($S129="",$F129=""),"",$S129*VLOOKUP($F129,'⚙️ Setelan'!$A$14:$F$20,5,FALSE)),"")</f>
        <v/>
      </c>
      <c r="X129" s="37">
        <f>IF($V129="","",$V129-IF($W129="",0,$W129))</f>
        <v/>
      </c>
      <c r="Y129" s="35">
        <f>IF(OR($X129="",$T129="",$T129=0),"",ROUND($X129/$T129,2))</f>
        <v/>
      </c>
      <c r="Z129" s="30">
        <f>IF($X129="","",IF($X129&gt;0,"Win",IF($X129&lt;0,"Loss","BE")))</f>
        <v/>
      </c>
      <c r="AA129" s="38">
        <f>IF(OR($C129="",$D129=""),"",ROUND(MOD($D129-$C129,1)*1440,0))</f>
        <v/>
      </c>
      <c r="AB129" s="34" t="n"/>
      <c r="AC129" s="34" t="n"/>
      <c r="AD129" s="35">
        <f>IFERROR(IF(OR($AB129="",$T129="",$T129=0),"",ROUND(ABS($N129-$AB129)*$S129*VLOOKUP($F129,'⚙️ Setelan'!$A$14:$F$20,4,FALSE)/$T129,2)),"")</f>
        <v/>
      </c>
      <c r="AE129" s="35">
        <f>IFERROR(IF(OR($AC129="",$T129="",$T129=0),"",ROUND(ABS($AC129-$N129)*$S129*VLOOKUP($F129,'⚙️ Setelan'!$A$14:$F$20,4,FALSE)/$T129,2)),"")</f>
        <v/>
      </c>
      <c r="AF129" s="33" t="n"/>
      <c r="AG129" s="33" t="n"/>
      <c r="AH129" s="33" t="n"/>
      <c r="AI129" s="33" t="n"/>
      <c r="AJ129" s="33" t="n"/>
      <c r="AK129" s="39" t="n"/>
      <c r="AL129" s="30">
        <f>IF(OR($C129="",$B129=""),"",IF(AND($Z128="Loss",$B129=$B128,MOD($C129-$D128,1)*1440&lt;'⚙️ Setelan'!$B$9),"⚠️ Revenge",""))</f>
        <v/>
      </c>
      <c r="AM129" s="40" t="n"/>
      <c r="AN129" s="30">
        <f>IF($AM129="","",IFERROR(IMAGE(IF(REGEXMATCH($AM129,"\.(png|jpg|jpeg|gif)$"),$AM129,"https://s3.tradingview.com/snapshots/"&amp;LOWER(MID(REGEXEXTRACT($AM129,"/x/([A-Za-z0-9]+)"),1,1))&amp;"/"&amp;REGEXEXTRACT($AM129,"/x/([A-Za-z0-9]+)")&amp;".png"),1),"⚠️ link tidak dikenali"))</f>
        <v/>
      </c>
      <c r="AO129" s="40" t="n"/>
      <c r="AP129" s="30">
        <f>IF($AO129="","",IFERROR(IMAGE(IF(REGEXMATCH($AO129,"\.(png|jpg|jpeg|gif)$"),$AO129,"https://s3.tradingview.com/snapshots/"&amp;LOWER(MID(REGEXEXTRACT($AO129,"/x/([A-Za-z0-9]+)"),1,1))&amp;"/"&amp;REGEXEXTRACT($AO129,"/x/([A-Za-z0-9]+)")&amp;".png"),1),"⚠️ link tidak dikenali"))</f>
        <v/>
      </c>
      <c r="AQ129" s="38">
        <f>IF($Z129="",0,IF(AND(OR('📊 Dashboard'!$B$4="(Semua)",$F129='📊 Dashboard'!$B$4),OR('📊 Dashboard'!$B$5="(Semua)",$H129='📊 Dashboard'!$B$5),OR('📊 Dashboard'!$B$6="(Semua)",$E129='📊 Dashboard'!$B$6),OR('📊 Dashboard'!$B$7="(Semua)",$AF129='📊 Dashboard'!$B$7),OR('📊 Dashboard'!$B$8="(Semua)",$AG129='📊 Dashboard'!$B$8),OR('📊 Dashboard'!$B$9="(Semua)",$K129='📊 Dashboard'!$B$9)),1,0))</f>
        <v/>
      </c>
    </row>
    <row r="130" ht="58" customHeight="1">
      <c r="A130" s="30">
        <f>IF($B130="","",ROW()-2)</f>
        <v/>
      </c>
      <c r="B130" s="31" t="n"/>
      <c r="C130" s="32" t="n"/>
      <c r="D130" s="32" t="n"/>
      <c r="E130" s="30">
        <f>IF($C130="","",IF(AND($C130&gt;=TIME(14,0,0),$C130&lt;TIME(19,30,0)),"London",IF(AND($C130&gt;=TIME(19,30,0),$C130&lt;TIME(23,0,0)),"Overlap LDN+NY",IF(OR($C130&gt;=TIME(23,0,0),$C130&lt;TIME(4,0,0)),"New York","Asia"))))</f>
        <v/>
      </c>
      <c r="F130" s="33" t="n"/>
      <c r="G130" s="33" t="n"/>
      <c r="H130" s="33" t="n"/>
      <c r="I130" s="33" t="n"/>
      <c r="J130" s="33" t="n"/>
      <c r="K130" s="33" t="n"/>
      <c r="L130" s="33" t="n"/>
      <c r="M130" s="33" t="n"/>
      <c r="N130" s="34" t="n"/>
      <c r="O130" s="34" t="n"/>
      <c r="P130" s="34" t="n"/>
      <c r="Q130" s="34" t="n"/>
      <c r="R130" s="35">
        <f>IFERROR(IF(OR($N130="",$O130="",$F130=""),"",ROUND(('⚙️ Setelan'!$B$3*'⚙️ Setelan'!$B$4/100)/(ABS($N130-$O130)*VLOOKUP($F130,'⚙️ Setelan'!$A$14:$F$20,4,FALSE)),2)),"")</f>
        <v/>
      </c>
      <c r="S130" s="36" t="n"/>
      <c r="T130" s="37">
        <f>IFERROR(IF(OR($N130="",$O130="",$S130=""),"",ABS($N130-$O130)*$S130*VLOOKUP($F130,'⚙️ Setelan'!$A$14:$F$20,4,FALSE)),"")</f>
        <v/>
      </c>
      <c r="U130" s="35">
        <f>IFERROR(IF(OR($N130="",$O130="",$P130=""),"",ROUND(ABS($P130-$N130)/ABS($N130-$O130),2)),"")</f>
        <v/>
      </c>
      <c r="V130" s="37">
        <f>IFERROR(IF(OR($Q130="",$N130="",$S130=""),"",($Q130-$N130)*IF($G130="Buy",1,-1)*$S130*VLOOKUP($F130,'⚙️ Setelan'!$A$14:$F$20,4,FALSE)),"")</f>
        <v/>
      </c>
      <c r="W130" s="37">
        <f>IFERROR(IF(OR($S130="",$F130=""),"",$S130*VLOOKUP($F130,'⚙️ Setelan'!$A$14:$F$20,5,FALSE)),"")</f>
        <v/>
      </c>
      <c r="X130" s="37">
        <f>IF($V130="","",$V130-IF($W130="",0,$W130))</f>
        <v/>
      </c>
      <c r="Y130" s="35">
        <f>IF(OR($X130="",$T130="",$T130=0),"",ROUND($X130/$T130,2))</f>
        <v/>
      </c>
      <c r="Z130" s="30">
        <f>IF($X130="","",IF($X130&gt;0,"Win",IF($X130&lt;0,"Loss","BE")))</f>
        <v/>
      </c>
      <c r="AA130" s="38">
        <f>IF(OR($C130="",$D130=""),"",ROUND(MOD($D130-$C130,1)*1440,0))</f>
        <v/>
      </c>
      <c r="AB130" s="34" t="n"/>
      <c r="AC130" s="34" t="n"/>
      <c r="AD130" s="35">
        <f>IFERROR(IF(OR($AB130="",$T130="",$T130=0),"",ROUND(ABS($N130-$AB130)*$S130*VLOOKUP($F130,'⚙️ Setelan'!$A$14:$F$20,4,FALSE)/$T130,2)),"")</f>
        <v/>
      </c>
      <c r="AE130" s="35">
        <f>IFERROR(IF(OR($AC130="",$T130="",$T130=0),"",ROUND(ABS($AC130-$N130)*$S130*VLOOKUP($F130,'⚙️ Setelan'!$A$14:$F$20,4,FALSE)/$T130,2)),"")</f>
        <v/>
      </c>
      <c r="AF130" s="33" t="n"/>
      <c r="AG130" s="33" t="n"/>
      <c r="AH130" s="33" t="n"/>
      <c r="AI130" s="33" t="n"/>
      <c r="AJ130" s="33" t="n"/>
      <c r="AK130" s="39" t="n"/>
      <c r="AL130" s="30">
        <f>IF(OR($C130="",$B130=""),"",IF(AND($Z129="Loss",$B130=$B129,MOD($C130-$D129,1)*1440&lt;'⚙️ Setelan'!$B$9),"⚠️ Revenge",""))</f>
        <v/>
      </c>
      <c r="AM130" s="40" t="n"/>
      <c r="AN130" s="30">
        <f>IF($AM130="","",IFERROR(IMAGE(IF(REGEXMATCH($AM130,"\.(png|jpg|jpeg|gif)$"),$AM130,"https://s3.tradingview.com/snapshots/"&amp;LOWER(MID(REGEXEXTRACT($AM130,"/x/([A-Za-z0-9]+)"),1,1))&amp;"/"&amp;REGEXEXTRACT($AM130,"/x/([A-Za-z0-9]+)")&amp;".png"),1),"⚠️ link tidak dikenali"))</f>
        <v/>
      </c>
      <c r="AO130" s="40" t="n"/>
      <c r="AP130" s="30">
        <f>IF($AO130="","",IFERROR(IMAGE(IF(REGEXMATCH($AO130,"\.(png|jpg|jpeg|gif)$"),$AO130,"https://s3.tradingview.com/snapshots/"&amp;LOWER(MID(REGEXEXTRACT($AO130,"/x/([A-Za-z0-9]+)"),1,1))&amp;"/"&amp;REGEXEXTRACT($AO130,"/x/([A-Za-z0-9]+)")&amp;".png"),1),"⚠️ link tidak dikenali"))</f>
        <v/>
      </c>
      <c r="AQ130" s="38">
        <f>IF($Z130="",0,IF(AND(OR('📊 Dashboard'!$B$4="(Semua)",$F130='📊 Dashboard'!$B$4),OR('📊 Dashboard'!$B$5="(Semua)",$H130='📊 Dashboard'!$B$5),OR('📊 Dashboard'!$B$6="(Semua)",$E130='📊 Dashboard'!$B$6),OR('📊 Dashboard'!$B$7="(Semua)",$AF130='📊 Dashboard'!$B$7),OR('📊 Dashboard'!$B$8="(Semua)",$AG130='📊 Dashboard'!$B$8),OR('📊 Dashboard'!$B$9="(Semua)",$K130='📊 Dashboard'!$B$9)),1,0))</f>
        <v/>
      </c>
    </row>
    <row r="131" ht="58" customHeight="1">
      <c r="A131" s="30">
        <f>IF($B131="","",ROW()-2)</f>
        <v/>
      </c>
      <c r="B131" s="31" t="n"/>
      <c r="C131" s="32" t="n"/>
      <c r="D131" s="32" t="n"/>
      <c r="E131" s="30">
        <f>IF($C131="","",IF(AND($C131&gt;=TIME(14,0,0),$C131&lt;TIME(19,30,0)),"London",IF(AND($C131&gt;=TIME(19,30,0),$C131&lt;TIME(23,0,0)),"Overlap LDN+NY",IF(OR($C131&gt;=TIME(23,0,0),$C131&lt;TIME(4,0,0)),"New York","Asia"))))</f>
        <v/>
      </c>
      <c r="F131" s="33" t="n"/>
      <c r="G131" s="33" t="n"/>
      <c r="H131" s="33" t="n"/>
      <c r="I131" s="33" t="n"/>
      <c r="J131" s="33" t="n"/>
      <c r="K131" s="33" t="n"/>
      <c r="L131" s="33" t="n"/>
      <c r="M131" s="33" t="n"/>
      <c r="N131" s="34" t="n"/>
      <c r="O131" s="34" t="n"/>
      <c r="P131" s="34" t="n"/>
      <c r="Q131" s="34" t="n"/>
      <c r="R131" s="35">
        <f>IFERROR(IF(OR($N131="",$O131="",$F131=""),"",ROUND(('⚙️ Setelan'!$B$3*'⚙️ Setelan'!$B$4/100)/(ABS($N131-$O131)*VLOOKUP($F131,'⚙️ Setelan'!$A$14:$F$20,4,FALSE)),2)),"")</f>
        <v/>
      </c>
      <c r="S131" s="36" t="n"/>
      <c r="T131" s="37">
        <f>IFERROR(IF(OR($N131="",$O131="",$S131=""),"",ABS($N131-$O131)*$S131*VLOOKUP($F131,'⚙️ Setelan'!$A$14:$F$20,4,FALSE)),"")</f>
        <v/>
      </c>
      <c r="U131" s="35">
        <f>IFERROR(IF(OR($N131="",$O131="",$P131=""),"",ROUND(ABS($P131-$N131)/ABS($N131-$O131),2)),"")</f>
        <v/>
      </c>
      <c r="V131" s="37">
        <f>IFERROR(IF(OR($Q131="",$N131="",$S131=""),"",($Q131-$N131)*IF($G131="Buy",1,-1)*$S131*VLOOKUP($F131,'⚙️ Setelan'!$A$14:$F$20,4,FALSE)),"")</f>
        <v/>
      </c>
      <c r="W131" s="37">
        <f>IFERROR(IF(OR($S131="",$F131=""),"",$S131*VLOOKUP($F131,'⚙️ Setelan'!$A$14:$F$20,5,FALSE)),"")</f>
        <v/>
      </c>
      <c r="X131" s="37">
        <f>IF($V131="","",$V131-IF($W131="",0,$W131))</f>
        <v/>
      </c>
      <c r="Y131" s="35">
        <f>IF(OR($X131="",$T131="",$T131=0),"",ROUND($X131/$T131,2))</f>
        <v/>
      </c>
      <c r="Z131" s="30">
        <f>IF($X131="","",IF($X131&gt;0,"Win",IF($X131&lt;0,"Loss","BE")))</f>
        <v/>
      </c>
      <c r="AA131" s="38">
        <f>IF(OR($C131="",$D131=""),"",ROUND(MOD($D131-$C131,1)*1440,0))</f>
        <v/>
      </c>
      <c r="AB131" s="34" t="n"/>
      <c r="AC131" s="34" t="n"/>
      <c r="AD131" s="35">
        <f>IFERROR(IF(OR($AB131="",$T131="",$T131=0),"",ROUND(ABS($N131-$AB131)*$S131*VLOOKUP($F131,'⚙️ Setelan'!$A$14:$F$20,4,FALSE)/$T131,2)),"")</f>
        <v/>
      </c>
      <c r="AE131" s="35">
        <f>IFERROR(IF(OR($AC131="",$T131="",$T131=0),"",ROUND(ABS($AC131-$N131)*$S131*VLOOKUP($F131,'⚙️ Setelan'!$A$14:$F$20,4,FALSE)/$T131,2)),"")</f>
        <v/>
      </c>
      <c r="AF131" s="33" t="n"/>
      <c r="AG131" s="33" t="n"/>
      <c r="AH131" s="33" t="n"/>
      <c r="AI131" s="33" t="n"/>
      <c r="AJ131" s="33" t="n"/>
      <c r="AK131" s="39" t="n"/>
      <c r="AL131" s="30">
        <f>IF(OR($C131="",$B131=""),"",IF(AND($Z130="Loss",$B131=$B130,MOD($C131-$D130,1)*1440&lt;'⚙️ Setelan'!$B$9),"⚠️ Revenge",""))</f>
        <v/>
      </c>
      <c r="AM131" s="40" t="n"/>
      <c r="AN131" s="30">
        <f>IF($AM131="","",IFERROR(IMAGE(IF(REGEXMATCH($AM131,"\.(png|jpg|jpeg|gif)$"),$AM131,"https://s3.tradingview.com/snapshots/"&amp;LOWER(MID(REGEXEXTRACT($AM131,"/x/([A-Za-z0-9]+)"),1,1))&amp;"/"&amp;REGEXEXTRACT($AM131,"/x/([A-Za-z0-9]+)")&amp;".png"),1),"⚠️ link tidak dikenali"))</f>
        <v/>
      </c>
      <c r="AO131" s="40" t="n"/>
      <c r="AP131" s="30">
        <f>IF($AO131="","",IFERROR(IMAGE(IF(REGEXMATCH($AO131,"\.(png|jpg|jpeg|gif)$"),$AO131,"https://s3.tradingview.com/snapshots/"&amp;LOWER(MID(REGEXEXTRACT($AO131,"/x/([A-Za-z0-9]+)"),1,1))&amp;"/"&amp;REGEXEXTRACT($AO131,"/x/([A-Za-z0-9]+)")&amp;".png"),1),"⚠️ link tidak dikenali"))</f>
        <v/>
      </c>
      <c r="AQ131" s="38">
        <f>IF($Z131="",0,IF(AND(OR('📊 Dashboard'!$B$4="(Semua)",$F131='📊 Dashboard'!$B$4),OR('📊 Dashboard'!$B$5="(Semua)",$H131='📊 Dashboard'!$B$5),OR('📊 Dashboard'!$B$6="(Semua)",$E131='📊 Dashboard'!$B$6),OR('📊 Dashboard'!$B$7="(Semua)",$AF131='📊 Dashboard'!$B$7),OR('📊 Dashboard'!$B$8="(Semua)",$AG131='📊 Dashboard'!$B$8),OR('📊 Dashboard'!$B$9="(Semua)",$K131='📊 Dashboard'!$B$9)),1,0))</f>
        <v/>
      </c>
    </row>
    <row r="132" ht="58" customHeight="1">
      <c r="A132" s="30">
        <f>IF($B132="","",ROW()-2)</f>
        <v/>
      </c>
      <c r="B132" s="31" t="n"/>
      <c r="C132" s="32" t="n"/>
      <c r="D132" s="32" t="n"/>
      <c r="E132" s="30">
        <f>IF($C132="","",IF(AND($C132&gt;=TIME(14,0,0),$C132&lt;TIME(19,30,0)),"London",IF(AND($C132&gt;=TIME(19,30,0),$C132&lt;TIME(23,0,0)),"Overlap LDN+NY",IF(OR($C132&gt;=TIME(23,0,0),$C132&lt;TIME(4,0,0)),"New York","Asia"))))</f>
        <v/>
      </c>
      <c r="F132" s="33" t="n"/>
      <c r="G132" s="33" t="n"/>
      <c r="H132" s="33" t="n"/>
      <c r="I132" s="33" t="n"/>
      <c r="J132" s="33" t="n"/>
      <c r="K132" s="33" t="n"/>
      <c r="L132" s="33" t="n"/>
      <c r="M132" s="33" t="n"/>
      <c r="N132" s="34" t="n"/>
      <c r="O132" s="34" t="n"/>
      <c r="P132" s="34" t="n"/>
      <c r="Q132" s="34" t="n"/>
      <c r="R132" s="35">
        <f>IFERROR(IF(OR($N132="",$O132="",$F132=""),"",ROUND(('⚙️ Setelan'!$B$3*'⚙️ Setelan'!$B$4/100)/(ABS($N132-$O132)*VLOOKUP($F132,'⚙️ Setelan'!$A$14:$F$20,4,FALSE)),2)),"")</f>
        <v/>
      </c>
      <c r="S132" s="36" t="n"/>
      <c r="T132" s="37">
        <f>IFERROR(IF(OR($N132="",$O132="",$S132=""),"",ABS($N132-$O132)*$S132*VLOOKUP($F132,'⚙️ Setelan'!$A$14:$F$20,4,FALSE)),"")</f>
        <v/>
      </c>
      <c r="U132" s="35">
        <f>IFERROR(IF(OR($N132="",$O132="",$P132=""),"",ROUND(ABS($P132-$N132)/ABS($N132-$O132),2)),"")</f>
        <v/>
      </c>
      <c r="V132" s="37">
        <f>IFERROR(IF(OR($Q132="",$N132="",$S132=""),"",($Q132-$N132)*IF($G132="Buy",1,-1)*$S132*VLOOKUP($F132,'⚙️ Setelan'!$A$14:$F$20,4,FALSE)),"")</f>
        <v/>
      </c>
      <c r="W132" s="37">
        <f>IFERROR(IF(OR($S132="",$F132=""),"",$S132*VLOOKUP($F132,'⚙️ Setelan'!$A$14:$F$20,5,FALSE)),"")</f>
        <v/>
      </c>
      <c r="X132" s="37">
        <f>IF($V132="","",$V132-IF($W132="",0,$W132))</f>
        <v/>
      </c>
      <c r="Y132" s="35">
        <f>IF(OR($X132="",$T132="",$T132=0),"",ROUND($X132/$T132,2))</f>
        <v/>
      </c>
      <c r="Z132" s="30">
        <f>IF($X132="","",IF($X132&gt;0,"Win",IF($X132&lt;0,"Loss","BE")))</f>
        <v/>
      </c>
      <c r="AA132" s="38">
        <f>IF(OR($C132="",$D132=""),"",ROUND(MOD($D132-$C132,1)*1440,0))</f>
        <v/>
      </c>
      <c r="AB132" s="34" t="n"/>
      <c r="AC132" s="34" t="n"/>
      <c r="AD132" s="35">
        <f>IFERROR(IF(OR($AB132="",$T132="",$T132=0),"",ROUND(ABS($N132-$AB132)*$S132*VLOOKUP($F132,'⚙️ Setelan'!$A$14:$F$20,4,FALSE)/$T132,2)),"")</f>
        <v/>
      </c>
      <c r="AE132" s="35">
        <f>IFERROR(IF(OR($AC132="",$T132="",$T132=0),"",ROUND(ABS($AC132-$N132)*$S132*VLOOKUP($F132,'⚙️ Setelan'!$A$14:$F$20,4,FALSE)/$T132,2)),"")</f>
        <v/>
      </c>
      <c r="AF132" s="33" t="n"/>
      <c r="AG132" s="33" t="n"/>
      <c r="AH132" s="33" t="n"/>
      <c r="AI132" s="33" t="n"/>
      <c r="AJ132" s="33" t="n"/>
      <c r="AK132" s="39" t="n"/>
      <c r="AL132" s="30">
        <f>IF(OR($C132="",$B132=""),"",IF(AND($Z131="Loss",$B132=$B131,MOD($C132-$D131,1)*1440&lt;'⚙️ Setelan'!$B$9),"⚠️ Revenge",""))</f>
        <v/>
      </c>
      <c r="AM132" s="40" t="n"/>
      <c r="AN132" s="30">
        <f>IF($AM132="","",IFERROR(IMAGE(IF(REGEXMATCH($AM132,"\.(png|jpg|jpeg|gif)$"),$AM132,"https://s3.tradingview.com/snapshots/"&amp;LOWER(MID(REGEXEXTRACT($AM132,"/x/([A-Za-z0-9]+)"),1,1))&amp;"/"&amp;REGEXEXTRACT($AM132,"/x/([A-Za-z0-9]+)")&amp;".png"),1),"⚠️ link tidak dikenali"))</f>
        <v/>
      </c>
      <c r="AO132" s="40" t="n"/>
      <c r="AP132" s="30">
        <f>IF($AO132="","",IFERROR(IMAGE(IF(REGEXMATCH($AO132,"\.(png|jpg|jpeg|gif)$"),$AO132,"https://s3.tradingview.com/snapshots/"&amp;LOWER(MID(REGEXEXTRACT($AO132,"/x/([A-Za-z0-9]+)"),1,1))&amp;"/"&amp;REGEXEXTRACT($AO132,"/x/([A-Za-z0-9]+)")&amp;".png"),1),"⚠️ link tidak dikenali"))</f>
        <v/>
      </c>
      <c r="AQ132" s="38">
        <f>IF($Z132="",0,IF(AND(OR('📊 Dashboard'!$B$4="(Semua)",$F132='📊 Dashboard'!$B$4),OR('📊 Dashboard'!$B$5="(Semua)",$H132='📊 Dashboard'!$B$5),OR('📊 Dashboard'!$B$6="(Semua)",$E132='📊 Dashboard'!$B$6),OR('📊 Dashboard'!$B$7="(Semua)",$AF132='📊 Dashboard'!$B$7),OR('📊 Dashboard'!$B$8="(Semua)",$AG132='📊 Dashboard'!$B$8),OR('📊 Dashboard'!$B$9="(Semua)",$K132='📊 Dashboard'!$B$9)),1,0))</f>
        <v/>
      </c>
    </row>
    <row r="133" ht="58" customHeight="1">
      <c r="A133" s="30">
        <f>IF($B133="","",ROW()-2)</f>
        <v/>
      </c>
      <c r="B133" s="31" t="n"/>
      <c r="C133" s="32" t="n"/>
      <c r="D133" s="32" t="n"/>
      <c r="E133" s="30">
        <f>IF($C133="","",IF(AND($C133&gt;=TIME(14,0,0),$C133&lt;TIME(19,30,0)),"London",IF(AND($C133&gt;=TIME(19,30,0),$C133&lt;TIME(23,0,0)),"Overlap LDN+NY",IF(OR($C133&gt;=TIME(23,0,0),$C133&lt;TIME(4,0,0)),"New York","Asia"))))</f>
        <v/>
      </c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4" t="n"/>
      <c r="O133" s="34" t="n"/>
      <c r="P133" s="34" t="n"/>
      <c r="Q133" s="34" t="n"/>
      <c r="R133" s="35">
        <f>IFERROR(IF(OR($N133="",$O133="",$F133=""),"",ROUND(('⚙️ Setelan'!$B$3*'⚙️ Setelan'!$B$4/100)/(ABS($N133-$O133)*VLOOKUP($F133,'⚙️ Setelan'!$A$14:$F$20,4,FALSE)),2)),"")</f>
        <v/>
      </c>
      <c r="S133" s="36" t="n"/>
      <c r="T133" s="37">
        <f>IFERROR(IF(OR($N133="",$O133="",$S133=""),"",ABS($N133-$O133)*$S133*VLOOKUP($F133,'⚙️ Setelan'!$A$14:$F$20,4,FALSE)),"")</f>
        <v/>
      </c>
      <c r="U133" s="35">
        <f>IFERROR(IF(OR($N133="",$O133="",$P133=""),"",ROUND(ABS($P133-$N133)/ABS($N133-$O133),2)),"")</f>
        <v/>
      </c>
      <c r="V133" s="37">
        <f>IFERROR(IF(OR($Q133="",$N133="",$S133=""),"",($Q133-$N133)*IF($G133="Buy",1,-1)*$S133*VLOOKUP($F133,'⚙️ Setelan'!$A$14:$F$20,4,FALSE)),"")</f>
        <v/>
      </c>
      <c r="W133" s="37">
        <f>IFERROR(IF(OR($S133="",$F133=""),"",$S133*VLOOKUP($F133,'⚙️ Setelan'!$A$14:$F$20,5,FALSE)),"")</f>
        <v/>
      </c>
      <c r="X133" s="37">
        <f>IF($V133="","",$V133-IF($W133="",0,$W133))</f>
        <v/>
      </c>
      <c r="Y133" s="35">
        <f>IF(OR($X133="",$T133="",$T133=0),"",ROUND($X133/$T133,2))</f>
        <v/>
      </c>
      <c r="Z133" s="30">
        <f>IF($X133="","",IF($X133&gt;0,"Win",IF($X133&lt;0,"Loss","BE")))</f>
        <v/>
      </c>
      <c r="AA133" s="38">
        <f>IF(OR($C133="",$D133=""),"",ROUND(MOD($D133-$C133,1)*1440,0))</f>
        <v/>
      </c>
      <c r="AB133" s="34" t="n"/>
      <c r="AC133" s="34" t="n"/>
      <c r="AD133" s="35">
        <f>IFERROR(IF(OR($AB133="",$T133="",$T133=0),"",ROUND(ABS($N133-$AB133)*$S133*VLOOKUP($F133,'⚙️ Setelan'!$A$14:$F$20,4,FALSE)/$T133,2)),"")</f>
        <v/>
      </c>
      <c r="AE133" s="35">
        <f>IFERROR(IF(OR($AC133="",$T133="",$T133=0),"",ROUND(ABS($AC133-$N133)*$S133*VLOOKUP($F133,'⚙️ Setelan'!$A$14:$F$20,4,FALSE)/$T133,2)),"")</f>
        <v/>
      </c>
      <c r="AF133" s="33" t="n"/>
      <c r="AG133" s="33" t="n"/>
      <c r="AH133" s="33" t="n"/>
      <c r="AI133" s="33" t="n"/>
      <c r="AJ133" s="33" t="n"/>
      <c r="AK133" s="39" t="n"/>
      <c r="AL133" s="30">
        <f>IF(OR($C133="",$B133=""),"",IF(AND($Z132="Loss",$B133=$B132,MOD($C133-$D132,1)*1440&lt;'⚙️ Setelan'!$B$9),"⚠️ Revenge",""))</f>
        <v/>
      </c>
      <c r="AM133" s="40" t="n"/>
      <c r="AN133" s="30">
        <f>IF($AM133="","",IFERROR(IMAGE(IF(REGEXMATCH($AM133,"\.(png|jpg|jpeg|gif)$"),$AM133,"https://s3.tradingview.com/snapshots/"&amp;LOWER(MID(REGEXEXTRACT($AM133,"/x/([A-Za-z0-9]+)"),1,1))&amp;"/"&amp;REGEXEXTRACT($AM133,"/x/([A-Za-z0-9]+)")&amp;".png"),1),"⚠️ link tidak dikenali"))</f>
        <v/>
      </c>
      <c r="AO133" s="40" t="n"/>
      <c r="AP133" s="30">
        <f>IF($AO133="","",IFERROR(IMAGE(IF(REGEXMATCH($AO133,"\.(png|jpg|jpeg|gif)$"),$AO133,"https://s3.tradingview.com/snapshots/"&amp;LOWER(MID(REGEXEXTRACT($AO133,"/x/([A-Za-z0-9]+)"),1,1))&amp;"/"&amp;REGEXEXTRACT($AO133,"/x/([A-Za-z0-9]+)")&amp;".png"),1),"⚠️ link tidak dikenali"))</f>
        <v/>
      </c>
      <c r="AQ133" s="38">
        <f>IF($Z133="",0,IF(AND(OR('📊 Dashboard'!$B$4="(Semua)",$F133='📊 Dashboard'!$B$4),OR('📊 Dashboard'!$B$5="(Semua)",$H133='📊 Dashboard'!$B$5),OR('📊 Dashboard'!$B$6="(Semua)",$E133='📊 Dashboard'!$B$6),OR('📊 Dashboard'!$B$7="(Semua)",$AF133='📊 Dashboard'!$B$7),OR('📊 Dashboard'!$B$8="(Semua)",$AG133='📊 Dashboard'!$B$8),OR('📊 Dashboard'!$B$9="(Semua)",$K133='📊 Dashboard'!$B$9)),1,0))</f>
        <v/>
      </c>
    </row>
    <row r="134" ht="58" customHeight="1">
      <c r="A134" s="30">
        <f>IF($B134="","",ROW()-2)</f>
        <v/>
      </c>
      <c r="B134" s="31" t="n"/>
      <c r="C134" s="32" t="n"/>
      <c r="D134" s="32" t="n"/>
      <c r="E134" s="30">
        <f>IF($C134="","",IF(AND($C134&gt;=TIME(14,0,0),$C134&lt;TIME(19,30,0)),"London",IF(AND($C134&gt;=TIME(19,30,0),$C134&lt;TIME(23,0,0)),"Overlap LDN+NY",IF(OR($C134&gt;=TIME(23,0,0),$C134&lt;TIME(4,0,0)),"New York","Asia"))))</f>
        <v/>
      </c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4" t="n"/>
      <c r="O134" s="34" t="n"/>
      <c r="P134" s="34" t="n"/>
      <c r="Q134" s="34" t="n"/>
      <c r="R134" s="35">
        <f>IFERROR(IF(OR($N134="",$O134="",$F134=""),"",ROUND(('⚙️ Setelan'!$B$3*'⚙️ Setelan'!$B$4/100)/(ABS($N134-$O134)*VLOOKUP($F134,'⚙️ Setelan'!$A$14:$F$20,4,FALSE)),2)),"")</f>
        <v/>
      </c>
      <c r="S134" s="36" t="n"/>
      <c r="T134" s="37">
        <f>IFERROR(IF(OR($N134="",$O134="",$S134=""),"",ABS($N134-$O134)*$S134*VLOOKUP($F134,'⚙️ Setelan'!$A$14:$F$20,4,FALSE)),"")</f>
        <v/>
      </c>
      <c r="U134" s="35">
        <f>IFERROR(IF(OR($N134="",$O134="",$P134=""),"",ROUND(ABS($P134-$N134)/ABS($N134-$O134),2)),"")</f>
        <v/>
      </c>
      <c r="V134" s="37">
        <f>IFERROR(IF(OR($Q134="",$N134="",$S134=""),"",($Q134-$N134)*IF($G134="Buy",1,-1)*$S134*VLOOKUP($F134,'⚙️ Setelan'!$A$14:$F$20,4,FALSE)),"")</f>
        <v/>
      </c>
      <c r="W134" s="37">
        <f>IFERROR(IF(OR($S134="",$F134=""),"",$S134*VLOOKUP($F134,'⚙️ Setelan'!$A$14:$F$20,5,FALSE)),"")</f>
        <v/>
      </c>
      <c r="X134" s="37">
        <f>IF($V134="","",$V134-IF($W134="",0,$W134))</f>
        <v/>
      </c>
      <c r="Y134" s="35">
        <f>IF(OR($X134="",$T134="",$T134=0),"",ROUND($X134/$T134,2))</f>
        <v/>
      </c>
      <c r="Z134" s="30">
        <f>IF($X134="","",IF($X134&gt;0,"Win",IF($X134&lt;0,"Loss","BE")))</f>
        <v/>
      </c>
      <c r="AA134" s="38">
        <f>IF(OR($C134="",$D134=""),"",ROUND(MOD($D134-$C134,1)*1440,0))</f>
        <v/>
      </c>
      <c r="AB134" s="34" t="n"/>
      <c r="AC134" s="34" t="n"/>
      <c r="AD134" s="35">
        <f>IFERROR(IF(OR($AB134="",$T134="",$T134=0),"",ROUND(ABS($N134-$AB134)*$S134*VLOOKUP($F134,'⚙️ Setelan'!$A$14:$F$20,4,FALSE)/$T134,2)),"")</f>
        <v/>
      </c>
      <c r="AE134" s="35">
        <f>IFERROR(IF(OR($AC134="",$T134="",$T134=0),"",ROUND(ABS($AC134-$N134)*$S134*VLOOKUP($F134,'⚙️ Setelan'!$A$14:$F$20,4,FALSE)/$T134,2)),"")</f>
        <v/>
      </c>
      <c r="AF134" s="33" t="n"/>
      <c r="AG134" s="33" t="n"/>
      <c r="AH134" s="33" t="n"/>
      <c r="AI134" s="33" t="n"/>
      <c r="AJ134" s="33" t="n"/>
      <c r="AK134" s="39" t="n"/>
      <c r="AL134" s="30">
        <f>IF(OR($C134="",$B134=""),"",IF(AND($Z133="Loss",$B134=$B133,MOD($C134-$D133,1)*1440&lt;'⚙️ Setelan'!$B$9),"⚠️ Revenge",""))</f>
        <v/>
      </c>
      <c r="AM134" s="40" t="n"/>
      <c r="AN134" s="30">
        <f>IF($AM134="","",IFERROR(IMAGE(IF(REGEXMATCH($AM134,"\.(png|jpg|jpeg|gif)$"),$AM134,"https://s3.tradingview.com/snapshots/"&amp;LOWER(MID(REGEXEXTRACT($AM134,"/x/([A-Za-z0-9]+)"),1,1))&amp;"/"&amp;REGEXEXTRACT($AM134,"/x/([A-Za-z0-9]+)")&amp;".png"),1),"⚠️ link tidak dikenali"))</f>
        <v/>
      </c>
      <c r="AO134" s="40" t="n"/>
      <c r="AP134" s="30">
        <f>IF($AO134="","",IFERROR(IMAGE(IF(REGEXMATCH($AO134,"\.(png|jpg|jpeg|gif)$"),$AO134,"https://s3.tradingview.com/snapshots/"&amp;LOWER(MID(REGEXEXTRACT($AO134,"/x/([A-Za-z0-9]+)"),1,1))&amp;"/"&amp;REGEXEXTRACT($AO134,"/x/([A-Za-z0-9]+)")&amp;".png"),1),"⚠️ link tidak dikenali"))</f>
        <v/>
      </c>
      <c r="AQ134" s="38">
        <f>IF($Z134="",0,IF(AND(OR('📊 Dashboard'!$B$4="(Semua)",$F134='📊 Dashboard'!$B$4),OR('📊 Dashboard'!$B$5="(Semua)",$H134='📊 Dashboard'!$B$5),OR('📊 Dashboard'!$B$6="(Semua)",$E134='📊 Dashboard'!$B$6),OR('📊 Dashboard'!$B$7="(Semua)",$AF134='📊 Dashboard'!$B$7),OR('📊 Dashboard'!$B$8="(Semua)",$AG134='📊 Dashboard'!$B$8),OR('📊 Dashboard'!$B$9="(Semua)",$K134='📊 Dashboard'!$B$9)),1,0))</f>
        <v/>
      </c>
    </row>
    <row r="135" ht="58" customHeight="1">
      <c r="A135" s="30">
        <f>IF($B135="","",ROW()-2)</f>
        <v/>
      </c>
      <c r="B135" s="31" t="n"/>
      <c r="C135" s="32" t="n"/>
      <c r="D135" s="32" t="n"/>
      <c r="E135" s="30">
        <f>IF($C135="","",IF(AND($C135&gt;=TIME(14,0,0),$C135&lt;TIME(19,30,0)),"London",IF(AND($C135&gt;=TIME(19,30,0),$C135&lt;TIME(23,0,0)),"Overlap LDN+NY",IF(OR($C135&gt;=TIME(23,0,0),$C135&lt;TIME(4,0,0)),"New York","Asia"))))</f>
        <v/>
      </c>
      <c r="F135" s="33" t="n"/>
      <c r="G135" s="33" t="n"/>
      <c r="H135" s="33" t="n"/>
      <c r="I135" s="33" t="n"/>
      <c r="J135" s="33" t="n"/>
      <c r="K135" s="33" t="n"/>
      <c r="L135" s="33" t="n"/>
      <c r="M135" s="33" t="n"/>
      <c r="N135" s="34" t="n"/>
      <c r="O135" s="34" t="n"/>
      <c r="P135" s="34" t="n"/>
      <c r="Q135" s="34" t="n"/>
      <c r="R135" s="35">
        <f>IFERROR(IF(OR($N135="",$O135="",$F135=""),"",ROUND(('⚙️ Setelan'!$B$3*'⚙️ Setelan'!$B$4/100)/(ABS($N135-$O135)*VLOOKUP($F135,'⚙️ Setelan'!$A$14:$F$20,4,FALSE)),2)),"")</f>
        <v/>
      </c>
      <c r="S135" s="36" t="n"/>
      <c r="T135" s="37">
        <f>IFERROR(IF(OR($N135="",$O135="",$S135=""),"",ABS($N135-$O135)*$S135*VLOOKUP($F135,'⚙️ Setelan'!$A$14:$F$20,4,FALSE)),"")</f>
        <v/>
      </c>
      <c r="U135" s="35">
        <f>IFERROR(IF(OR($N135="",$O135="",$P135=""),"",ROUND(ABS($P135-$N135)/ABS($N135-$O135),2)),"")</f>
        <v/>
      </c>
      <c r="V135" s="37">
        <f>IFERROR(IF(OR($Q135="",$N135="",$S135=""),"",($Q135-$N135)*IF($G135="Buy",1,-1)*$S135*VLOOKUP($F135,'⚙️ Setelan'!$A$14:$F$20,4,FALSE)),"")</f>
        <v/>
      </c>
      <c r="W135" s="37">
        <f>IFERROR(IF(OR($S135="",$F135=""),"",$S135*VLOOKUP($F135,'⚙️ Setelan'!$A$14:$F$20,5,FALSE)),"")</f>
        <v/>
      </c>
      <c r="X135" s="37">
        <f>IF($V135="","",$V135-IF($W135="",0,$W135))</f>
        <v/>
      </c>
      <c r="Y135" s="35">
        <f>IF(OR($X135="",$T135="",$T135=0),"",ROUND($X135/$T135,2))</f>
        <v/>
      </c>
      <c r="Z135" s="30">
        <f>IF($X135="","",IF($X135&gt;0,"Win",IF($X135&lt;0,"Loss","BE")))</f>
        <v/>
      </c>
      <c r="AA135" s="38">
        <f>IF(OR($C135="",$D135=""),"",ROUND(MOD($D135-$C135,1)*1440,0))</f>
        <v/>
      </c>
      <c r="AB135" s="34" t="n"/>
      <c r="AC135" s="34" t="n"/>
      <c r="AD135" s="35">
        <f>IFERROR(IF(OR($AB135="",$T135="",$T135=0),"",ROUND(ABS($N135-$AB135)*$S135*VLOOKUP($F135,'⚙️ Setelan'!$A$14:$F$20,4,FALSE)/$T135,2)),"")</f>
        <v/>
      </c>
      <c r="AE135" s="35">
        <f>IFERROR(IF(OR($AC135="",$T135="",$T135=0),"",ROUND(ABS($AC135-$N135)*$S135*VLOOKUP($F135,'⚙️ Setelan'!$A$14:$F$20,4,FALSE)/$T135,2)),"")</f>
        <v/>
      </c>
      <c r="AF135" s="33" t="n"/>
      <c r="AG135" s="33" t="n"/>
      <c r="AH135" s="33" t="n"/>
      <c r="AI135" s="33" t="n"/>
      <c r="AJ135" s="33" t="n"/>
      <c r="AK135" s="39" t="n"/>
      <c r="AL135" s="30">
        <f>IF(OR($C135="",$B135=""),"",IF(AND($Z134="Loss",$B135=$B134,MOD($C135-$D134,1)*1440&lt;'⚙️ Setelan'!$B$9),"⚠️ Revenge",""))</f>
        <v/>
      </c>
      <c r="AM135" s="40" t="n"/>
      <c r="AN135" s="30">
        <f>IF($AM135="","",IFERROR(IMAGE(IF(REGEXMATCH($AM135,"\.(png|jpg|jpeg|gif)$"),$AM135,"https://s3.tradingview.com/snapshots/"&amp;LOWER(MID(REGEXEXTRACT($AM135,"/x/([A-Za-z0-9]+)"),1,1))&amp;"/"&amp;REGEXEXTRACT($AM135,"/x/([A-Za-z0-9]+)")&amp;".png"),1),"⚠️ link tidak dikenali"))</f>
        <v/>
      </c>
      <c r="AO135" s="40" t="n"/>
      <c r="AP135" s="30">
        <f>IF($AO135="","",IFERROR(IMAGE(IF(REGEXMATCH($AO135,"\.(png|jpg|jpeg|gif)$"),$AO135,"https://s3.tradingview.com/snapshots/"&amp;LOWER(MID(REGEXEXTRACT($AO135,"/x/([A-Za-z0-9]+)"),1,1))&amp;"/"&amp;REGEXEXTRACT($AO135,"/x/([A-Za-z0-9]+)")&amp;".png"),1),"⚠️ link tidak dikenali"))</f>
        <v/>
      </c>
      <c r="AQ135" s="38">
        <f>IF($Z135="",0,IF(AND(OR('📊 Dashboard'!$B$4="(Semua)",$F135='📊 Dashboard'!$B$4),OR('📊 Dashboard'!$B$5="(Semua)",$H135='📊 Dashboard'!$B$5),OR('📊 Dashboard'!$B$6="(Semua)",$E135='📊 Dashboard'!$B$6),OR('📊 Dashboard'!$B$7="(Semua)",$AF135='📊 Dashboard'!$B$7),OR('📊 Dashboard'!$B$8="(Semua)",$AG135='📊 Dashboard'!$B$8),OR('📊 Dashboard'!$B$9="(Semua)",$K135='📊 Dashboard'!$B$9)),1,0))</f>
        <v/>
      </c>
    </row>
    <row r="136" ht="58" customHeight="1">
      <c r="A136" s="30">
        <f>IF($B136="","",ROW()-2)</f>
        <v/>
      </c>
      <c r="B136" s="31" t="n"/>
      <c r="C136" s="32" t="n"/>
      <c r="D136" s="32" t="n"/>
      <c r="E136" s="30">
        <f>IF($C136="","",IF(AND($C136&gt;=TIME(14,0,0),$C136&lt;TIME(19,30,0)),"London",IF(AND($C136&gt;=TIME(19,30,0),$C136&lt;TIME(23,0,0)),"Overlap LDN+NY",IF(OR($C136&gt;=TIME(23,0,0),$C136&lt;TIME(4,0,0)),"New York","Asia"))))</f>
        <v/>
      </c>
      <c r="F136" s="33" t="n"/>
      <c r="G136" s="33" t="n"/>
      <c r="H136" s="33" t="n"/>
      <c r="I136" s="33" t="n"/>
      <c r="J136" s="33" t="n"/>
      <c r="K136" s="33" t="n"/>
      <c r="L136" s="33" t="n"/>
      <c r="M136" s="33" t="n"/>
      <c r="N136" s="34" t="n"/>
      <c r="O136" s="34" t="n"/>
      <c r="P136" s="34" t="n"/>
      <c r="Q136" s="34" t="n"/>
      <c r="R136" s="35">
        <f>IFERROR(IF(OR($N136="",$O136="",$F136=""),"",ROUND(('⚙️ Setelan'!$B$3*'⚙️ Setelan'!$B$4/100)/(ABS($N136-$O136)*VLOOKUP($F136,'⚙️ Setelan'!$A$14:$F$20,4,FALSE)),2)),"")</f>
        <v/>
      </c>
      <c r="S136" s="36" t="n"/>
      <c r="T136" s="37">
        <f>IFERROR(IF(OR($N136="",$O136="",$S136=""),"",ABS($N136-$O136)*$S136*VLOOKUP($F136,'⚙️ Setelan'!$A$14:$F$20,4,FALSE)),"")</f>
        <v/>
      </c>
      <c r="U136" s="35">
        <f>IFERROR(IF(OR($N136="",$O136="",$P136=""),"",ROUND(ABS($P136-$N136)/ABS($N136-$O136),2)),"")</f>
        <v/>
      </c>
      <c r="V136" s="37">
        <f>IFERROR(IF(OR($Q136="",$N136="",$S136=""),"",($Q136-$N136)*IF($G136="Buy",1,-1)*$S136*VLOOKUP($F136,'⚙️ Setelan'!$A$14:$F$20,4,FALSE)),"")</f>
        <v/>
      </c>
      <c r="W136" s="37">
        <f>IFERROR(IF(OR($S136="",$F136=""),"",$S136*VLOOKUP($F136,'⚙️ Setelan'!$A$14:$F$20,5,FALSE)),"")</f>
        <v/>
      </c>
      <c r="X136" s="37">
        <f>IF($V136="","",$V136-IF($W136="",0,$W136))</f>
        <v/>
      </c>
      <c r="Y136" s="35">
        <f>IF(OR($X136="",$T136="",$T136=0),"",ROUND($X136/$T136,2))</f>
        <v/>
      </c>
      <c r="Z136" s="30">
        <f>IF($X136="","",IF($X136&gt;0,"Win",IF($X136&lt;0,"Loss","BE")))</f>
        <v/>
      </c>
      <c r="AA136" s="38">
        <f>IF(OR($C136="",$D136=""),"",ROUND(MOD($D136-$C136,1)*1440,0))</f>
        <v/>
      </c>
      <c r="AB136" s="34" t="n"/>
      <c r="AC136" s="34" t="n"/>
      <c r="AD136" s="35">
        <f>IFERROR(IF(OR($AB136="",$T136="",$T136=0),"",ROUND(ABS($N136-$AB136)*$S136*VLOOKUP($F136,'⚙️ Setelan'!$A$14:$F$20,4,FALSE)/$T136,2)),"")</f>
        <v/>
      </c>
      <c r="AE136" s="35">
        <f>IFERROR(IF(OR($AC136="",$T136="",$T136=0),"",ROUND(ABS($AC136-$N136)*$S136*VLOOKUP($F136,'⚙️ Setelan'!$A$14:$F$20,4,FALSE)/$T136,2)),"")</f>
        <v/>
      </c>
      <c r="AF136" s="33" t="n"/>
      <c r="AG136" s="33" t="n"/>
      <c r="AH136" s="33" t="n"/>
      <c r="AI136" s="33" t="n"/>
      <c r="AJ136" s="33" t="n"/>
      <c r="AK136" s="39" t="n"/>
      <c r="AL136" s="30">
        <f>IF(OR($C136="",$B136=""),"",IF(AND($Z135="Loss",$B136=$B135,MOD($C136-$D135,1)*1440&lt;'⚙️ Setelan'!$B$9),"⚠️ Revenge",""))</f>
        <v/>
      </c>
      <c r="AM136" s="40" t="n"/>
      <c r="AN136" s="30">
        <f>IF($AM136="","",IFERROR(IMAGE(IF(REGEXMATCH($AM136,"\.(png|jpg|jpeg|gif)$"),$AM136,"https://s3.tradingview.com/snapshots/"&amp;LOWER(MID(REGEXEXTRACT($AM136,"/x/([A-Za-z0-9]+)"),1,1))&amp;"/"&amp;REGEXEXTRACT($AM136,"/x/([A-Za-z0-9]+)")&amp;".png"),1),"⚠️ link tidak dikenali"))</f>
        <v/>
      </c>
      <c r="AO136" s="40" t="n"/>
      <c r="AP136" s="30">
        <f>IF($AO136="","",IFERROR(IMAGE(IF(REGEXMATCH($AO136,"\.(png|jpg|jpeg|gif)$"),$AO136,"https://s3.tradingview.com/snapshots/"&amp;LOWER(MID(REGEXEXTRACT($AO136,"/x/([A-Za-z0-9]+)"),1,1))&amp;"/"&amp;REGEXEXTRACT($AO136,"/x/([A-Za-z0-9]+)")&amp;".png"),1),"⚠️ link tidak dikenali"))</f>
        <v/>
      </c>
      <c r="AQ136" s="38">
        <f>IF($Z136="",0,IF(AND(OR('📊 Dashboard'!$B$4="(Semua)",$F136='📊 Dashboard'!$B$4),OR('📊 Dashboard'!$B$5="(Semua)",$H136='📊 Dashboard'!$B$5),OR('📊 Dashboard'!$B$6="(Semua)",$E136='📊 Dashboard'!$B$6),OR('📊 Dashboard'!$B$7="(Semua)",$AF136='📊 Dashboard'!$B$7),OR('📊 Dashboard'!$B$8="(Semua)",$AG136='📊 Dashboard'!$B$8),OR('📊 Dashboard'!$B$9="(Semua)",$K136='📊 Dashboard'!$B$9)),1,0))</f>
        <v/>
      </c>
    </row>
    <row r="137" ht="58" customHeight="1">
      <c r="A137" s="30">
        <f>IF($B137="","",ROW()-2)</f>
        <v/>
      </c>
      <c r="B137" s="31" t="n"/>
      <c r="C137" s="32" t="n"/>
      <c r="D137" s="32" t="n"/>
      <c r="E137" s="30">
        <f>IF($C137="","",IF(AND($C137&gt;=TIME(14,0,0),$C137&lt;TIME(19,30,0)),"London",IF(AND($C137&gt;=TIME(19,30,0),$C137&lt;TIME(23,0,0)),"Overlap LDN+NY",IF(OR($C137&gt;=TIME(23,0,0),$C137&lt;TIME(4,0,0)),"New York","Asia"))))</f>
        <v/>
      </c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4" t="n"/>
      <c r="O137" s="34" t="n"/>
      <c r="P137" s="34" t="n"/>
      <c r="Q137" s="34" t="n"/>
      <c r="R137" s="35">
        <f>IFERROR(IF(OR($N137="",$O137="",$F137=""),"",ROUND(('⚙️ Setelan'!$B$3*'⚙️ Setelan'!$B$4/100)/(ABS($N137-$O137)*VLOOKUP($F137,'⚙️ Setelan'!$A$14:$F$20,4,FALSE)),2)),"")</f>
        <v/>
      </c>
      <c r="S137" s="36" t="n"/>
      <c r="T137" s="37">
        <f>IFERROR(IF(OR($N137="",$O137="",$S137=""),"",ABS($N137-$O137)*$S137*VLOOKUP($F137,'⚙️ Setelan'!$A$14:$F$20,4,FALSE)),"")</f>
        <v/>
      </c>
      <c r="U137" s="35">
        <f>IFERROR(IF(OR($N137="",$O137="",$P137=""),"",ROUND(ABS($P137-$N137)/ABS($N137-$O137),2)),"")</f>
        <v/>
      </c>
      <c r="V137" s="37">
        <f>IFERROR(IF(OR($Q137="",$N137="",$S137=""),"",($Q137-$N137)*IF($G137="Buy",1,-1)*$S137*VLOOKUP($F137,'⚙️ Setelan'!$A$14:$F$20,4,FALSE)),"")</f>
        <v/>
      </c>
      <c r="W137" s="37">
        <f>IFERROR(IF(OR($S137="",$F137=""),"",$S137*VLOOKUP($F137,'⚙️ Setelan'!$A$14:$F$20,5,FALSE)),"")</f>
        <v/>
      </c>
      <c r="X137" s="37">
        <f>IF($V137="","",$V137-IF($W137="",0,$W137))</f>
        <v/>
      </c>
      <c r="Y137" s="35">
        <f>IF(OR($X137="",$T137="",$T137=0),"",ROUND($X137/$T137,2))</f>
        <v/>
      </c>
      <c r="Z137" s="30">
        <f>IF($X137="","",IF($X137&gt;0,"Win",IF($X137&lt;0,"Loss","BE")))</f>
        <v/>
      </c>
      <c r="AA137" s="38">
        <f>IF(OR($C137="",$D137=""),"",ROUND(MOD($D137-$C137,1)*1440,0))</f>
        <v/>
      </c>
      <c r="AB137" s="34" t="n"/>
      <c r="AC137" s="34" t="n"/>
      <c r="AD137" s="35">
        <f>IFERROR(IF(OR($AB137="",$T137="",$T137=0),"",ROUND(ABS($N137-$AB137)*$S137*VLOOKUP($F137,'⚙️ Setelan'!$A$14:$F$20,4,FALSE)/$T137,2)),"")</f>
        <v/>
      </c>
      <c r="AE137" s="35">
        <f>IFERROR(IF(OR($AC137="",$T137="",$T137=0),"",ROUND(ABS($AC137-$N137)*$S137*VLOOKUP($F137,'⚙️ Setelan'!$A$14:$F$20,4,FALSE)/$T137,2)),"")</f>
        <v/>
      </c>
      <c r="AF137" s="33" t="n"/>
      <c r="AG137" s="33" t="n"/>
      <c r="AH137" s="33" t="n"/>
      <c r="AI137" s="33" t="n"/>
      <c r="AJ137" s="33" t="n"/>
      <c r="AK137" s="39" t="n"/>
      <c r="AL137" s="30">
        <f>IF(OR($C137="",$B137=""),"",IF(AND($Z136="Loss",$B137=$B136,MOD($C137-$D136,1)*1440&lt;'⚙️ Setelan'!$B$9),"⚠️ Revenge",""))</f>
        <v/>
      </c>
      <c r="AM137" s="40" t="n"/>
      <c r="AN137" s="30">
        <f>IF($AM137="","",IFERROR(IMAGE(IF(REGEXMATCH($AM137,"\.(png|jpg|jpeg|gif)$"),$AM137,"https://s3.tradingview.com/snapshots/"&amp;LOWER(MID(REGEXEXTRACT($AM137,"/x/([A-Za-z0-9]+)"),1,1))&amp;"/"&amp;REGEXEXTRACT($AM137,"/x/([A-Za-z0-9]+)")&amp;".png"),1),"⚠️ link tidak dikenali"))</f>
        <v/>
      </c>
      <c r="AO137" s="40" t="n"/>
      <c r="AP137" s="30">
        <f>IF($AO137="","",IFERROR(IMAGE(IF(REGEXMATCH($AO137,"\.(png|jpg|jpeg|gif)$"),$AO137,"https://s3.tradingview.com/snapshots/"&amp;LOWER(MID(REGEXEXTRACT($AO137,"/x/([A-Za-z0-9]+)"),1,1))&amp;"/"&amp;REGEXEXTRACT($AO137,"/x/([A-Za-z0-9]+)")&amp;".png"),1),"⚠️ link tidak dikenali"))</f>
        <v/>
      </c>
      <c r="AQ137" s="38">
        <f>IF($Z137="",0,IF(AND(OR('📊 Dashboard'!$B$4="(Semua)",$F137='📊 Dashboard'!$B$4),OR('📊 Dashboard'!$B$5="(Semua)",$H137='📊 Dashboard'!$B$5),OR('📊 Dashboard'!$B$6="(Semua)",$E137='📊 Dashboard'!$B$6),OR('📊 Dashboard'!$B$7="(Semua)",$AF137='📊 Dashboard'!$B$7),OR('📊 Dashboard'!$B$8="(Semua)",$AG137='📊 Dashboard'!$B$8),OR('📊 Dashboard'!$B$9="(Semua)",$K137='📊 Dashboard'!$B$9)),1,0))</f>
        <v/>
      </c>
    </row>
    <row r="138" ht="58" customHeight="1">
      <c r="A138" s="30">
        <f>IF($B138="","",ROW()-2)</f>
        <v/>
      </c>
      <c r="B138" s="31" t="n"/>
      <c r="C138" s="32" t="n"/>
      <c r="D138" s="32" t="n"/>
      <c r="E138" s="30">
        <f>IF($C138="","",IF(AND($C138&gt;=TIME(14,0,0),$C138&lt;TIME(19,30,0)),"London",IF(AND($C138&gt;=TIME(19,30,0),$C138&lt;TIME(23,0,0)),"Overlap LDN+NY",IF(OR($C138&gt;=TIME(23,0,0),$C138&lt;TIME(4,0,0)),"New York","Asia"))))</f>
        <v/>
      </c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4" t="n"/>
      <c r="O138" s="34" t="n"/>
      <c r="P138" s="34" t="n"/>
      <c r="Q138" s="34" t="n"/>
      <c r="R138" s="35">
        <f>IFERROR(IF(OR($N138="",$O138="",$F138=""),"",ROUND(('⚙️ Setelan'!$B$3*'⚙️ Setelan'!$B$4/100)/(ABS($N138-$O138)*VLOOKUP($F138,'⚙️ Setelan'!$A$14:$F$20,4,FALSE)),2)),"")</f>
        <v/>
      </c>
      <c r="S138" s="36" t="n"/>
      <c r="T138" s="37">
        <f>IFERROR(IF(OR($N138="",$O138="",$S138=""),"",ABS($N138-$O138)*$S138*VLOOKUP($F138,'⚙️ Setelan'!$A$14:$F$20,4,FALSE)),"")</f>
        <v/>
      </c>
      <c r="U138" s="35">
        <f>IFERROR(IF(OR($N138="",$O138="",$P138=""),"",ROUND(ABS($P138-$N138)/ABS($N138-$O138),2)),"")</f>
        <v/>
      </c>
      <c r="V138" s="37">
        <f>IFERROR(IF(OR($Q138="",$N138="",$S138=""),"",($Q138-$N138)*IF($G138="Buy",1,-1)*$S138*VLOOKUP($F138,'⚙️ Setelan'!$A$14:$F$20,4,FALSE)),"")</f>
        <v/>
      </c>
      <c r="W138" s="37">
        <f>IFERROR(IF(OR($S138="",$F138=""),"",$S138*VLOOKUP($F138,'⚙️ Setelan'!$A$14:$F$20,5,FALSE)),"")</f>
        <v/>
      </c>
      <c r="X138" s="37">
        <f>IF($V138="","",$V138-IF($W138="",0,$W138))</f>
        <v/>
      </c>
      <c r="Y138" s="35">
        <f>IF(OR($X138="",$T138="",$T138=0),"",ROUND($X138/$T138,2))</f>
        <v/>
      </c>
      <c r="Z138" s="30">
        <f>IF($X138="","",IF($X138&gt;0,"Win",IF($X138&lt;0,"Loss","BE")))</f>
        <v/>
      </c>
      <c r="AA138" s="38">
        <f>IF(OR($C138="",$D138=""),"",ROUND(MOD($D138-$C138,1)*1440,0))</f>
        <v/>
      </c>
      <c r="AB138" s="34" t="n"/>
      <c r="AC138" s="34" t="n"/>
      <c r="AD138" s="35">
        <f>IFERROR(IF(OR($AB138="",$T138="",$T138=0),"",ROUND(ABS($N138-$AB138)*$S138*VLOOKUP($F138,'⚙️ Setelan'!$A$14:$F$20,4,FALSE)/$T138,2)),"")</f>
        <v/>
      </c>
      <c r="AE138" s="35">
        <f>IFERROR(IF(OR($AC138="",$T138="",$T138=0),"",ROUND(ABS($AC138-$N138)*$S138*VLOOKUP($F138,'⚙️ Setelan'!$A$14:$F$20,4,FALSE)/$T138,2)),"")</f>
        <v/>
      </c>
      <c r="AF138" s="33" t="n"/>
      <c r="AG138" s="33" t="n"/>
      <c r="AH138" s="33" t="n"/>
      <c r="AI138" s="33" t="n"/>
      <c r="AJ138" s="33" t="n"/>
      <c r="AK138" s="39" t="n"/>
      <c r="AL138" s="30">
        <f>IF(OR($C138="",$B138=""),"",IF(AND($Z137="Loss",$B138=$B137,MOD($C138-$D137,1)*1440&lt;'⚙️ Setelan'!$B$9),"⚠️ Revenge",""))</f>
        <v/>
      </c>
      <c r="AM138" s="40" t="n"/>
      <c r="AN138" s="30">
        <f>IF($AM138="","",IFERROR(IMAGE(IF(REGEXMATCH($AM138,"\.(png|jpg|jpeg|gif)$"),$AM138,"https://s3.tradingview.com/snapshots/"&amp;LOWER(MID(REGEXEXTRACT($AM138,"/x/([A-Za-z0-9]+)"),1,1))&amp;"/"&amp;REGEXEXTRACT($AM138,"/x/([A-Za-z0-9]+)")&amp;".png"),1),"⚠️ link tidak dikenali"))</f>
        <v/>
      </c>
      <c r="AO138" s="40" t="n"/>
      <c r="AP138" s="30">
        <f>IF($AO138="","",IFERROR(IMAGE(IF(REGEXMATCH($AO138,"\.(png|jpg|jpeg|gif)$"),$AO138,"https://s3.tradingview.com/snapshots/"&amp;LOWER(MID(REGEXEXTRACT($AO138,"/x/([A-Za-z0-9]+)"),1,1))&amp;"/"&amp;REGEXEXTRACT($AO138,"/x/([A-Za-z0-9]+)")&amp;".png"),1),"⚠️ link tidak dikenali"))</f>
        <v/>
      </c>
      <c r="AQ138" s="38">
        <f>IF($Z138="",0,IF(AND(OR('📊 Dashboard'!$B$4="(Semua)",$F138='📊 Dashboard'!$B$4),OR('📊 Dashboard'!$B$5="(Semua)",$H138='📊 Dashboard'!$B$5),OR('📊 Dashboard'!$B$6="(Semua)",$E138='📊 Dashboard'!$B$6),OR('📊 Dashboard'!$B$7="(Semua)",$AF138='📊 Dashboard'!$B$7),OR('📊 Dashboard'!$B$8="(Semua)",$AG138='📊 Dashboard'!$B$8),OR('📊 Dashboard'!$B$9="(Semua)",$K138='📊 Dashboard'!$B$9)),1,0))</f>
        <v/>
      </c>
    </row>
    <row r="139" ht="58" customHeight="1">
      <c r="A139" s="30">
        <f>IF($B139="","",ROW()-2)</f>
        <v/>
      </c>
      <c r="B139" s="31" t="n"/>
      <c r="C139" s="32" t="n"/>
      <c r="D139" s="32" t="n"/>
      <c r="E139" s="30">
        <f>IF($C139="","",IF(AND($C139&gt;=TIME(14,0,0),$C139&lt;TIME(19,30,0)),"London",IF(AND($C139&gt;=TIME(19,30,0),$C139&lt;TIME(23,0,0)),"Overlap LDN+NY",IF(OR($C139&gt;=TIME(23,0,0),$C139&lt;TIME(4,0,0)),"New York","Asia"))))</f>
        <v/>
      </c>
      <c r="F139" s="33" t="n"/>
      <c r="G139" s="33" t="n"/>
      <c r="H139" s="33" t="n"/>
      <c r="I139" s="33" t="n"/>
      <c r="J139" s="33" t="n"/>
      <c r="K139" s="33" t="n"/>
      <c r="L139" s="33" t="n"/>
      <c r="M139" s="33" t="n"/>
      <c r="N139" s="34" t="n"/>
      <c r="O139" s="34" t="n"/>
      <c r="P139" s="34" t="n"/>
      <c r="Q139" s="34" t="n"/>
      <c r="R139" s="35">
        <f>IFERROR(IF(OR($N139="",$O139="",$F139=""),"",ROUND(('⚙️ Setelan'!$B$3*'⚙️ Setelan'!$B$4/100)/(ABS($N139-$O139)*VLOOKUP($F139,'⚙️ Setelan'!$A$14:$F$20,4,FALSE)),2)),"")</f>
        <v/>
      </c>
      <c r="S139" s="36" t="n"/>
      <c r="T139" s="37">
        <f>IFERROR(IF(OR($N139="",$O139="",$S139=""),"",ABS($N139-$O139)*$S139*VLOOKUP($F139,'⚙️ Setelan'!$A$14:$F$20,4,FALSE)),"")</f>
        <v/>
      </c>
      <c r="U139" s="35">
        <f>IFERROR(IF(OR($N139="",$O139="",$P139=""),"",ROUND(ABS($P139-$N139)/ABS($N139-$O139),2)),"")</f>
        <v/>
      </c>
      <c r="V139" s="37">
        <f>IFERROR(IF(OR($Q139="",$N139="",$S139=""),"",($Q139-$N139)*IF($G139="Buy",1,-1)*$S139*VLOOKUP($F139,'⚙️ Setelan'!$A$14:$F$20,4,FALSE)),"")</f>
        <v/>
      </c>
      <c r="W139" s="37">
        <f>IFERROR(IF(OR($S139="",$F139=""),"",$S139*VLOOKUP($F139,'⚙️ Setelan'!$A$14:$F$20,5,FALSE)),"")</f>
        <v/>
      </c>
      <c r="X139" s="37">
        <f>IF($V139="","",$V139-IF($W139="",0,$W139))</f>
        <v/>
      </c>
      <c r="Y139" s="35">
        <f>IF(OR($X139="",$T139="",$T139=0),"",ROUND($X139/$T139,2))</f>
        <v/>
      </c>
      <c r="Z139" s="30">
        <f>IF($X139="","",IF($X139&gt;0,"Win",IF($X139&lt;0,"Loss","BE")))</f>
        <v/>
      </c>
      <c r="AA139" s="38">
        <f>IF(OR($C139="",$D139=""),"",ROUND(MOD($D139-$C139,1)*1440,0))</f>
        <v/>
      </c>
      <c r="AB139" s="34" t="n"/>
      <c r="AC139" s="34" t="n"/>
      <c r="AD139" s="35">
        <f>IFERROR(IF(OR($AB139="",$T139="",$T139=0),"",ROUND(ABS($N139-$AB139)*$S139*VLOOKUP($F139,'⚙️ Setelan'!$A$14:$F$20,4,FALSE)/$T139,2)),"")</f>
        <v/>
      </c>
      <c r="AE139" s="35">
        <f>IFERROR(IF(OR($AC139="",$T139="",$T139=0),"",ROUND(ABS($AC139-$N139)*$S139*VLOOKUP($F139,'⚙️ Setelan'!$A$14:$F$20,4,FALSE)/$T139,2)),"")</f>
        <v/>
      </c>
      <c r="AF139" s="33" t="n"/>
      <c r="AG139" s="33" t="n"/>
      <c r="AH139" s="33" t="n"/>
      <c r="AI139" s="33" t="n"/>
      <c r="AJ139" s="33" t="n"/>
      <c r="AK139" s="39" t="n"/>
      <c r="AL139" s="30">
        <f>IF(OR($C139="",$B139=""),"",IF(AND($Z138="Loss",$B139=$B138,MOD($C139-$D138,1)*1440&lt;'⚙️ Setelan'!$B$9),"⚠️ Revenge",""))</f>
        <v/>
      </c>
      <c r="AM139" s="40" t="n"/>
      <c r="AN139" s="30">
        <f>IF($AM139="","",IFERROR(IMAGE(IF(REGEXMATCH($AM139,"\.(png|jpg|jpeg|gif)$"),$AM139,"https://s3.tradingview.com/snapshots/"&amp;LOWER(MID(REGEXEXTRACT($AM139,"/x/([A-Za-z0-9]+)"),1,1))&amp;"/"&amp;REGEXEXTRACT($AM139,"/x/([A-Za-z0-9]+)")&amp;".png"),1),"⚠️ link tidak dikenali"))</f>
        <v/>
      </c>
      <c r="AO139" s="40" t="n"/>
      <c r="AP139" s="30">
        <f>IF($AO139="","",IFERROR(IMAGE(IF(REGEXMATCH($AO139,"\.(png|jpg|jpeg|gif)$"),$AO139,"https://s3.tradingview.com/snapshots/"&amp;LOWER(MID(REGEXEXTRACT($AO139,"/x/([A-Za-z0-9]+)"),1,1))&amp;"/"&amp;REGEXEXTRACT($AO139,"/x/([A-Za-z0-9]+)")&amp;".png"),1),"⚠️ link tidak dikenali"))</f>
        <v/>
      </c>
      <c r="AQ139" s="38">
        <f>IF($Z139="",0,IF(AND(OR('📊 Dashboard'!$B$4="(Semua)",$F139='📊 Dashboard'!$B$4),OR('📊 Dashboard'!$B$5="(Semua)",$H139='📊 Dashboard'!$B$5),OR('📊 Dashboard'!$B$6="(Semua)",$E139='📊 Dashboard'!$B$6),OR('📊 Dashboard'!$B$7="(Semua)",$AF139='📊 Dashboard'!$B$7),OR('📊 Dashboard'!$B$8="(Semua)",$AG139='📊 Dashboard'!$B$8),OR('📊 Dashboard'!$B$9="(Semua)",$K139='📊 Dashboard'!$B$9)),1,0))</f>
        <v/>
      </c>
    </row>
    <row r="140" ht="58" customHeight="1">
      <c r="A140" s="30">
        <f>IF($B140="","",ROW()-2)</f>
        <v/>
      </c>
      <c r="B140" s="31" t="n"/>
      <c r="C140" s="32" t="n"/>
      <c r="D140" s="32" t="n"/>
      <c r="E140" s="30">
        <f>IF($C140="","",IF(AND($C140&gt;=TIME(14,0,0),$C140&lt;TIME(19,30,0)),"London",IF(AND($C140&gt;=TIME(19,30,0),$C140&lt;TIME(23,0,0)),"Overlap LDN+NY",IF(OR($C140&gt;=TIME(23,0,0),$C140&lt;TIME(4,0,0)),"New York","Asia"))))</f>
        <v/>
      </c>
      <c r="F140" s="33" t="n"/>
      <c r="G140" s="33" t="n"/>
      <c r="H140" s="33" t="n"/>
      <c r="I140" s="33" t="n"/>
      <c r="J140" s="33" t="n"/>
      <c r="K140" s="33" t="n"/>
      <c r="L140" s="33" t="n"/>
      <c r="M140" s="33" t="n"/>
      <c r="N140" s="34" t="n"/>
      <c r="O140" s="34" t="n"/>
      <c r="P140" s="34" t="n"/>
      <c r="Q140" s="34" t="n"/>
      <c r="R140" s="35">
        <f>IFERROR(IF(OR($N140="",$O140="",$F140=""),"",ROUND(('⚙️ Setelan'!$B$3*'⚙️ Setelan'!$B$4/100)/(ABS($N140-$O140)*VLOOKUP($F140,'⚙️ Setelan'!$A$14:$F$20,4,FALSE)),2)),"")</f>
        <v/>
      </c>
      <c r="S140" s="36" t="n"/>
      <c r="T140" s="37">
        <f>IFERROR(IF(OR($N140="",$O140="",$S140=""),"",ABS($N140-$O140)*$S140*VLOOKUP($F140,'⚙️ Setelan'!$A$14:$F$20,4,FALSE)),"")</f>
        <v/>
      </c>
      <c r="U140" s="35">
        <f>IFERROR(IF(OR($N140="",$O140="",$P140=""),"",ROUND(ABS($P140-$N140)/ABS($N140-$O140),2)),"")</f>
        <v/>
      </c>
      <c r="V140" s="37">
        <f>IFERROR(IF(OR($Q140="",$N140="",$S140=""),"",($Q140-$N140)*IF($G140="Buy",1,-1)*$S140*VLOOKUP($F140,'⚙️ Setelan'!$A$14:$F$20,4,FALSE)),"")</f>
        <v/>
      </c>
      <c r="W140" s="37">
        <f>IFERROR(IF(OR($S140="",$F140=""),"",$S140*VLOOKUP($F140,'⚙️ Setelan'!$A$14:$F$20,5,FALSE)),"")</f>
        <v/>
      </c>
      <c r="X140" s="37">
        <f>IF($V140="","",$V140-IF($W140="",0,$W140))</f>
        <v/>
      </c>
      <c r="Y140" s="35">
        <f>IF(OR($X140="",$T140="",$T140=0),"",ROUND($X140/$T140,2))</f>
        <v/>
      </c>
      <c r="Z140" s="30">
        <f>IF($X140="","",IF($X140&gt;0,"Win",IF($X140&lt;0,"Loss","BE")))</f>
        <v/>
      </c>
      <c r="AA140" s="38">
        <f>IF(OR($C140="",$D140=""),"",ROUND(MOD($D140-$C140,1)*1440,0))</f>
        <v/>
      </c>
      <c r="AB140" s="34" t="n"/>
      <c r="AC140" s="34" t="n"/>
      <c r="AD140" s="35">
        <f>IFERROR(IF(OR($AB140="",$T140="",$T140=0),"",ROUND(ABS($N140-$AB140)*$S140*VLOOKUP($F140,'⚙️ Setelan'!$A$14:$F$20,4,FALSE)/$T140,2)),"")</f>
        <v/>
      </c>
      <c r="AE140" s="35">
        <f>IFERROR(IF(OR($AC140="",$T140="",$T140=0),"",ROUND(ABS($AC140-$N140)*$S140*VLOOKUP($F140,'⚙️ Setelan'!$A$14:$F$20,4,FALSE)/$T140,2)),"")</f>
        <v/>
      </c>
      <c r="AF140" s="33" t="n"/>
      <c r="AG140" s="33" t="n"/>
      <c r="AH140" s="33" t="n"/>
      <c r="AI140" s="33" t="n"/>
      <c r="AJ140" s="33" t="n"/>
      <c r="AK140" s="39" t="n"/>
      <c r="AL140" s="30">
        <f>IF(OR($C140="",$B140=""),"",IF(AND($Z139="Loss",$B140=$B139,MOD($C140-$D139,1)*1440&lt;'⚙️ Setelan'!$B$9),"⚠️ Revenge",""))</f>
        <v/>
      </c>
      <c r="AM140" s="40" t="n"/>
      <c r="AN140" s="30">
        <f>IF($AM140="","",IFERROR(IMAGE(IF(REGEXMATCH($AM140,"\.(png|jpg|jpeg|gif)$"),$AM140,"https://s3.tradingview.com/snapshots/"&amp;LOWER(MID(REGEXEXTRACT($AM140,"/x/([A-Za-z0-9]+)"),1,1))&amp;"/"&amp;REGEXEXTRACT($AM140,"/x/([A-Za-z0-9]+)")&amp;".png"),1),"⚠️ link tidak dikenali"))</f>
        <v/>
      </c>
      <c r="AO140" s="40" t="n"/>
      <c r="AP140" s="30">
        <f>IF($AO140="","",IFERROR(IMAGE(IF(REGEXMATCH($AO140,"\.(png|jpg|jpeg|gif)$"),$AO140,"https://s3.tradingview.com/snapshots/"&amp;LOWER(MID(REGEXEXTRACT($AO140,"/x/([A-Za-z0-9]+)"),1,1))&amp;"/"&amp;REGEXEXTRACT($AO140,"/x/([A-Za-z0-9]+)")&amp;".png"),1),"⚠️ link tidak dikenali"))</f>
        <v/>
      </c>
      <c r="AQ140" s="38">
        <f>IF($Z140="",0,IF(AND(OR('📊 Dashboard'!$B$4="(Semua)",$F140='📊 Dashboard'!$B$4),OR('📊 Dashboard'!$B$5="(Semua)",$H140='📊 Dashboard'!$B$5),OR('📊 Dashboard'!$B$6="(Semua)",$E140='📊 Dashboard'!$B$6),OR('📊 Dashboard'!$B$7="(Semua)",$AF140='📊 Dashboard'!$B$7),OR('📊 Dashboard'!$B$8="(Semua)",$AG140='📊 Dashboard'!$B$8),OR('📊 Dashboard'!$B$9="(Semua)",$K140='📊 Dashboard'!$B$9)),1,0))</f>
        <v/>
      </c>
    </row>
    <row r="141" ht="58" customHeight="1">
      <c r="A141" s="30">
        <f>IF($B141="","",ROW()-2)</f>
        <v/>
      </c>
      <c r="B141" s="31" t="n"/>
      <c r="C141" s="32" t="n"/>
      <c r="D141" s="32" t="n"/>
      <c r="E141" s="30">
        <f>IF($C141="","",IF(AND($C141&gt;=TIME(14,0,0),$C141&lt;TIME(19,30,0)),"London",IF(AND($C141&gt;=TIME(19,30,0),$C141&lt;TIME(23,0,0)),"Overlap LDN+NY",IF(OR($C141&gt;=TIME(23,0,0),$C141&lt;TIME(4,0,0)),"New York","Asia"))))</f>
        <v/>
      </c>
      <c r="F141" s="33" t="n"/>
      <c r="G141" s="33" t="n"/>
      <c r="H141" s="33" t="n"/>
      <c r="I141" s="33" t="n"/>
      <c r="J141" s="33" t="n"/>
      <c r="K141" s="33" t="n"/>
      <c r="L141" s="33" t="n"/>
      <c r="M141" s="33" t="n"/>
      <c r="N141" s="34" t="n"/>
      <c r="O141" s="34" t="n"/>
      <c r="P141" s="34" t="n"/>
      <c r="Q141" s="34" t="n"/>
      <c r="R141" s="35">
        <f>IFERROR(IF(OR($N141="",$O141="",$F141=""),"",ROUND(('⚙️ Setelan'!$B$3*'⚙️ Setelan'!$B$4/100)/(ABS($N141-$O141)*VLOOKUP($F141,'⚙️ Setelan'!$A$14:$F$20,4,FALSE)),2)),"")</f>
        <v/>
      </c>
      <c r="S141" s="36" t="n"/>
      <c r="T141" s="37">
        <f>IFERROR(IF(OR($N141="",$O141="",$S141=""),"",ABS($N141-$O141)*$S141*VLOOKUP($F141,'⚙️ Setelan'!$A$14:$F$20,4,FALSE)),"")</f>
        <v/>
      </c>
      <c r="U141" s="35">
        <f>IFERROR(IF(OR($N141="",$O141="",$P141=""),"",ROUND(ABS($P141-$N141)/ABS($N141-$O141),2)),"")</f>
        <v/>
      </c>
      <c r="V141" s="37">
        <f>IFERROR(IF(OR($Q141="",$N141="",$S141=""),"",($Q141-$N141)*IF($G141="Buy",1,-1)*$S141*VLOOKUP($F141,'⚙️ Setelan'!$A$14:$F$20,4,FALSE)),"")</f>
        <v/>
      </c>
      <c r="W141" s="37">
        <f>IFERROR(IF(OR($S141="",$F141=""),"",$S141*VLOOKUP($F141,'⚙️ Setelan'!$A$14:$F$20,5,FALSE)),"")</f>
        <v/>
      </c>
      <c r="X141" s="37">
        <f>IF($V141="","",$V141-IF($W141="",0,$W141))</f>
        <v/>
      </c>
      <c r="Y141" s="35">
        <f>IF(OR($X141="",$T141="",$T141=0),"",ROUND($X141/$T141,2))</f>
        <v/>
      </c>
      <c r="Z141" s="30">
        <f>IF($X141="","",IF($X141&gt;0,"Win",IF($X141&lt;0,"Loss","BE")))</f>
        <v/>
      </c>
      <c r="AA141" s="38">
        <f>IF(OR($C141="",$D141=""),"",ROUND(MOD($D141-$C141,1)*1440,0))</f>
        <v/>
      </c>
      <c r="AB141" s="34" t="n"/>
      <c r="AC141" s="34" t="n"/>
      <c r="AD141" s="35">
        <f>IFERROR(IF(OR($AB141="",$T141="",$T141=0),"",ROUND(ABS($N141-$AB141)*$S141*VLOOKUP($F141,'⚙️ Setelan'!$A$14:$F$20,4,FALSE)/$T141,2)),"")</f>
        <v/>
      </c>
      <c r="AE141" s="35">
        <f>IFERROR(IF(OR($AC141="",$T141="",$T141=0),"",ROUND(ABS($AC141-$N141)*$S141*VLOOKUP($F141,'⚙️ Setelan'!$A$14:$F$20,4,FALSE)/$T141,2)),"")</f>
        <v/>
      </c>
      <c r="AF141" s="33" t="n"/>
      <c r="AG141" s="33" t="n"/>
      <c r="AH141" s="33" t="n"/>
      <c r="AI141" s="33" t="n"/>
      <c r="AJ141" s="33" t="n"/>
      <c r="AK141" s="39" t="n"/>
      <c r="AL141" s="30">
        <f>IF(OR($C141="",$B141=""),"",IF(AND($Z140="Loss",$B141=$B140,MOD($C141-$D140,1)*1440&lt;'⚙️ Setelan'!$B$9),"⚠️ Revenge",""))</f>
        <v/>
      </c>
      <c r="AM141" s="40" t="n"/>
      <c r="AN141" s="30">
        <f>IF($AM141="","",IFERROR(IMAGE(IF(REGEXMATCH($AM141,"\.(png|jpg|jpeg|gif)$"),$AM141,"https://s3.tradingview.com/snapshots/"&amp;LOWER(MID(REGEXEXTRACT($AM141,"/x/([A-Za-z0-9]+)"),1,1))&amp;"/"&amp;REGEXEXTRACT($AM141,"/x/([A-Za-z0-9]+)")&amp;".png"),1),"⚠️ link tidak dikenali"))</f>
        <v/>
      </c>
      <c r="AO141" s="40" t="n"/>
      <c r="AP141" s="30">
        <f>IF($AO141="","",IFERROR(IMAGE(IF(REGEXMATCH($AO141,"\.(png|jpg|jpeg|gif)$"),$AO141,"https://s3.tradingview.com/snapshots/"&amp;LOWER(MID(REGEXEXTRACT($AO141,"/x/([A-Za-z0-9]+)"),1,1))&amp;"/"&amp;REGEXEXTRACT($AO141,"/x/([A-Za-z0-9]+)")&amp;".png"),1),"⚠️ link tidak dikenali"))</f>
        <v/>
      </c>
      <c r="AQ141" s="38">
        <f>IF($Z141="",0,IF(AND(OR('📊 Dashboard'!$B$4="(Semua)",$F141='📊 Dashboard'!$B$4),OR('📊 Dashboard'!$B$5="(Semua)",$H141='📊 Dashboard'!$B$5),OR('📊 Dashboard'!$B$6="(Semua)",$E141='📊 Dashboard'!$B$6),OR('📊 Dashboard'!$B$7="(Semua)",$AF141='📊 Dashboard'!$B$7),OR('📊 Dashboard'!$B$8="(Semua)",$AG141='📊 Dashboard'!$B$8),OR('📊 Dashboard'!$B$9="(Semua)",$K141='📊 Dashboard'!$B$9)),1,0))</f>
        <v/>
      </c>
    </row>
    <row r="142" ht="58" customHeight="1">
      <c r="A142" s="30">
        <f>IF($B142="","",ROW()-2)</f>
        <v/>
      </c>
      <c r="B142" s="31" t="n"/>
      <c r="C142" s="32" t="n"/>
      <c r="D142" s="32" t="n"/>
      <c r="E142" s="30">
        <f>IF($C142="","",IF(AND($C142&gt;=TIME(14,0,0),$C142&lt;TIME(19,30,0)),"London",IF(AND($C142&gt;=TIME(19,30,0),$C142&lt;TIME(23,0,0)),"Overlap LDN+NY",IF(OR($C142&gt;=TIME(23,0,0),$C142&lt;TIME(4,0,0)),"New York","Asia"))))</f>
        <v/>
      </c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4" t="n"/>
      <c r="O142" s="34" t="n"/>
      <c r="P142" s="34" t="n"/>
      <c r="Q142" s="34" t="n"/>
      <c r="R142" s="35">
        <f>IFERROR(IF(OR($N142="",$O142="",$F142=""),"",ROUND(('⚙️ Setelan'!$B$3*'⚙️ Setelan'!$B$4/100)/(ABS($N142-$O142)*VLOOKUP($F142,'⚙️ Setelan'!$A$14:$F$20,4,FALSE)),2)),"")</f>
        <v/>
      </c>
      <c r="S142" s="36" t="n"/>
      <c r="T142" s="37">
        <f>IFERROR(IF(OR($N142="",$O142="",$S142=""),"",ABS($N142-$O142)*$S142*VLOOKUP($F142,'⚙️ Setelan'!$A$14:$F$20,4,FALSE)),"")</f>
        <v/>
      </c>
      <c r="U142" s="35">
        <f>IFERROR(IF(OR($N142="",$O142="",$P142=""),"",ROUND(ABS($P142-$N142)/ABS($N142-$O142),2)),"")</f>
        <v/>
      </c>
      <c r="V142" s="37">
        <f>IFERROR(IF(OR($Q142="",$N142="",$S142=""),"",($Q142-$N142)*IF($G142="Buy",1,-1)*$S142*VLOOKUP($F142,'⚙️ Setelan'!$A$14:$F$20,4,FALSE)),"")</f>
        <v/>
      </c>
      <c r="W142" s="37">
        <f>IFERROR(IF(OR($S142="",$F142=""),"",$S142*VLOOKUP($F142,'⚙️ Setelan'!$A$14:$F$20,5,FALSE)),"")</f>
        <v/>
      </c>
      <c r="X142" s="37">
        <f>IF($V142="","",$V142-IF($W142="",0,$W142))</f>
        <v/>
      </c>
      <c r="Y142" s="35">
        <f>IF(OR($X142="",$T142="",$T142=0),"",ROUND($X142/$T142,2))</f>
        <v/>
      </c>
      <c r="Z142" s="30">
        <f>IF($X142="","",IF($X142&gt;0,"Win",IF($X142&lt;0,"Loss","BE")))</f>
        <v/>
      </c>
      <c r="AA142" s="38">
        <f>IF(OR($C142="",$D142=""),"",ROUND(MOD($D142-$C142,1)*1440,0))</f>
        <v/>
      </c>
      <c r="AB142" s="34" t="n"/>
      <c r="AC142" s="34" t="n"/>
      <c r="AD142" s="35">
        <f>IFERROR(IF(OR($AB142="",$T142="",$T142=0),"",ROUND(ABS($N142-$AB142)*$S142*VLOOKUP($F142,'⚙️ Setelan'!$A$14:$F$20,4,FALSE)/$T142,2)),"")</f>
        <v/>
      </c>
      <c r="AE142" s="35">
        <f>IFERROR(IF(OR($AC142="",$T142="",$T142=0),"",ROUND(ABS($AC142-$N142)*$S142*VLOOKUP($F142,'⚙️ Setelan'!$A$14:$F$20,4,FALSE)/$T142,2)),"")</f>
        <v/>
      </c>
      <c r="AF142" s="33" t="n"/>
      <c r="AG142" s="33" t="n"/>
      <c r="AH142" s="33" t="n"/>
      <c r="AI142" s="33" t="n"/>
      <c r="AJ142" s="33" t="n"/>
      <c r="AK142" s="39" t="n"/>
      <c r="AL142" s="30">
        <f>IF(OR($C142="",$B142=""),"",IF(AND($Z141="Loss",$B142=$B141,MOD($C142-$D141,1)*1440&lt;'⚙️ Setelan'!$B$9),"⚠️ Revenge",""))</f>
        <v/>
      </c>
      <c r="AM142" s="40" t="n"/>
      <c r="AN142" s="30">
        <f>IF($AM142="","",IFERROR(IMAGE(IF(REGEXMATCH($AM142,"\.(png|jpg|jpeg|gif)$"),$AM142,"https://s3.tradingview.com/snapshots/"&amp;LOWER(MID(REGEXEXTRACT($AM142,"/x/([A-Za-z0-9]+)"),1,1))&amp;"/"&amp;REGEXEXTRACT($AM142,"/x/([A-Za-z0-9]+)")&amp;".png"),1),"⚠️ link tidak dikenali"))</f>
        <v/>
      </c>
      <c r="AO142" s="40" t="n"/>
      <c r="AP142" s="30">
        <f>IF($AO142="","",IFERROR(IMAGE(IF(REGEXMATCH($AO142,"\.(png|jpg|jpeg|gif)$"),$AO142,"https://s3.tradingview.com/snapshots/"&amp;LOWER(MID(REGEXEXTRACT($AO142,"/x/([A-Za-z0-9]+)"),1,1))&amp;"/"&amp;REGEXEXTRACT($AO142,"/x/([A-Za-z0-9]+)")&amp;".png"),1),"⚠️ link tidak dikenali"))</f>
        <v/>
      </c>
      <c r="AQ142" s="38">
        <f>IF($Z142="",0,IF(AND(OR('📊 Dashboard'!$B$4="(Semua)",$F142='📊 Dashboard'!$B$4),OR('📊 Dashboard'!$B$5="(Semua)",$H142='📊 Dashboard'!$B$5),OR('📊 Dashboard'!$B$6="(Semua)",$E142='📊 Dashboard'!$B$6),OR('📊 Dashboard'!$B$7="(Semua)",$AF142='📊 Dashboard'!$B$7),OR('📊 Dashboard'!$B$8="(Semua)",$AG142='📊 Dashboard'!$B$8),OR('📊 Dashboard'!$B$9="(Semua)",$K142='📊 Dashboard'!$B$9)),1,0))</f>
        <v/>
      </c>
    </row>
    <row r="143" ht="58" customHeight="1">
      <c r="A143" s="30">
        <f>IF($B143="","",ROW()-2)</f>
        <v/>
      </c>
      <c r="B143" s="31" t="n"/>
      <c r="C143" s="32" t="n"/>
      <c r="D143" s="32" t="n"/>
      <c r="E143" s="30">
        <f>IF($C143="","",IF(AND($C143&gt;=TIME(14,0,0),$C143&lt;TIME(19,30,0)),"London",IF(AND($C143&gt;=TIME(19,30,0),$C143&lt;TIME(23,0,0)),"Overlap LDN+NY",IF(OR($C143&gt;=TIME(23,0,0),$C143&lt;TIME(4,0,0)),"New York","Asia"))))</f>
        <v/>
      </c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4" t="n"/>
      <c r="O143" s="34" t="n"/>
      <c r="P143" s="34" t="n"/>
      <c r="Q143" s="34" t="n"/>
      <c r="R143" s="35">
        <f>IFERROR(IF(OR($N143="",$O143="",$F143=""),"",ROUND(('⚙️ Setelan'!$B$3*'⚙️ Setelan'!$B$4/100)/(ABS($N143-$O143)*VLOOKUP($F143,'⚙️ Setelan'!$A$14:$F$20,4,FALSE)),2)),"")</f>
        <v/>
      </c>
      <c r="S143" s="36" t="n"/>
      <c r="T143" s="37">
        <f>IFERROR(IF(OR($N143="",$O143="",$S143=""),"",ABS($N143-$O143)*$S143*VLOOKUP($F143,'⚙️ Setelan'!$A$14:$F$20,4,FALSE)),"")</f>
        <v/>
      </c>
      <c r="U143" s="35">
        <f>IFERROR(IF(OR($N143="",$O143="",$P143=""),"",ROUND(ABS($P143-$N143)/ABS($N143-$O143),2)),"")</f>
        <v/>
      </c>
      <c r="V143" s="37">
        <f>IFERROR(IF(OR($Q143="",$N143="",$S143=""),"",($Q143-$N143)*IF($G143="Buy",1,-1)*$S143*VLOOKUP($F143,'⚙️ Setelan'!$A$14:$F$20,4,FALSE)),"")</f>
        <v/>
      </c>
      <c r="W143" s="37">
        <f>IFERROR(IF(OR($S143="",$F143=""),"",$S143*VLOOKUP($F143,'⚙️ Setelan'!$A$14:$F$20,5,FALSE)),"")</f>
        <v/>
      </c>
      <c r="X143" s="37">
        <f>IF($V143="","",$V143-IF($W143="",0,$W143))</f>
        <v/>
      </c>
      <c r="Y143" s="35">
        <f>IF(OR($X143="",$T143="",$T143=0),"",ROUND($X143/$T143,2))</f>
        <v/>
      </c>
      <c r="Z143" s="30">
        <f>IF($X143="","",IF($X143&gt;0,"Win",IF($X143&lt;0,"Loss","BE")))</f>
        <v/>
      </c>
      <c r="AA143" s="38">
        <f>IF(OR($C143="",$D143=""),"",ROUND(MOD($D143-$C143,1)*1440,0))</f>
        <v/>
      </c>
      <c r="AB143" s="34" t="n"/>
      <c r="AC143" s="34" t="n"/>
      <c r="AD143" s="35">
        <f>IFERROR(IF(OR($AB143="",$T143="",$T143=0),"",ROUND(ABS($N143-$AB143)*$S143*VLOOKUP($F143,'⚙️ Setelan'!$A$14:$F$20,4,FALSE)/$T143,2)),"")</f>
        <v/>
      </c>
      <c r="AE143" s="35">
        <f>IFERROR(IF(OR($AC143="",$T143="",$T143=0),"",ROUND(ABS($AC143-$N143)*$S143*VLOOKUP($F143,'⚙️ Setelan'!$A$14:$F$20,4,FALSE)/$T143,2)),"")</f>
        <v/>
      </c>
      <c r="AF143" s="33" t="n"/>
      <c r="AG143" s="33" t="n"/>
      <c r="AH143" s="33" t="n"/>
      <c r="AI143" s="33" t="n"/>
      <c r="AJ143" s="33" t="n"/>
      <c r="AK143" s="39" t="n"/>
      <c r="AL143" s="30">
        <f>IF(OR($C143="",$B143=""),"",IF(AND($Z142="Loss",$B143=$B142,MOD($C143-$D142,1)*1440&lt;'⚙️ Setelan'!$B$9),"⚠️ Revenge",""))</f>
        <v/>
      </c>
      <c r="AM143" s="40" t="n"/>
      <c r="AN143" s="30">
        <f>IF($AM143="","",IFERROR(IMAGE(IF(REGEXMATCH($AM143,"\.(png|jpg|jpeg|gif)$"),$AM143,"https://s3.tradingview.com/snapshots/"&amp;LOWER(MID(REGEXEXTRACT($AM143,"/x/([A-Za-z0-9]+)"),1,1))&amp;"/"&amp;REGEXEXTRACT($AM143,"/x/([A-Za-z0-9]+)")&amp;".png"),1),"⚠️ link tidak dikenali"))</f>
        <v/>
      </c>
      <c r="AO143" s="40" t="n"/>
      <c r="AP143" s="30">
        <f>IF($AO143="","",IFERROR(IMAGE(IF(REGEXMATCH($AO143,"\.(png|jpg|jpeg|gif)$"),$AO143,"https://s3.tradingview.com/snapshots/"&amp;LOWER(MID(REGEXEXTRACT($AO143,"/x/([A-Za-z0-9]+)"),1,1))&amp;"/"&amp;REGEXEXTRACT($AO143,"/x/([A-Za-z0-9]+)")&amp;".png"),1),"⚠️ link tidak dikenali"))</f>
        <v/>
      </c>
      <c r="AQ143" s="38">
        <f>IF($Z143="",0,IF(AND(OR('📊 Dashboard'!$B$4="(Semua)",$F143='📊 Dashboard'!$B$4),OR('📊 Dashboard'!$B$5="(Semua)",$H143='📊 Dashboard'!$B$5),OR('📊 Dashboard'!$B$6="(Semua)",$E143='📊 Dashboard'!$B$6),OR('📊 Dashboard'!$B$7="(Semua)",$AF143='📊 Dashboard'!$B$7),OR('📊 Dashboard'!$B$8="(Semua)",$AG143='📊 Dashboard'!$B$8),OR('📊 Dashboard'!$B$9="(Semua)",$K143='📊 Dashboard'!$B$9)),1,0))</f>
        <v/>
      </c>
    </row>
    <row r="144" ht="58" customHeight="1">
      <c r="A144" s="30">
        <f>IF($B144="","",ROW()-2)</f>
        <v/>
      </c>
      <c r="B144" s="31" t="n"/>
      <c r="C144" s="32" t="n"/>
      <c r="D144" s="32" t="n"/>
      <c r="E144" s="30">
        <f>IF($C144="","",IF(AND($C144&gt;=TIME(14,0,0),$C144&lt;TIME(19,30,0)),"London",IF(AND($C144&gt;=TIME(19,30,0),$C144&lt;TIME(23,0,0)),"Overlap LDN+NY",IF(OR($C144&gt;=TIME(23,0,0),$C144&lt;TIME(4,0,0)),"New York","Asia"))))</f>
        <v/>
      </c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4" t="n"/>
      <c r="O144" s="34" t="n"/>
      <c r="P144" s="34" t="n"/>
      <c r="Q144" s="34" t="n"/>
      <c r="R144" s="35">
        <f>IFERROR(IF(OR($N144="",$O144="",$F144=""),"",ROUND(('⚙️ Setelan'!$B$3*'⚙️ Setelan'!$B$4/100)/(ABS($N144-$O144)*VLOOKUP($F144,'⚙️ Setelan'!$A$14:$F$20,4,FALSE)),2)),"")</f>
        <v/>
      </c>
      <c r="S144" s="36" t="n"/>
      <c r="T144" s="37">
        <f>IFERROR(IF(OR($N144="",$O144="",$S144=""),"",ABS($N144-$O144)*$S144*VLOOKUP($F144,'⚙️ Setelan'!$A$14:$F$20,4,FALSE)),"")</f>
        <v/>
      </c>
      <c r="U144" s="35">
        <f>IFERROR(IF(OR($N144="",$O144="",$P144=""),"",ROUND(ABS($P144-$N144)/ABS($N144-$O144),2)),"")</f>
        <v/>
      </c>
      <c r="V144" s="37">
        <f>IFERROR(IF(OR($Q144="",$N144="",$S144=""),"",($Q144-$N144)*IF($G144="Buy",1,-1)*$S144*VLOOKUP($F144,'⚙️ Setelan'!$A$14:$F$20,4,FALSE)),"")</f>
        <v/>
      </c>
      <c r="W144" s="37">
        <f>IFERROR(IF(OR($S144="",$F144=""),"",$S144*VLOOKUP($F144,'⚙️ Setelan'!$A$14:$F$20,5,FALSE)),"")</f>
        <v/>
      </c>
      <c r="X144" s="37">
        <f>IF($V144="","",$V144-IF($W144="",0,$W144))</f>
        <v/>
      </c>
      <c r="Y144" s="35">
        <f>IF(OR($X144="",$T144="",$T144=0),"",ROUND($X144/$T144,2))</f>
        <v/>
      </c>
      <c r="Z144" s="30">
        <f>IF($X144="","",IF($X144&gt;0,"Win",IF($X144&lt;0,"Loss","BE")))</f>
        <v/>
      </c>
      <c r="AA144" s="38">
        <f>IF(OR($C144="",$D144=""),"",ROUND(MOD($D144-$C144,1)*1440,0))</f>
        <v/>
      </c>
      <c r="AB144" s="34" t="n"/>
      <c r="AC144" s="34" t="n"/>
      <c r="AD144" s="35">
        <f>IFERROR(IF(OR($AB144="",$T144="",$T144=0),"",ROUND(ABS($N144-$AB144)*$S144*VLOOKUP($F144,'⚙️ Setelan'!$A$14:$F$20,4,FALSE)/$T144,2)),"")</f>
        <v/>
      </c>
      <c r="AE144" s="35">
        <f>IFERROR(IF(OR($AC144="",$T144="",$T144=0),"",ROUND(ABS($AC144-$N144)*$S144*VLOOKUP($F144,'⚙️ Setelan'!$A$14:$F$20,4,FALSE)/$T144,2)),"")</f>
        <v/>
      </c>
      <c r="AF144" s="33" t="n"/>
      <c r="AG144" s="33" t="n"/>
      <c r="AH144" s="33" t="n"/>
      <c r="AI144" s="33" t="n"/>
      <c r="AJ144" s="33" t="n"/>
      <c r="AK144" s="39" t="n"/>
      <c r="AL144" s="30">
        <f>IF(OR($C144="",$B144=""),"",IF(AND($Z143="Loss",$B144=$B143,MOD($C144-$D143,1)*1440&lt;'⚙️ Setelan'!$B$9),"⚠️ Revenge",""))</f>
        <v/>
      </c>
      <c r="AM144" s="40" t="n"/>
      <c r="AN144" s="30">
        <f>IF($AM144="","",IFERROR(IMAGE(IF(REGEXMATCH($AM144,"\.(png|jpg|jpeg|gif)$"),$AM144,"https://s3.tradingview.com/snapshots/"&amp;LOWER(MID(REGEXEXTRACT($AM144,"/x/([A-Za-z0-9]+)"),1,1))&amp;"/"&amp;REGEXEXTRACT($AM144,"/x/([A-Za-z0-9]+)")&amp;".png"),1),"⚠️ link tidak dikenali"))</f>
        <v/>
      </c>
      <c r="AO144" s="40" t="n"/>
      <c r="AP144" s="30">
        <f>IF($AO144="","",IFERROR(IMAGE(IF(REGEXMATCH($AO144,"\.(png|jpg|jpeg|gif)$"),$AO144,"https://s3.tradingview.com/snapshots/"&amp;LOWER(MID(REGEXEXTRACT($AO144,"/x/([A-Za-z0-9]+)"),1,1))&amp;"/"&amp;REGEXEXTRACT($AO144,"/x/([A-Za-z0-9]+)")&amp;".png"),1),"⚠️ link tidak dikenali"))</f>
        <v/>
      </c>
      <c r="AQ144" s="38">
        <f>IF($Z144="",0,IF(AND(OR('📊 Dashboard'!$B$4="(Semua)",$F144='📊 Dashboard'!$B$4),OR('📊 Dashboard'!$B$5="(Semua)",$H144='📊 Dashboard'!$B$5),OR('📊 Dashboard'!$B$6="(Semua)",$E144='📊 Dashboard'!$B$6),OR('📊 Dashboard'!$B$7="(Semua)",$AF144='📊 Dashboard'!$B$7),OR('📊 Dashboard'!$B$8="(Semua)",$AG144='📊 Dashboard'!$B$8),OR('📊 Dashboard'!$B$9="(Semua)",$K144='📊 Dashboard'!$B$9)),1,0))</f>
        <v/>
      </c>
    </row>
    <row r="145" ht="58" customHeight="1">
      <c r="A145" s="30">
        <f>IF($B145="","",ROW()-2)</f>
        <v/>
      </c>
      <c r="B145" s="31" t="n"/>
      <c r="C145" s="32" t="n"/>
      <c r="D145" s="32" t="n"/>
      <c r="E145" s="30">
        <f>IF($C145="","",IF(AND($C145&gt;=TIME(14,0,0),$C145&lt;TIME(19,30,0)),"London",IF(AND($C145&gt;=TIME(19,30,0),$C145&lt;TIME(23,0,0)),"Overlap LDN+NY",IF(OR($C145&gt;=TIME(23,0,0),$C145&lt;TIME(4,0,0)),"New York","Asia"))))</f>
        <v/>
      </c>
      <c r="F145" s="33" t="n"/>
      <c r="G145" s="33" t="n"/>
      <c r="H145" s="33" t="n"/>
      <c r="I145" s="33" t="n"/>
      <c r="J145" s="33" t="n"/>
      <c r="K145" s="33" t="n"/>
      <c r="L145" s="33" t="n"/>
      <c r="M145" s="33" t="n"/>
      <c r="N145" s="34" t="n"/>
      <c r="O145" s="34" t="n"/>
      <c r="P145" s="34" t="n"/>
      <c r="Q145" s="34" t="n"/>
      <c r="R145" s="35">
        <f>IFERROR(IF(OR($N145="",$O145="",$F145=""),"",ROUND(('⚙️ Setelan'!$B$3*'⚙️ Setelan'!$B$4/100)/(ABS($N145-$O145)*VLOOKUP($F145,'⚙️ Setelan'!$A$14:$F$20,4,FALSE)),2)),"")</f>
        <v/>
      </c>
      <c r="S145" s="36" t="n"/>
      <c r="T145" s="37">
        <f>IFERROR(IF(OR($N145="",$O145="",$S145=""),"",ABS($N145-$O145)*$S145*VLOOKUP($F145,'⚙️ Setelan'!$A$14:$F$20,4,FALSE)),"")</f>
        <v/>
      </c>
      <c r="U145" s="35">
        <f>IFERROR(IF(OR($N145="",$O145="",$P145=""),"",ROUND(ABS($P145-$N145)/ABS($N145-$O145),2)),"")</f>
        <v/>
      </c>
      <c r="V145" s="37">
        <f>IFERROR(IF(OR($Q145="",$N145="",$S145=""),"",($Q145-$N145)*IF($G145="Buy",1,-1)*$S145*VLOOKUP($F145,'⚙️ Setelan'!$A$14:$F$20,4,FALSE)),"")</f>
        <v/>
      </c>
      <c r="W145" s="37">
        <f>IFERROR(IF(OR($S145="",$F145=""),"",$S145*VLOOKUP($F145,'⚙️ Setelan'!$A$14:$F$20,5,FALSE)),"")</f>
        <v/>
      </c>
      <c r="X145" s="37">
        <f>IF($V145="","",$V145-IF($W145="",0,$W145))</f>
        <v/>
      </c>
      <c r="Y145" s="35">
        <f>IF(OR($X145="",$T145="",$T145=0),"",ROUND($X145/$T145,2))</f>
        <v/>
      </c>
      <c r="Z145" s="30">
        <f>IF($X145="","",IF($X145&gt;0,"Win",IF($X145&lt;0,"Loss","BE")))</f>
        <v/>
      </c>
      <c r="AA145" s="38">
        <f>IF(OR($C145="",$D145=""),"",ROUND(MOD($D145-$C145,1)*1440,0))</f>
        <v/>
      </c>
      <c r="AB145" s="34" t="n"/>
      <c r="AC145" s="34" t="n"/>
      <c r="AD145" s="35">
        <f>IFERROR(IF(OR($AB145="",$T145="",$T145=0),"",ROUND(ABS($N145-$AB145)*$S145*VLOOKUP($F145,'⚙️ Setelan'!$A$14:$F$20,4,FALSE)/$T145,2)),"")</f>
        <v/>
      </c>
      <c r="AE145" s="35">
        <f>IFERROR(IF(OR($AC145="",$T145="",$T145=0),"",ROUND(ABS($AC145-$N145)*$S145*VLOOKUP($F145,'⚙️ Setelan'!$A$14:$F$20,4,FALSE)/$T145,2)),"")</f>
        <v/>
      </c>
      <c r="AF145" s="33" t="n"/>
      <c r="AG145" s="33" t="n"/>
      <c r="AH145" s="33" t="n"/>
      <c r="AI145" s="33" t="n"/>
      <c r="AJ145" s="33" t="n"/>
      <c r="AK145" s="39" t="n"/>
      <c r="AL145" s="30">
        <f>IF(OR($C145="",$B145=""),"",IF(AND($Z144="Loss",$B145=$B144,MOD($C145-$D144,1)*1440&lt;'⚙️ Setelan'!$B$9),"⚠️ Revenge",""))</f>
        <v/>
      </c>
      <c r="AM145" s="40" t="n"/>
      <c r="AN145" s="30">
        <f>IF($AM145="","",IFERROR(IMAGE(IF(REGEXMATCH($AM145,"\.(png|jpg|jpeg|gif)$"),$AM145,"https://s3.tradingview.com/snapshots/"&amp;LOWER(MID(REGEXEXTRACT($AM145,"/x/([A-Za-z0-9]+)"),1,1))&amp;"/"&amp;REGEXEXTRACT($AM145,"/x/([A-Za-z0-9]+)")&amp;".png"),1),"⚠️ link tidak dikenali"))</f>
        <v/>
      </c>
      <c r="AO145" s="40" t="n"/>
      <c r="AP145" s="30">
        <f>IF($AO145="","",IFERROR(IMAGE(IF(REGEXMATCH($AO145,"\.(png|jpg|jpeg|gif)$"),$AO145,"https://s3.tradingview.com/snapshots/"&amp;LOWER(MID(REGEXEXTRACT($AO145,"/x/([A-Za-z0-9]+)"),1,1))&amp;"/"&amp;REGEXEXTRACT($AO145,"/x/([A-Za-z0-9]+)")&amp;".png"),1),"⚠️ link tidak dikenali"))</f>
        <v/>
      </c>
      <c r="AQ145" s="38">
        <f>IF($Z145="",0,IF(AND(OR('📊 Dashboard'!$B$4="(Semua)",$F145='📊 Dashboard'!$B$4),OR('📊 Dashboard'!$B$5="(Semua)",$H145='📊 Dashboard'!$B$5),OR('📊 Dashboard'!$B$6="(Semua)",$E145='📊 Dashboard'!$B$6),OR('📊 Dashboard'!$B$7="(Semua)",$AF145='📊 Dashboard'!$B$7),OR('📊 Dashboard'!$B$8="(Semua)",$AG145='📊 Dashboard'!$B$8),OR('📊 Dashboard'!$B$9="(Semua)",$K145='📊 Dashboard'!$B$9)),1,0))</f>
        <v/>
      </c>
    </row>
    <row r="146" ht="58" customHeight="1">
      <c r="A146" s="30">
        <f>IF($B146="","",ROW()-2)</f>
        <v/>
      </c>
      <c r="B146" s="31" t="n"/>
      <c r="C146" s="32" t="n"/>
      <c r="D146" s="32" t="n"/>
      <c r="E146" s="30">
        <f>IF($C146="","",IF(AND($C146&gt;=TIME(14,0,0),$C146&lt;TIME(19,30,0)),"London",IF(AND($C146&gt;=TIME(19,30,0),$C146&lt;TIME(23,0,0)),"Overlap LDN+NY",IF(OR($C146&gt;=TIME(23,0,0),$C146&lt;TIME(4,0,0)),"New York","Asia"))))</f>
        <v/>
      </c>
      <c r="F146" s="33" t="n"/>
      <c r="G146" s="33" t="n"/>
      <c r="H146" s="33" t="n"/>
      <c r="I146" s="33" t="n"/>
      <c r="J146" s="33" t="n"/>
      <c r="K146" s="33" t="n"/>
      <c r="L146" s="33" t="n"/>
      <c r="M146" s="33" t="n"/>
      <c r="N146" s="34" t="n"/>
      <c r="O146" s="34" t="n"/>
      <c r="P146" s="34" t="n"/>
      <c r="Q146" s="34" t="n"/>
      <c r="R146" s="35">
        <f>IFERROR(IF(OR($N146="",$O146="",$F146=""),"",ROUND(('⚙️ Setelan'!$B$3*'⚙️ Setelan'!$B$4/100)/(ABS($N146-$O146)*VLOOKUP($F146,'⚙️ Setelan'!$A$14:$F$20,4,FALSE)),2)),"")</f>
        <v/>
      </c>
      <c r="S146" s="36" t="n"/>
      <c r="T146" s="37">
        <f>IFERROR(IF(OR($N146="",$O146="",$S146=""),"",ABS($N146-$O146)*$S146*VLOOKUP($F146,'⚙️ Setelan'!$A$14:$F$20,4,FALSE)),"")</f>
        <v/>
      </c>
      <c r="U146" s="35">
        <f>IFERROR(IF(OR($N146="",$O146="",$P146=""),"",ROUND(ABS($P146-$N146)/ABS($N146-$O146),2)),"")</f>
        <v/>
      </c>
      <c r="V146" s="37">
        <f>IFERROR(IF(OR($Q146="",$N146="",$S146=""),"",($Q146-$N146)*IF($G146="Buy",1,-1)*$S146*VLOOKUP($F146,'⚙️ Setelan'!$A$14:$F$20,4,FALSE)),"")</f>
        <v/>
      </c>
      <c r="W146" s="37">
        <f>IFERROR(IF(OR($S146="",$F146=""),"",$S146*VLOOKUP($F146,'⚙️ Setelan'!$A$14:$F$20,5,FALSE)),"")</f>
        <v/>
      </c>
      <c r="X146" s="37">
        <f>IF($V146="","",$V146-IF($W146="",0,$W146))</f>
        <v/>
      </c>
      <c r="Y146" s="35">
        <f>IF(OR($X146="",$T146="",$T146=0),"",ROUND($X146/$T146,2))</f>
        <v/>
      </c>
      <c r="Z146" s="30">
        <f>IF($X146="","",IF($X146&gt;0,"Win",IF($X146&lt;0,"Loss","BE")))</f>
        <v/>
      </c>
      <c r="AA146" s="38">
        <f>IF(OR($C146="",$D146=""),"",ROUND(MOD($D146-$C146,1)*1440,0))</f>
        <v/>
      </c>
      <c r="AB146" s="34" t="n"/>
      <c r="AC146" s="34" t="n"/>
      <c r="AD146" s="35">
        <f>IFERROR(IF(OR($AB146="",$T146="",$T146=0),"",ROUND(ABS($N146-$AB146)*$S146*VLOOKUP($F146,'⚙️ Setelan'!$A$14:$F$20,4,FALSE)/$T146,2)),"")</f>
        <v/>
      </c>
      <c r="AE146" s="35">
        <f>IFERROR(IF(OR($AC146="",$T146="",$T146=0),"",ROUND(ABS($AC146-$N146)*$S146*VLOOKUP($F146,'⚙️ Setelan'!$A$14:$F$20,4,FALSE)/$T146,2)),"")</f>
        <v/>
      </c>
      <c r="AF146" s="33" t="n"/>
      <c r="AG146" s="33" t="n"/>
      <c r="AH146" s="33" t="n"/>
      <c r="AI146" s="33" t="n"/>
      <c r="AJ146" s="33" t="n"/>
      <c r="AK146" s="39" t="n"/>
      <c r="AL146" s="30">
        <f>IF(OR($C146="",$B146=""),"",IF(AND($Z145="Loss",$B146=$B145,MOD($C146-$D145,1)*1440&lt;'⚙️ Setelan'!$B$9),"⚠️ Revenge",""))</f>
        <v/>
      </c>
      <c r="AM146" s="40" t="n"/>
      <c r="AN146" s="30">
        <f>IF($AM146="","",IFERROR(IMAGE(IF(REGEXMATCH($AM146,"\.(png|jpg|jpeg|gif)$"),$AM146,"https://s3.tradingview.com/snapshots/"&amp;LOWER(MID(REGEXEXTRACT($AM146,"/x/([A-Za-z0-9]+)"),1,1))&amp;"/"&amp;REGEXEXTRACT($AM146,"/x/([A-Za-z0-9]+)")&amp;".png"),1),"⚠️ link tidak dikenali"))</f>
        <v/>
      </c>
      <c r="AO146" s="40" t="n"/>
      <c r="AP146" s="30">
        <f>IF($AO146="","",IFERROR(IMAGE(IF(REGEXMATCH($AO146,"\.(png|jpg|jpeg|gif)$"),$AO146,"https://s3.tradingview.com/snapshots/"&amp;LOWER(MID(REGEXEXTRACT($AO146,"/x/([A-Za-z0-9]+)"),1,1))&amp;"/"&amp;REGEXEXTRACT($AO146,"/x/([A-Za-z0-9]+)")&amp;".png"),1),"⚠️ link tidak dikenali"))</f>
        <v/>
      </c>
      <c r="AQ146" s="38">
        <f>IF($Z146="",0,IF(AND(OR('📊 Dashboard'!$B$4="(Semua)",$F146='📊 Dashboard'!$B$4),OR('📊 Dashboard'!$B$5="(Semua)",$H146='📊 Dashboard'!$B$5),OR('📊 Dashboard'!$B$6="(Semua)",$E146='📊 Dashboard'!$B$6),OR('📊 Dashboard'!$B$7="(Semua)",$AF146='📊 Dashboard'!$B$7),OR('📊 Dashboard'!$B$8="(Semua)",$AG146='📊 Dashboard'!$B$8),OR('📊 Dashboard'!$B$9="(Semua)",$K146='📊 Dashboard'!$B$9)),1,0))</f>
        <v/>
      </c>
    </row>
    <row r="147" ht="58" customHeight="1">
      <c r="A147" s="30">
        <f>IF($B147="","",ROW()-2)</f>
        <v/>
      </c>
      <c r="B147" s="31" t="n"/>
      <c r="C147" s="32" t="n"/>
      <c r="D147" s="32" t="n"/>
      <c r="E147" s="30">
        <f>IF($C147="","",IF(AND($C147&gt;=TIME(14,0,0),$C147&lt;TIME(19,30,0)),"London",IF(AND($C147&gt;=TIME(19,30,0),$C147&lt;TIME(23,0,0)),"Overlap LDN+NY",IF(OR($C147&gt;=TIME(23,0,0),$C147&lt;TIME(4,0,0)),"New York","Asia"))))</f>
        <v/>
      </c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4" t="n"/>
      <c r="O147" s="34" t="n"/>
      <c r="P147" s="34" t="n"/>
      <c r="Q147" s="34" t="n"/>
      <c r="R147" s="35">
        <f>IFERROR(IF(OR($N147="",$O147="",$F147=""),"",ROUND(('⚙️ Setelan'!$B$3*'⚙️ Setelan'!$B$4/100)/(ABS($N147-$O147)*VLOOKUP($F147,'⚙️ Setelan'!$A$14:$F$20,4,FALSE)),2)),"")</f>
        <v/>
      </c>
      <c r="S147" s="36" t="n"/>
      <c r="T147" s="37">
        <f>IFERROR(IF(OR($N147="",$O147="",$S147=""),"",ABS($N147-$O147)*$S147*VLOOKUP($F147,'⚙️ Setelan'!$A$14:$F$20,4,FALSE)),"")</f>
        <v/>
      </c>
      <c r="U147" s="35">
        <f>IFERROR(IF(OR($N147="",$O147="",$P147=""),"",ROUND(ABS($P147-$N147)/ABS($N147-$O147),2)),"")</f>
        <v/>
      </c>
      <c r="V147" s="37">
        <f>IFERROR(IF(OR($Q147="",$N147="",$S147=""),"",($Q147-$N147)*IF($G147="Buy",1,-1)*$S147*VLOOKUP($F147,'⚙️ Setelan'!$A$14:$F$20,4,FALSE)),"")</f>
        <v/>
      </c>
      <c r="W147" s="37">
        <f>IFERROR(IF(OR($S147="",$F147=""),"",$S147*VLOOKUP($F147,'⚙️ Setelan'!$A$14:$F$20,5,FALSE)),"")</f>
        <v/>
      </c>
      <c r="X147" s="37">
        <f>IF($V147="","",$V147-IF($W147="",0,$W147))</f>
        <v/>
      </c>
      <c r="Y147" s="35">
        <f>IF(OR($X147="",$T147="",$T147=0),"",ROUND($X147/$T147,2))</f>
        <v/>
      </c>
      <c r="Z147" s="30">
        <f>IF($X147="","",IF($X147&gt;0,"Win",IF($X147&lt;0,"Loss","BE")))</f>
        <v/>
      </c>
      <c r="AA147" s="38">
        <f>IF(OR($C147="",$D147=""),"",ROUND(MOD($D147-$C147,1)*1440,0))</f>
        <v/>
      </c>
      <c r="AB147" s="34" t="n"/>
      <c r="AC147" s="34" t="n"/>
      <c r="AD147" s="35">
        <f>IFERROR(IF(OR($AB147="",$T147="",$T147=0),"",ROUND(ABS($N147-$AB147)*$S147*VLOOKUP($F147,'⚙️ Setelan'!$A$14:$F$20,4,FALSE)/$T147,2)),"")</f>
        <v/>
      </c>
      <c r="AE147" s="35">
        <f>IFERROR(IF(OR($AC147="",$T147="",$T147=0),"",ROUND(ABS($AC147-$N147)*$S147*VLOOKUP($F147,'⚙️ Setelan'!$A$14:$F$20,4,FALSE)/$T147,2)),"")</f>
        <v/>
      </c>
      <c r="AF147" s="33" t="n"/>
      <c r="AG147" s="33" t="n"/>
      <c r="AH147" s="33" t="n"/>
      <c r="AI147" s="33" t="n"/>
      <c r="AJ147" s="33" t="n"/>
      <c r="AK147" s="39" t="n"/>
      <c r="AL147" s="30">
        <f>IF(OR($C147="",$B147=""),"",IF(AND($Z146="Loss",$B147=$B146,MOD($C147-$D146,1)*1440&lt;'⚙️ Setelan'!$B$9),"⚠️ Revenge",""))</f>
        <v/>
      </c>
      <c r="AM147" s="40" t="n"/>
      <c r="AN147" s="30">
        <f>IF($AM147="","",IFERROR(IMAGE(IF(REGEXMATCH($AM147,"\.(png|jpg|jpeg|gif)$"),$AM147,"https://s3.tradingview.com/snapshots/"&amp;LOWER(MID(REGEXEXTRACT($AM147,"/x/([A-Za-z0-9]+)"),1,1))&amp;"/"&amp;REGEXEXTRACT($AM147,"/x/([A-Za-z0-9]+)")&amp;".png"),1),"⚠️ link tidak dikenali"))</f>
        <v/>
      </c>
      <c r="AO147" s="40" t="n"/>
      <c r="AP147" s="30">
        <f>IF($AO147="","",IFERROR(IMAGE(IF(REGEXMATCH($AO147,"\.(png|jpg|jpeg|gif)$"),$AO147,"https://s3.tradingview.com/snapshots/"&amp;LOWER(MID(REGEXEXTRACT($AO147,"/x/([A-Za-z0-9]+)"),1,1))&amp;"/"&amp;REGEXEXTRACT($AO147,"/x/([A-Za-z0-9]+)")&amp;".png"),1),"⚠️ link tidak dikenali"))</f>
        <v/>
      </c>
      <c r="AQ147" s="38">
        <f>IF($Z147="",0,IF(AND(OR('📊 Dashboard'!$B$4="(Semua)",$F147='📊 Dashboard'!$B$4),OR('📊 Dashboard'!$B$5="(Semua)",$H147='📊 Dashboard'!$B$5),OR('📊 Dashboard'!$B$6="(Semua)",$E147='📊 Dashboard'!$B$6),OR('📊 Dashboard'!$B$7="(Semua)",$AF147='📊 Dashboard'!$B$7),OR('📊 Dashboard'!$B$8="(Semua)",$AG147='📊 Dashboard'!$B$8),OR('📊 Dashboard'!$B$9="(Semua)",$K147='📊 Dashboard'!$B$9)),1,0))</f>
        <v/>
      </c>
    </row>
    <row r="148" ht="58" customHeight="1">
      <c r="A148" s="30">
        <f>IF($B148="","",ROW()-2)</f>
        <v/>
      </c>
      <c r="B148" s="31" t="n"/>
      <c r="C148" s="32" t="n"/>
      <c r="D148" s="32" t="n"/>
      <c r="E148" s="30">
        <f>IF($C148="","",IF(AND($C148&gt;=TIME(14,0,0),$C148&lt;TIME(19,30,0)),"London",IF(AND($C148&gt;=TIME(19,30,0),$C148&lt;TIME(23,0,0)),"Overlap LDN+NY",IF(OR($C148&gt;=TIME(23,0,0),$C148&lt;TIME(4,0,0)),"New York","Asia"))))</f>
        <v/>
      </c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4" t="n"/>
      <c r="O148" s="34" t="n"/>
      <c r="P148" s="34" t="n"/>
      <c r="Q148" s="34" t="n"/>
      <c r="R148" s="35">
        <f>IFERROR(IF(OR($N148="",$O148="",$F148=""),"",ROUND(('⚙️ Setelan'!$B$3*'⚙️ Setelan'!$B$4/100)/(ABS($N148-$O148)*VLOOKUP($F148,'⚙️ Setelan'!$A$14:$F$20,4,FALSE)),2)),"")</f>
        <v/>
      </c>
      <c r="S148" s="36" t="n"/>
      <c r="T148" s="37">
        <f>IFERROR(IF(OR($N148="",$O148="",$S148=""),"",ABS($N148-$O148)*$S148*VLOOKUP($F148,'⚙️ Setelan'!$A$14:$F$20,4,FALSE)),"")</f>
        <v/>
      </c>
      <c r="U148" s="35">
        <f>IFERROR(IF(OR($N148="",$O148="",$P148=""),"",ROUND(ABS($P148-$N148)/ABS($N148-$O148),2)),"")</f>
        <v/>
      </c>
      <c r="V148" s="37">
        <f>IFERROR(IF(OR($Q148="",$N148="",$S148=""),"",($Q148-$N148)*IF($G148="Buy",1,-1)*$S148*VLOOKUP($F148,'⚙️ Setelan'!$A$14:$F$20,4,FALSE)),"")</f>
        <v/>
      </c>
      <c r="W148" s="37">
        <f>IFERROR(IF(OR($S148="",$F148=""),"",$S148*VLOOKUP($F148,'⚙️ Setelan'!$A$14:$F$20,5,FALSE)),"")</f>
        <v/>
      </c>
      <c r="X148" s="37">
        <f>IF($V148="","",$V148-IF($W148="",0,$W148))</f>
        <v/>
      </c>
      <c r="Y148" s="35">
        <f>IF(OR($X148="",$T148="",$T148=0),"",ROUND($X148/$T148,2))</f>
        <v/>
      </c>
      <c r="Z148" s="30">
        <f>IF($X148="","",IF($X148&gt;0,"Win",IF($X148&lt;0,"Loss","BE")))</f>
        <v/>
      </c>
      <c r="AA148" s="38">
        <f>IF(OR($C148="",$D148=""),"",ROUND(MOD($D148-$C148,1)*1440,0))</f>
        <v/>
      </c>
      <c r="AB148" s="34" t="n"/>
      <c r="AC148" s="34" t="n"/>
      <c r="AD148" s="35">
        <f>IFERROR(IF(OR($AB148="",$T148="",$T148=0),"",ROUND(ABS($N148-$AB148)*$S148*VLOOKUP($F148,'⚙️ Setelan'!$A$14:$F$20,4,FALSE)/$T148,2)),"")</f>
        <v/>
      </c>
      <c r="AE148" s="35">
        <f>IFERROR(IF(OR($AC148="",$T148="",$T148=0),"",ROUND(ABS($AC148-$N148)*$S148*VLOOKUP($F148,'⚙️ Setelan'!$A$14:$F$20,4,FALSE)/$T148,2)),"")</f>
        <v/>
      </c>
      <c r="AF148" s="33" t="n"/>
      <c r="AG148" s="33" t="n"/>
      <c r="AH148" s="33" t="n"/>
      <c r="AI148" s="33" t="n"/>
      <c r="AJ148" s="33" t="n"/>
      <c r="AK148" s="39" t="n"/>
      <c r="AL148" s="30">
        <f>IF(OR($C148="",$B148=""),"",IF(AND($Z147="Loss",$B148=$B147,MOD($C148-$D147,1)*1440&lt;'⚙️ Setelan'!$B$9),"⚠️ Revenge",""))</f>
        <v/>
      </c>
      <c r="AM148" s="40" t="n"/>
      <c r="AN148" s="30">
        <f>IF($AM148="","",IFERROR(IMAGE(IF(REGEXMATCH($AM148,"\.(png|jpg|jpeg|gif)$"),$AM148,"https://s3.tradingview.com/snapshots/"&amp;LOWER(MID(REGEXEXTRACT($AM148,"/x/([A-Za-z0-9]+)"),1,1))&amp;"/"&amp;REGEXEXTRACT($AM148,"/x/([A-Za-z0-9]+)")&amp;".png"),1),"⚠️ link tidak dikenali"))</f>
        <v/>
      </c>
      <c r="AO148" s="40" t="n"/>
      <c r="AP148" s="30">
        <f>IF($AO148="","",IFERROR(IMAGE(IF(REGEXMATCH($AO148,"\.(png|jpg|jpeg|gif)$"),$AO148,"https://s3.tradingview.com/snapshots/"&amp;LOWER(MID(REGEXEXTRACT($AO148,"/x/([A-Za-z0-9]+)"),1,1))&amp;"/"&amp;REGEXEXTRACT($AO148,"/x/([A-Za-z0-9]+)")&amp;".png"),1),"⚠️ link tidak dikenali"))</f>
        <v/>
      </c>
      <c r="AQ148" s="38">
        <f>IF($Z148="",0,IF(AND(OR('📊 Dashboard'!$B$4="(Semua)",$F148='📊 Dashboard'!$B$4),OR('📊 Dashboard'!$B$5="(Semua)",$H148='📊 Dashboard'!$B$5),OR('📊 Dashboard'!$B$6="(Semua)",$E148='📊 Dashboard'!$B$6),OR('📊 Dashboard'!$B$7="(Semua)",$AF148='📊 Dashboard'!$B$7),OR('📊 Dashboard'!$B$8="(Semua)",$AG148='📊 Dashboard'!$B$8),OR('📊 Dashboard'!$B$9="(Semua)",$K148='📊 Dashboard'!$B$9)),1,0))</f>
        <v/>
      </c>
    </row>
    <row r="149" ht="58" customHeight="1">
      <c r="A149" s="30">
        <f>IF($B149="","",ROW()-2)</f>
        <v/>
      </c>
      <c r="B149" s="31" t="n"/>
      <c r="C149" s="32" t="n"/>
      <c r="D149" s="32" t="n"/>
      <c r="E149" s="30">
        <f>IF($C149="","",IF(AND($C149&gt;=TIME(14,0,0),$C149&lt;TIME(19,30,0)),"London",IF(AND($C149&gt;=TIME(19,30,0),$C149&lt;TIME(23,0,0)),"Overlap LDN+NY",IF(OR($C149&gt;=TIME(23,0,0),$C149&lt;TIME(4,0,0)),"New York","Asia"))))</f>
        <v/>
      </c>
      <c r="F149" s="33" t="n"/>
      <c r="G149" s="33" t="n"/>
      <c r="H149" s="33" t="n"/>
      <c r="I149" s="33" t="n"/>
      <c r="J149" s="33" t="n"/>
      <c r="K149" s="33" t="n"/>
      <c r="L149" s="33" t="n"/>
      <c r="M149" s="33" t="n"/>
      <c r="N149" s="34" t="n"/>
      <c r="O149" s="34" t="n"/>
      <c r="P149" s="34" t="n"/>
      <c r="Q149" s="34" t="n"/>
      <c r="R149" s="35">
        <f>IFERROR(IF(OR($N149="",$O149="",$F149=""),"",ROUND(('⚙️ Setelan'!$B$3*'⚙️ Setelan'!$B$4/100)/(ABS($N149-$O149)*VLOOKUP($F149,'⚙️ Setelan'!$A$14:$F$20,4,FALSE)),2)),"")</f>
        <v/>
      </c>
      <c r="S149" s="36" t="n"/>
      <c r="T149" s="37">
        <f>IFERROR(IF(OR($N149="",$O149="",$S149=""),"",ABS($N149-$O149)*$S149*VLOOKUP($F149,'⚙️ Setelan'!$A$14:$F$20,4,FALSE)),"")</f>
        <v/>
      </c>
      <c r="U149" s="35">
        <f>IFERROR(IF(OR($N149="",$O149="",$P149=""),"",ROUND(ABS($P149-$N149)/ABS($N149-$O149),2)),"")</f>
        <v/>
      </c>
      <c r="V149" s="37">
        <f>IFERROR(IF(OR($Q149="",$N149="",$S149=""),"",($Q149-$N149)*IF($G149="Buy",1,-1)*$S149*VLOOKUP($F149,'⚙️ Setelan'!$A$14:$F$20,4,FALSE)),"")</f>
        <v/>
      </c>
      <c r="W149" s="37">
        <f>IFERROR(IF(OR($S149="",$F149=""),"",$S149*VLOOKUP($F149,'⚙️ Setelan'!$A$14:$F$20,5,FALSE)),"")</f>
        <v/>
      </c>
      <c r="X149" s="37">
        <f>IF($V149="","",$V149-IF($W149="",0,$W149))</f>
        <v/>
      </c>
      <c r="Y149" s="35">
        <f>IF(OR($X149="",$T149="",$T149=0),"",ROUND($X149/$T149,2))</f>
        <v/>
      </c>
      <c r="Z149" s="30">
        <f>IF($X149="","",IF($X149&gt;0,"Win",IF($X149&lt;0,"Loss","BE")))</f>
        <v/>
      </c>
      <c r="AA149" s="38">
        <f>IF(OR($C149="",$D149=""),"",ROUND(MOD($D149-$C149,1)*1440,0))</f>
        <v/>
      </c>
      <c r="AB149" s="34" t="n"/>
      <c r="AC149" s="34" t="n"/>
      <c r="AD149" s="35">
        <f>IFERROR(IF(OR($AB149="",$T149="",$T149=0),"",ROUND(ABS($N149-$AB149)*$S149*VLOOKUP($F149,'⚙️ Setelan'!$A$14:$F$20,4,FALSE)/$T149,2)),"")</f>
        <v/>
      </c>
      <c r="AE149" s="35">
        <f>IFERROR(IF(OR($AC149="",$T149="",$T149=0),"",ROUND(ABS($AC149-$N149)*$S149*VLOOKUP($F149,'⚙️ Setelan'!$A$14:$F$20,4,FALSE)/$T149,2)),"")</f>
        <v/>
      </c>
      <c r="AF149" s="33" t="n"/>
      <c r="AG149" s="33" t="n"/>
      <c r="AH149" s="33" t="n"/>
      <c r="AI149" s="33" t="n"/>
      <c r="AJ149" s="33" t="n"/>
      <c r="AK149" s="39" t="n"/>
      <c r="AL149" s="30">
        <f>IF(OR($C149="",$B149=""),"",IF(AND($Z148="Loss",$B149=$B148,MOD($C149-$D148,1)*1440&lt;'⚙️ Setelan'!$B$9),"⚠️ Revenge",""))</f>
        <v/>
      </c>
      <c r="AM149" s="40" t="n"/>
      <c r="AN149" s="30">
        <f>IF($AM149="","",IFERROR(IMAGE(IF(REGEXMATCH($AM149,"\.(png|jpg|jpeg|gif)$"),$AM149,"https://s3.tradingview.com/snapshots/"&amp;LOWER(MID(REGEXEXTRACT($AM149,"/x/([A-Za-z0-9]+)"),1,1))&amp;"/"&amp;REGEXEXTRACT($AM149,"/x/([A-Za-z0-9]+)")&amp;".png"),1),"⚠️ link tidak dikenali"))</f>
        <v/>
      </c>
      <c r="AO149" s="40" t="n"/>
      <c r="AP149" s="30">
        <f>IF($AO149="","",IFERROR(IMAGE(IF(REGEXMATCH($AO149,"\.(png|jpg|jpeg|gif)$"),$AO149,"https://s3.tradingview.com/snapshots/"&amp;LOWER(MID(REGEXEXTRACT($AO149,"/x/([A-Za-z0-9]+)"),1,1))&amp;"/"&amp;REGEXEXTRACT($AO149,"/x/([A-Za-z0-9]+)")&amp;".png"),1),"⚠️ link tidak dikenali"))</f>
        <v/>
      </c>
      <c r="AQ149" s="38">
        <f>IF($Z149="",0,IF(AND(OR('📊 Dashboard'!$B$4="(Semua)",$F149='📊 Dashboard'!$B$4),OR('📊 Dashboard'!$B$5="(Semua)",$H149='📊 Dashboard'!$B$5),OR('📊 Dashboard'!$B$6="(Semua)",$E149='📊 Dashboard'!$B$6),OR('📊 Dashboard'!$B$7="(Semua)",$AF149='📊 Dashboard'!$B$7),OR('📊 Dashboard'!$B$8="(Semua)",$AG149='📊 Dashboard'!$B$8),OR('📊 Dashboard'!$B$9="(Semua)",$K149='📊 Dashboard'!$B$9)),1,0))</f>
        <v/>
      </c>
    </row>
    <row r="150" ht="58" customHeight="1">
      <c r="A150" s="30">
        <f>IF($B150="","",ROW()-2)</f>
        <v/>
      </c>
      <c r="B150" s="31" t="n"/>
      <c r="C150" s="32" t="n"/>
      <c r="D150" s="32" t="n"/>
      <c r="E150" s="30">
        <f>IF($C150="","",IF(AND($C150&gt;=TIME(14,0,0),$C150&lt;TIME(19,30,0)),"London",IF(AND($C150&gt;=TIME(19,30,0),$C150&lt;TIME(23,0,0)),"Overlap LDN+NY",IF(OR($C150&gt;=TIME(23,0,0),$C150&lt;TIME(4,0,0)),"New York","Asia"))))</f>
        <v/>
      </c>
      <c r="F150" s="33" t="n"/>
      <c r="G150" s="33" t="n"/>
      <c r="H150" s="33" t="n"/>
      <c r="I150" s="33" t="n"/>
      <c r="J150" s="33" t="n"/>
      <c r="K150" s="33" t="n"/>
      <c r="L150" s="33" t="n"/>
      <c r="M150" s="33" t="n"/>
      <c r="N150" s="34" t="n"/>
      <c r="O150" s="34" t="n"/>
      <c r="P150" s="34" t="n"/>
      <c r="Q150" s="34" t="n"/>
      <c r="R150" s="35">
        <f>IFERROR(IF(OR($N150="",$O150="",$F150=""),"",ROUND(('⚙️ Setelan'!$B$3*'⚙️ Setelan'!$B$4/100)/(ABS($N150-$O150)*VLOOKUP($F150,'⚙️ Setelan'!$A$14:$F$20,4,FALSE)),2)),"")</f>
        <v/>
      </c>
      <c r="S150" s="36" t="n"/>
      <c r="T150" s="37">
        <f>IFERROR(IF(OR($N150="",$O150="",$S150=""),"",ABS($N150-$O150)*$S150*VLOOKUP($F150,'⚙️ Setelan'!$A$14:$F$20,4,FALSE)),"")</f>
        <v/>
      </c>
      <c r="U150" s="35">
        <f>IFERROR(IF(OR($N150="",$O150="",$P150=""),"",ROUND(ABS($P150-$N150)/ABS($N150-$O150),2)),"")</f>
        <v/>
      </c>
      <c r="V150" s="37">
        <f>IFERROR(IF(OR($Q150="",$N150="",$S150=""),"",($Q150-$N150)*IF($G150="Buy",1,-1)*$S150*VLOOKUP($F150,'⚙️ Setelan'!$A$14:$F$20,4,FALSE)),"")</f>
        <v/>
      </c>
      <c r="W150" s="37">
        <f>IFERROR(IF(OR($S150="",$F150=""),"",$S150*VLOOKUP($F150,'⚙️ Setelan'!$A$14:$F$20,5,FALSE)),"")</f>
        <v/>
      </c>
      <c r="X150" s="37">
        <f>IF($V150="","",$V150-IF($W150="",0,$W150))</f>
        <v/>
      </c>
      <c r="Y150" s="35">
        <f>IF(OR($X150="",$T150="",$T150=0),"",ROUND($X150/$T150,2))</f>
        <v/>
      </c>
      <c r="Z150" s="30">
        <f>IF($X150="","",IF($X150&gt;0,"Win",IF($X150&lt;0,"Loss","BE")))</f>
        <v/>
      </c>
      <c r="AA150" s="38">
        <f>IF(OR($C150="",$D150=""),"",ROUND(MOD($D150-$C150,1)*1440,0))</f>
        <v/>
      </c>
      <c r="AB150" s="34" t="n"/>
      <c r="AC150" s="34" t="n"/>
      <c r="AD150" s="35">
        <f>IFERROR(IF(OR($AB150="",$T150="",$T150=0),"",ROUND(ABS($N150-$AB150)*$S150*VLOOKUP($F150,'⚙️ Setelan'!$A$14:$F$20,4,FALSE)/$T150,2)),"")</f>
        <v/>
      </c>
      <c r="AE150" s="35">
        <f>IFERROR(IF(OR($AC150="",$T150="",$T150=0),"",ROUND(ABS($AC150-$N150)*$S150*VLOOKUP($F150,'⚙️ Setelan'!$A$14:$F$20,4,FALSE)/$T150,2)),"")</f>
        <v/>
      </c>
      <c r="AF150" s="33" t="n"/>
      <c r="AG150" s="33" t="n"/>
      <c r="AH150" s="33" t="n"/>
      <c r="AI150" s="33" t="n"/>
      <c r="AJ150" s="33" t="n"/>
      <c r="AK150" s="39" t="n"/>
      <c r="AL150" s="30">
        <f>IF(OR($C150="",$B150=""),"",IF(AND($Z149="Loss",$B150=$B149,MOD($C150-$D149,1)*1440&lt;'⚙️ Setelan'!$B$9),"⚠️ Revenge",""))</f>
        <v/>
      </c>
      <c r="AM150" s="40" t="n"/>
      <c r="AN150" s="30">
        <f>IF($AM150="","",IFERROR(IMAGE(IF(REGEXMATCH($AM150,"\.(png|jpg|jpeg|gif)$"),$AM150,"https://s3.tradingview.com/snapshots/"&amp;LOWER(MID(REGEXEXTRACT($AM150,"/x/([A-Za-z0-9]+)"),1,1))&amp;"/"&amp;REGEXEXTRACT($AM150,"/x/([A-Za-z0-9]+)")&amp;".png"),1),"⚠️ link tidak dikenali"))</f>
        <v/>
      </c>
      <c r="AO150" s="40" t="n"/>
      <c r="AP150" s="30">
        <f>IF($AO150="","",IFERROR(IMAGE(IF(REGEXMATCH($AO150,"\.(png|jpg|jpeg|gif)$"),$AO150,"https://s3.tradingview.com/snapshots/"&amp;LOWER(MID(REGEXEXTRACT($AO150,"/x/([A-Za-z0-9]+)"),1,1))&amp;"/"&amp;REGEXEXTRACT($AO150,"/x/([A-Za-z0-9]+)")&amp;".png"),1),"⚠️ link tidak dikenali"))</f>
        <v/>
      </c>
      <c r="AQ150" s="38">
        <f>IF($Z150="",0,IF(AND(OR('📊 Dashboard'!$B$4="(Semua)",$F150='📊 Dashboard'!$B$4),OR('📊 Dashboard'!$B$5="(Semua)",$H150='📊 Dashboard'!$B$5),OR('📊 Dashboard'!$B$6="(Semua)",$E150='📊 Dashboard'!$B$6),OR('📊 Dashboard'!$B$7="(Semua)",$AF150='📊 Dashboard'!$B$7),OR('📊 Dashboard'!$B$8="(Semua)",$AG150='📊 Dashboard'!$B$8),OR('📊 Dashboard'!$B$9="(Semua)",$K150='📊 Dashboard'!$B$9)),1,0))</f>
        <v/>
      </c>
    </row>
    <row r="151" ht="58" customHeight="1">
      <c r="A151" s="30">
        <f>IF($B151="","",ROW()-2)</f>
        <v/>
      </c>
      <c r="B151" s="31" t="n"/>
      <c r="C151" s="32" t="n"/>
      <c r="D151" s="32" t="n"/>
      <c r="E151" s="30">
        <f>IF($C151="","",IF(AND($C151&gt;=TIME(14,0,0),$C151&lt;TIME(19,30,0)),"London",IF(AND($C151&gt;=TIME(19,30,0),$C151&lt;TIME(23,0,0)),"Overlap LDN+NY",IF(OR($C151&gt;=TIME(23,0,0),$C151&lt;TIME(4,0,0)),"New York","Asia"))))</f>
        <v/>
      </c>
      <c r="F151" s="33" t="n"/>
      <c r="G151" s="33" t="n"/>
      <c r="H151" s="33" t="n"/>
      <c r="I151" s="33" t="n"/>
      <c r="J151" s="33" t="n"/>
      <c r="K151" s="33" t="n"/>
      <c r="L151" s="33" t="n"/>
      <c r="M151" s="33" t="n"/>
      <c r="N151" s="34" t="n"/>
      <c r="O151" s="34" t="n"/>
      <c r="P151" s="34" t="n"/>
      <c r="Q151" s="34" t="n"/>
      <c r="R151" s="35">
        <f>IFERROR(IF(OR($N151="",$O151="",$F151=""),"",ROUND(('⚙️ Setelan'!$B$3*'⚙️ Setelan'!$B$4/100)/(ABS($N151-$O151)*VLOOKUP($F151,'⚙️ Setelan'!$A$14:$F$20,4,FALSE)),2)),"")</f>
        <v/>
      </c>
      <c r="S151" s="36" t="n"/>
      <c r="T151" s="37">
        <f>IFERROR(IF(OR($N151="",$O151="",$S151=""),"",ABS($N151-$O151)*$S151*VLOOKUP($F151,'⚙️ Setelan'!$A$14:$F$20,4,FALSE)),"")</f>
        <v/>
      </c>
      <c r="U151" s="35">
        <f>IFERROR(IF(OR($N151="",$O151="",$P151=""),"",ROUND(ABS($P151-$N151)/ABS($N151-$O151),2)),"")</f>
        <v/>
      </c>
      <c r="V151" s="37">
        <f>IFERROR(IF(OR($Q151="",$N151="",$S151=""),"",($Q151-$N151)*IF($G151="Buy",1,-1)*$S151*VLOOKUP($F151,'⚙️ Setelan'!$A$14:$F$20,4,FALSE)),"")</f>
        <v/>
      </c>
      <c r="W151" s="37">
        <f>IFERROR(IF(OR($S151="",$F151=""),"",$S151*VLOOKUP($F151,'⚙️ Setelan'!$A$14:$F$20,5,FALSE)),"")</f>
        <v/>
      </c>
      <c r="X151" s="37">
        <f>IF($V151="","",$V151-IF($W151="",0,$W151))</f>
        <v/>
      </c>
      <c r="Y151" s="35">
        <f>IF(OR($X151="",$T151="",$T151=0),"",ROUND($X151/$T151,2))</f>
        <v/>
      </c>
      <c r="Z151" s="30">
        <f>IF($X151="","",IF($X151&gt;0,"Win",IF($X151&lt;0,"Loss","BE")))</f>
        <v/>
      </c>
      <c r="AA151" s="38">
        <f>IF(OR($C151="",$D151=""),"",ROUND(MOD($D151-$C151,1)*1440,0))</f>
        <v/>
      </c>
      <c r="AB151" s="34" t="n"/>
      <c r="AC151" s="34" t="n"/>
      <c r="AD151" s="35">
        <f>IFERROR(IF(OR($AB151="",$T151="",$T151=0),"",ROUND(ABS($N151-$AB151)*$S151*VLOOKUP($F151,'⚙️ Setelan'!$A$14:$F$20,4,FALSE)/$T151,2)),"")</f>
        <v/>
      </c>
      <c r="AE151" s="35">
        <f>IFERROR(IF(OR($AC151="",$T151="",$T151=0),"",ROUND(ABS($AC151-$N151)*$S151*VLOOKUP($F151,'⚙️ Setelan'!$A$14:$F$20,4,FALSE)/$T151,2)),"")</f>
        <v/>
      </c>
      <c r="AF151" s="33" t="n"/>
      <c r="AG151" s="33" t="n"/>
      <c r="AH151" s="33" t="n"/>
      <c r="AI151" s="33" t="n"/>
      <c r="AJ151" s="33" t="n"/>
      <c r="AK151" s="39" t="n"/>
      <c r="AL151" s="30">
        <f>IF(OR($C151="",$B151=""),"",IF(AND($Z150="Loss",$B151=$B150,MOD($C151-$D150,1)*1440&lt;'⚙️ Setelan'!$B$9),"⚠️ Revenge",""))</f>
        <v/>
      </c>
      <c r="AM151" s="40" t="n"/>
      <c r="AN151" s="30">
        <f>IF($AM151="","",IFERROR(IMAGE(IF(REGEXMATCH($AM151,"\.(png|jpg|jpeg|gif)$"),$AM151,"https://s3.tradingview.com/snapshots/"&amp;LOWER(MID(REGEXEXTRACT($AM151,"/x/([A-Za-z0-9]+)"),1,1))&amp;"/"&amp;REGEXEXTRACT($AM151,"/x/([A-Za-z0-9]+)")&amp;".png"),1),"⚠️ link tidak dikenali"))</f>
        <v/>
      </c>
      <c r="AO151" s="40" t="n"/>
      <c r="AP151" s="30">
        <f>IF($AO151="","",IFERROR(IMAGE(IF(REGEXMATCH($AO151,"\.(png|jpg|jpeg|gif)$"),$AO151,"https://s3.tradingview.com/snapshots/"&amp;LOWER(MID(REGEXEXTRACT($AO151,"/x/([A-Za-z0-9]+)"),1,1))&amp;"/"&amp;REGEXEXTRACT($AO151,"/x/([A-Za-z0-9]+)")&amp;".png"),1),"⚠️ link tidak dikenali"))</f>
        <v/>
      </c>
      <c r="AQ151" s="38">
        <f>IF($Z151="",0,IF(AND(OR('📊 Dashboard'!$B$4="(Semua)",$F151='📊 Dashboard'!$B$4),OR('📊 Dashboard'!$B$5="(Semua)",$H151='📊 Dashboard'!$B$5),OR('📊 Dashboard'!$B$6="(Semua)",$E151='📊 Dashboard'!$B$6),OR('📊 Dashboard'!$B$7="(Semua)",$AF151='📊 Dashboard'!$B$7),OR('📊 Dashboard'!$B$8="(Semua)",$AG151='📊 Dashboard'!$B$8),OR('📊 Dashboard'!$B$9="(Semua)",$K151='📊 Dashboard'!$B$9)),1,0))</f>
        <v/>
      </c>
    </row>
    <row r="152" ht="58" customHeight="1">
      <c r="A152" s="30">
        <f>IF($B152="","",ROW()-2)</f>
        <v/>
      </c>
      <c r="B152" s="31" t="n"/>
      <c r="C152" s="32" t="n"/>
      <c r="D152" s="32" t="n"/>
      <c r="E152" s="30">
        <f>IF($C152="","",IF(AND($C152&gt;=TIME(14,0,0),$C152&lt;TIME(19,30,0)),"London",IF(AND($C152&gt;=TIME(19,30,0),$C152&lt;TIME(23,0,0)),"Overlap LDN+NY",IF(OR($C152&gt;=TIME(23,0,0),$C152&lt;TIME(4,0,0)),"New York","Asia"))))</f>
        <v/>
      </c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4" t="n"/>
      <c r="O152" s="34" t="n"/>
      <c r="P152" s="34" t="n"/>
      <c r="Q152" s="34" t="n"/>
      <c r="R152" s="35">
        <f>IFERROR(IF(OR($N152="",$O152="",$F152=""),"",ROUND(('⚙️ Setelan'!$B$3*'⚙️ Setelan'!$B$4/100)/(ABS($N152-$O152)*VLOOKUP($F152,'⚙️ Setelan'!$A$14:$F$20,4,FALSE)),2)),"")</f>
        <v/>
      </c>
      <c r="S152" s="36" t="n"/>
      <c r="T152" s="37">
        <f>IFERROR(IF(OR($N152="",$O152="",$S152=""),"",ABS($N152-$O152)*$S152*VLOOKUP($F152,'⚙️ Setelan'!$A$14:$F$20,4,FALSE)),"")</f>
        <v/>
      </c>
      <c r="U152" s="35">
        <f>IFERROR(IF(OR($N152="",$O152="",$P152=""),"",ROUND(ABS($P152-$N152)/ABS($N152-$O152),2)),"")</f>
        <v/>
      </c>
      <c r="V152" s="37">
        <f>IFERROR(IF(OR($Q152="",$N152="",$S152=""),"",($Q152-$N152)*IF($G152="Buy",1,-1)*$S152*VLOOKUP($F152,'⚙️ Setelan'!$A$14:$F$20,4,FALSE)),"")</f>
        <v/>
      </c>
      <c r="W152" s="37">
        <f>IFERROR(IF(OR($S152="",$F152=""),"",$S152*VLOOKUP($F152,'⚙️ Setelan'!$A$14:$F$20,5,FALSE)),"")</f>
        <v/>
      </c>
      <c r="X152" s="37">
        <f>IF($V152="","",$V152-IF($W152="",0,$W152))</f>
        <v/>
      </c>
      <c r="Y152" s="35">
        <f>IF(OR($X152="",$T152="",$T152=0),"",ROUND($X152/$T152,2))</f>
        <v/>
      </c>
      <c r="Z152" s="30">
        <f>IF($X152="","",IF($X152&gt;0,"Win",IF($X152&lt;0,"Loss","BE")))</f>
        <v/>
      </c>
      <c r="AA152" s="38">
        <f>IF(OR($C152="",$D152=""),"",ROUND(MOD($D152-$C152,1)*1440,0))</f>
        <v/>
      </c>
      <c r="AB152" s="34" t="n"/>
      <c r="AC152" s="34" t="n"/>
      <c r="AD152" s="35">
        <f>IFERROR(IF(OR($AB152="",$T152="",$T152=0),"",ROUND(ABS($N152-$AB152)*$S152*VLOOKUP($F152,'⚙️ Setelan'!$A$14:$F$20,4,FALSE)/$T152,2)),"")</f>
        <v/>
      </c>
      <c r="AE152" s="35">
        <f>IFERROR(IF(OR($AC152="",$T152="",$T152=0),"",ROUND(ABS($AC152-$N152)*$S152*VLOOKUP($F152,'⚙️ Setelan'!$A$14:$F$20,4,FALSE)/$T152,2)),"")</f>
        <v/>
      </c>
      <c r="AF152" s="33" t="n"/>
      <c r="AG152" s="33" t="n"/>
      <c r="AH152" s="33" t="n"/>
      <c r="AI152" s="33" t="n"/>
      <c r="AJ152" s="33" t="n"/>
      <c r="AK152" s="39" t="n"/>
      <c r="AL152" s="30">
        <f>IF(OR($C152="",$B152=""),"",IF(AND($Z151="Loss",$B152=$B151,MOD($C152-$D151,1)*1440&lt;'⚙️ Setelan'!$B$9),"⚠️ Revenge",""))</f>
        <v/>
      </c>
      <c r="AM152" s="40" t="n"/>
      <c r="AN152" s="30">
        <f>IF($AM152="","",IFERROR(IMAGE(IF(REGEXMATCH($AM152,"\.(png|jpg|jpeg|gif)$"),$AM152,"https://s3.tradingview.com/snapshots/"&amp;LOWER(MID(REGEXEXTRACT($AM152,"/x/([A-Za-z0-9]+)"),1,1))&amp;"/"&amp;REGEXEXTRACT($AM152,"/x/([A-Za-z0-9]+)")&amp;".png"),1),"⚠️ link tidak dikenali"))</f>
        <v/>
      </c>
      <c r="AO152" s="40" t="n"/>
      <c r="AP152" s="30">
        <f>IF($AO152="","",IFERROR(IMAGE(IF(REGEXMATCH($AO152,"\.(png|jpg|jpeg|gif)$"),$AO152,"https://s3.tradingview.com/snapshots/"&amp;LOWER(MID(REGEXEXTRACT($AO152,"/x/([A-Za-z0-9]+)"),1,1))&amp;"/"&amp;REGEXEXTRACT($AO152,"/x/([A-Za-z0-9]+)")&amp;".png"),1),"⚠️ link tidak dikenali"))</f>
        <v/>
      </c>
      <c r="AQ152" s="38">
        <f>IF($Z152="",0,IF(AND(OR('📊 Dashboard'!$B$4="(Semua)",$F152='📊 Dashboard'!$B$4),OR('📊 Dashboard'!$B$5="(Semua)",$H152='📊 Dashboard'!$B$5),OR('📊 Dashboard'!$B$6="(Semua)",$E152='📊 Dashboard'!$B$6),OR('📊 Dashboard'!$B$7="(Semua)",$AF152='📊 Dashboard'!$B$7),OR('📊 Dashboard'!$B$8="(Semua)",$AG152='📊 Dashboard'!$B$8),OR('📊 Dashboard'!$B$9="(Semua)",$K152='📊 Dashboard'!$B$9)),1,0))</f>
        <v/>
      </c>
    </row>
  </sheetData>
  <mergeCells count="9">
    <mergeCell ref="AQ1"/>
    <mergeCell ref="H1:M1"/>
    <mergeCell ref="A1:G1"/>
    <mergeCell ref="AF1:AK1"/>
    <mergeCell ref="AB1:AE1"/>
    <mergeCell ref="AM1:AP1"/>
    <mergeCell ref="T1:AA1"/>
    <mergeCell ref="N1:S1"/>
    <mergeCell ref="AL1"/>
  </mergeCells>
  <conditionalFormatting sqref="Z3:Z152">
    <cfRule type="expression" priority="1" dxfId="0">
      <formula>$Z3="Win"</formula>
    </cfRule>
    <cfRule type="expression" priority="2" dxfId="1">
      <formula>$Z3="Loss"</formula>
    </cfRule>
    <cfRule type="expression" priority="3" dxfId="2">
      <formula>$Z3="BE"</formula>
    </cfRule>
  </conditionalFormatting>
  <conditionalFormatting sqref="Y3:Y152">
    <cfRule type="expression" priority="4" dxfId="0">
      <formula>AND($Y3&lt;&gt;"",$Y3&gt;0)</formula>
    </cfRule>
    <cfRule type="expression" priority="5" dxfId="1">
      <formula>AND($Y3&lt;&gt;"",$Y3&lt;0)</formula>
    </cfRule>
  </conditionalFormatting>
  <conditionalFormatting sqref="X3:X152">
    <cfRule type="expression" priority="6" dxfId="0">
      <formula>AND($X3&lt;&gt;"",$X3&gt;0)</formula>
    </cfRule>
    <cfRule type="expression" priority="7" dxfId="1">
      <formula>AND($X3&lt;&gt;"",$X3&lt;0)</formula>
    </cfRule>
  </conditionalFormatting>
  <conditionalFormatting sqref="S3:S152">
    <cfRule type="expression" priority="8" dxfId="3">
      <formula>AND($S3&lt;&gt;"",$R3&lt;&gt;"",OR($S3&gt;$R3*1.5,$S3&lt;$R3*0.5))</formula>
    </cfRule>
  </conditionalFormatting>
  <conditionalFormatting sqref="AL3:AL152">
    <cfRule type="expression" priority="9" dxfId="1">
      <formula>$AL3="⚠️ Revenge"</formula>
    </cfRule>
  </conditionalFormatting>
  <conditionalFormatting sqref="AJ3:AJ152">
    <cfRule type="expression" priority="10" dxfId="3">
      <formula>AND($AJ3&lt;&gt;"",$AJ3&lt;&gt;"Tidak ada")</formula>
    </cfRule>
  </conditionalFormatting>
  <conditionalFormatting sqref="AF3:AF152">
    <cfRule type="expression" priority="11" dxfId="3">
      <formula>OR($AF3="FOMO",$AF3="Balas dendam",$AF3="Overconfident")</formula>
    </cfRule>
  </conditionalFormatting>
  <conditionalFormatting sqref="AG3:AG152">
    <cfRule type="expression" priority="12" dxfId="3">
      <formula>OR($AG3="Capek",$AG3="Ngantuk")</formula>
    </cfRule>
  </conditionalFormatting>
  <dataValidations count="13">
    <dataValidation sqref="F3:F152" showDropDown="0" showInputMessage="0" showErrorMessage="0" allowBlank="1" type="list">
      <formula1>"XAUUSD,BTCUSD,EURUSD,GBPUSD,USDJPY"</formula1>
    </dataValidation>
    <dataValidation sqref="G3:G152" showDropDown="0" showInputMessage="0" showErrorMessage="0" allowBlank="1" type="list">
      <formula1>"Buy,Sell"</formula1>
    </dataValidation>
    <dataValidation sqref="H3:H152" showDropDown="0" showInputMessage="0" showErrorMessage="0" allowBlank="1" type="list">
      <formula1>"First Touch,RBS Retest,SBR Retest,Lainnya"</formula1>
    </dataValidation>
    <dataValidation sqref="I3:I152" showDropDown="0" showInputMessage="0" showErrorMessage="0" allowBlank="1" type="list">
      <formula1>"M1,M5,M15"</formula1>
    </dataValidation>
    <dataValidation sqref="J3:J152" showDropDown="0" showInputMessage="0" showErrorMessage="0" allowBlank="1" type="list">
      <formula1>"Ya,Tidak"</formula1>
    </dataValidation>
    <dataValidation sqref="K3:K152" showDropDown="0" showInputMessage="0" showErrorMessage="0" allowBlank="1" type="list">
      <formula1>"Ya,Tidak"</formula1>
    </dataValidation>
    <dataValidation sqref="M3:M152" showDropDown="0" showInputMessage="0" showErrorMessage="0" allowBlank="1" type="list">
      <formula1>"Ya,Tidak"</formula1>
    </dataValidation>
    <dataValidation sqref="AI3:AI152" showDropDown="0" showInputMessage="0" showErrorMessage="0" allowBlank="1" type="list">
      <formula1>"Ya,Tidak"</formula1>
    </dataValidation>
    <dataValidation sqref="L3:L152" showDropDown="0" showInputMessage="0" showErrorMessage="0" allowBlank="1" type="list">
      <formula1>"POC,VAH,VAL,Tidak ada"</formula1>
    </dataValidation>
    <dataValidation sqref="AF3:AF152" showDropDown="0" showInputMessage="0" showErrorMessage="0" allowBlank="1" type="list">
      <formula1>"Tenang,FOMO,Balas dendam,Ragu,Overconfident,Bosan"</formula1>
    </dataValidation>
    <dataValidation sqref="AG3:AG152" showDropDown="0" showInputMessage="0" showErrorMessage="0" allowBlank="1" type="list">
      <formula1>"Segar,Biasa,Capek,Ngantuk"</formula1>
    </dataValidation>
    <dataValidation sqref="AH3:AH152" showDropDown="0" showInputMessage="0" showErrorMessage="0" allowBlank="1" type="list">
      <formula1>"1,2,3,4,5"</formula1>
    </dataValidation>
    <dataValidation sqref="AJ3:AJ152" showDropDown="0" showInputMessage="0" showErrorMessage="0" allowBlank="1" type="list">
      <formula1>"Tidak ada,Geser SL,Entry tanpa plan,Lot kegedean,Revenge trade,Exit kecepetan,Entry telat,Lawan bias,Lainnya"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10" customWidth="1" min="4" max="4"/>
    <col width="10" customWidth="1" min="5" max="5"/>
    <col width="20" customWidth="1" min="6" max="6"/>
    <col width="12" customWidth="1" min="7" max="7"/>
    <col width="11" customWidth="1" min="8" max="8"/>
    <col width="12" customWidth="1" min="9" max="9"/>
  </cols>
  <sheetData>
    <row r="1">
      <c r="A1" s="5" t="inlineStr">
        <is>
          <t>📅 REKAP HARIAN — August 2026</t>
        </is>
      </c>
    </row>
    <row r="2">
      <c r="A2" s="13" t="inlineStr">
        <is>
          <t>Tanggal</t>
        </is>
      </c>
      <c r="B2" s="13" t="inlineStr">
        <is>
          <t>Trade</t>
        </is>
      </c>
      <c r="C2" s="13" t="inlineStr">
        <is>
          <t>PnL Bersih $</t>
        </is>
      </c>
      <c r="D2" s="13" t="inlineStr">
        <is>
          <t>Total R</t>
        </is>
      </c>
      <c r="E2" s="13" t="inlineStr">
        <is>
          <t>Win Rate</t>
        </is>
      </c>
      <c r="F2" s="13" t="inlineStr">
        <is>
          <t>Status Guardrail</t>
        </is>
      </c>
      <c r="G2" s="13" t="inlineStr">
        <is>
          <t>Kumulatif R</t>
        </is>
      </c>
      <c r="H2" s="13" t="inlineStr">
        <is>
          <t>Puncak R</t>
        </is>
      </c>
      <c r="I2" s="13" t="inlineStr">
        <is>
          <t>Drawdown R</t>
        </is>
      </c>
    </row>
    <row r="3">
      <c r="A3" s="41" t="n">
        <v>46235</v>
      </c>
      <c r="B3" s="42">
        <f>(COUNTIFS('📒 Jurnal'!$B$3:$B$152,$A3,'📒 Jurnal'!$Z$3:$Z$152,"Win")+COUNTIFS('📒 Jurnal'!$B$3:$B$152,$A3,'📒 Jurnal'!$Z$3:$Z$152,"Loss")+COUNTIFS('📒 Jurnal'!$B$3:$B$152,$A3,'📒 Jurnal'!$Z$3:$Z$152,"BE"))</f>
        <v/>
      </c>
      <c r="C3" s="43">
        <f>SUMIFS('📒 Jurnal'!$X$3:$X$152,'📒 Jurnal'!$B$3:$B$152,$A3)</f>
        <v/>
      </c>
      <c r="D3" s="44">
        <f>SUMIFS('📒 Jurnal'!$Y$3:$Y$152,'📒 Jurnal'!$B$3:$B$152,$A3)</f>
        <v/>
      </c>
      <c r="E3" s="45">
        <f>IFERROR(COUNTIFS('📒 Jurnal'!$B$3:$B$152,$A3,'📒 Jurnal'!$Z$3:$Z$152,"Win")/(COUNTIFS('📒 Jurnal'!$B$3:$B$152,$A3,'📒 Jurnal'!$Z$3:$Z$152,"Win")+COUNTIFS('📒 Jurnal'!$B$3:$B$152,$A3,'📒 Jurnal'!$Z$3:$Z$152,"Loss")+COUNTIFS('📒 Jurnal'!$B$3:$B$152,$A3,'📒 Jurnal'!$Z$3:$Z$152,"BE")),"")</f>
        <v/>
      </c>
      <c r="F3" s="42">
        <f>IF($B3=0,"—",IF(OR($C3&lt;=-'⚙️ Setelan'!$B$5,$B3&gt;'⚙️ Setelan'!$B$6,COUNTIFS('📒 Jurnal'!$B$3:$B$152,$A3,'📒 Jurnal'!$AL$3:$AL$152,"⚠️ Revenge")&gt;0),"🔴 LANGGAR","✅ Aman"))</f>
        <v/>
      </c>
      <c r="G3" s="46">
        <f>SUM($D$3:$D3)</f>
        <v/>
      </c>
      <c r="H3" s="46">
        <f>MAX($G$3:$G3)</f>
        <v/>
      </c>
      <c r="I3" s="46">
        <f>$H3-$G3</f>
        <v/>
      </c>
    </row>
    <row r="4">
      <c r="A4" s="41" t="n">
        <v>46236</v>
      </c>
      <c r="B4" s="42">
        <f>(COUNTIFS('📒 Jurnal'!$B$3:$B$152,$A4,'📒 Jurnal'!$Z$3:$Z$152,"Win")+COUNTIFS('📒 Jurnal'!$B$3:$B$152,$A4,'📒 Jurnal'!$Z$3:$Z$152,"Loss")+COUNTIFS('📒 Jurnal'!$B$3:$B$152,$A4,'📒 Jurnal'!$Z$3:$Z$152,"BE"))</f>
        <v/>
      </c>
      <c r="C4" s="43">
        <f>SUMIFS('📒 Jurnal'!$X$3:$X$152,'📒 Jurnal'!$B$3:$B$152,$A4)</f>
        <v/>
      </c>
      <c r="D4" s="44">
        <f>SUMIFS('📒 Jurnal'!$Y$3:$Y$152,'📒 Jurnal'!$B$3:$B$152,$A4)</f>
        <v/>
      </c>
      <c r="E4" s="45">
        <f>IFERROR(COUNTIFS('📒 Jurnal'!$B$3:$B$152,$A4,'📒 Jurnal'!$Z$3:$Z$152,"Win")/(COUNTIFS('📒 Jurnal'!$B$3:$B$152,$A4,'📒 Jurnal'!$Z$3:$Z$152,"Win")+COUNTIFS('📒 Jurnal'!$B$3:$B$152,$A4,'📒 Jurnal'!$Z$3:$Z$152,"Loss")+COUNTIFS('📒 Jurnal'!$B$3:$B$152,$A4,'📒 Jurnal'!$Z$3:$Z$152,"BE")),"")</f>
        <v/>
      </c>
      <c r="F4" s="42">
        <f>IF($B4=0,"—",IF(OR($C4&lt;=-'⚙️ Setelan'!$B$5,$B4&gt;'⚙️ Setelan'!$B$6,COUNTIFS('📒 Jurnal'!$B$3:$B$152,$A4,'📒 Jurnal'!$AL$3:$AL$152,"⚠️ Revenge")&gt;0),"🔴 LANGGAR","✅ Aman"))</f>
        <v/>
      </c>
      <c r="G4" s="46">
        <f>SUM($D$3:$D4)</f>
        <v/>
      </c>
      <c r="H4" s="46">
        <f>MAX($G$3:$G4)</f>
        <v/>
      </c>
      <c r="I4" s="46">
        <f>$H4-$G4</f>
        <v/>
      </c>
    </row>
    <row r="5">
      <c r="A5" s="41" t="n">
        <v>46237</v>
      </c>
      <c r="B5" s="42">
        <f>(COUNTIFS('📒 Jurnal'!$B$3:$B$152,$A5,'📒 Jurnal'!$Z$3:$Z$152,"Win")+COUNTIFS('📒 Jurnal'!$B$3:$B$152,$A5,'📒 Jurnal'!$Z$3:$Z$152,"Loss")+COUNTIFS('📒 Jurnal'!$B$3:$B$152,$A5,'📒 Jurnal'!$Z$3:$Z$152,"BE"))</f>
        <v/>
      </c>
      <c r="C5" s="43">
        <f>SUMIFS('📒 Jurnal'!$X$3:$X$152,'📒 Jurnal'!$B$3:$B$152,$A5)</f>
        <v/>
      </c>
      <c r="D5" s="44">
        <f>SUMIFS('📒 Jurnal'!$Y$3:$Y$152,'📒 Jurnal'!$B$3:$B$152,$A5)</f>
        <v/>
      </c>
      <c r="E5" s="45">
        <f>IFERROR(COUNTIFS('📒 Jurnal'!$B$3:$B$152,$A5,'📒 Jurnal'!$Z$3:$Z$152,"Win")/(COUNTIFS('📒 Jurnal'!$B$3:$B$152,$A5,'📒 Jurnal'!$Z$3:$Z$152,"Win")+COUNTIFS('📒 Jurnal'!$B$3:$B$152,$A5,'📒 Jurnal'!$Z$3:$Z$152,"Loss")+COUNTIFS('📒 Jurnal'!$B$3:$B$152,$A5,'📒 Jurnal'!$Z$3:$Z$152,"BE")),"")</f>
        <v/>
      </c>
      <c r="F5" s="42">
        <f>IF($B5=0,"—",IF(OR($C5&lt;=-'⚙️ Setelan'!$B$5,$B5&gt;'⚙️ Setelan'!$B$6,COUNTIFS('📒 Jurnal'!$B$3:$B$152,$A5,'📒 Jurnal'!$AL$3:$AL$152,"⚠️ Revenge")&gt;0),"🔴 LANGGAR","✅ Aman"))</f>
        <v/>
      </c>
      <c r="G5" s="46">
        <f>SUM($D$3:$D5)</f>
        <v/>
      </c>
      <c r="H5" s="46">
        <f>MAX($G$3:$G5)</f>
        <v/>
      </c>
      <c r="I5" s="46">
        <f>$H5-$G5</f>
        <v/>
      </c>
    </row>
    <row r="6">
      <c r="A6" s="41" t="n">
        <v>46238</v>
      </c>
      <c r="B6" s="42">
        <f>(COUNTIFS('📒 Jurnal'!$B$3:$B$152,$A6,'📒 Jurnal'!$Z$3:$Z$152,"Win")+COUNTIFS('📒 Jurnal'!$B$3:$B$152,$A6,'📒 Jurnal'!$Z$3:$Z$152,"Loss")+COUNTIFS('📒 Jurnal'!$B$3:$B$152,$A6,'📒 Jurnal'!$Z$3:$Z$152,"BE"))</f>
        <v/>
      </c>
      <c r="C6" s="43">
        <f>SUMIFS('📒 Jurnal'!$X$3:$X$152,'📒 Jurnal'!$B$3:$B$152,$A6)</f>
        <v/>
      </c>
      <c r="D6" s="44">
        <f>SUMIFS('📒 Jurnal'!$Y$3:$Y$152,'📒 Jurnal'!$B$3:$B$152,$A6)</f>
        <v/>
      </c>
      <c r="E6" s="45">
        <f>IFERROR(COUNTIFS('📒 Jurnal'!$B$3:$B$152,$A6,'📒 Jurnal'!$Z$3:$Z$152,"Win")/(COUNTIFS('📒 Jurnal'!$B$3:$B$152,$A6,'📒 Jurnal'!$Z$3:$Z$152,"Win")+COUNTIFS('📒 Jurnal'!$B$3:$B$152,$A6,'📒 Jurnal'!$Z$3:$Z$152,"Loss")+COUNTIFS('📒 Jurnal'!$B$3:$B$152,$A6,'📒 Jurnal'!$Z$3:$Z$152,"BE")),"")</f>
        <v/>
      </c>
      <c r="F6" s="42">
        <f>IF($B6=0,"—",IF(OR($C6&lt;=-'⚙️ Setelan'!$B$5,$B6&gt;'⚙️ Setelan'!$B$6,COUNTIFS('📒 Jurnal'!$B$3:$B$152,$A6,'📒 Jurnal'!$AL$3:$AL$152,"⚠️ Revenge")&gt;0),"🔴 LANGGAR","✅ Aman"))</f>
        <v/>
      </c>
      <c r="G6" s="46">
        <f>SUM($D$3:$D6)</f>
        <v/>
      </c>
      <c r="H6" s="46">
        <f>MAX($G$3:$G6)</f>
        <v/>
      </c>
      <c r="I6" s="46">
        <f>$H6-$G6</f>
        <v/>
      </c>
    </row>
    <row r="7">
      <c r="A7" s="41" t="n">
        <v>46239</v>
      </c>
      <c r="B7" s="42">
        <f>(COUNTIFS('📒 Jurnal'!$B$3:$B$152,$A7,'📒 Jurnal'!$Z$3:$Z$152,"Win")+COUNTIFS('📒 Jurnal'!$B$3:$B$152,$A7,'📒 Jurnal'!$Z$3:$Z$152,"Loss")+COUNTIFS('📒 Jurnal'!$B$3:$B$152,$A7,'📒 Jurnal'!$Z$3:$Z$152,"BE"))</f>
        <v/>
      </c>
      <c r="C7" s="43">
        <f>SUMIFS('📒 Jurnal'!$X$3:$X$152,'📒 Jurnal'!$B$3:$B$152,$A7)</f>
        <v/>
      </c>
      <c r="D7" s="44">
        <f>SUMIFS('📒 Jurnal'!$Y$3:$Y$152,'📒 Jurnal'!$B$3:$B$152,$A7)</f>
        <v/>
      </c>
      <c r="E7" s="45">
        <f>IFERROR(COUNTIFS('📒 Jurnal'!$B$3:$B$152,$A7,'📒 Jurnal'!$Z$3:$Z$152,"Win")/(COUNTIFS('📒 Jurnal'!$B$3:$B$152,$A7,'📒 Jurnal'!$Z$3:$Z$152,"Win")+COUNTIFS('📒 Jurnal'!$B$3:$B$152,$A7,'📒 Jurnal'!$Z$3:$Z$152,"Loss")+COUNTIFS('📒 Jurnal'!$B$3:$B$152,$A7,'📒 Jurnal'!$Z$3:$Z$152,"BE")),"")</f>
        <v/>
      </c>
      <c r="F7" s="42">
        <f>IF($B7=0,"—",IF(OR($C7&lt;=-'⚙️ Setelan'!$B$5,$B7&gt;'⚙️ Setelan'!$B$6,COUNTIFS('📒 Jurnal'!$B$3:$B$152,$A7,'📒 Jurnal'!$AL$3:$AL$152,"⚠️ Revenge")&gt;0),"🔴 LANGGAR","✅ Aman"))</f>
        <v/>
      </c>
      <c r="G7" s="46">
        <f>SUM($D$3:$D7)</f>
        <v/>
      </c>
      <c r="H7" s="46">
        <f>MAX($G$3:$G7)</f>
        <v/>
      </c>
      <c r="I7" s="46">
        <f>$H7-$G7</f>
        <v/>
      </c>
    </row>
    <row r="8">
      <c r="A8" s="41" t="n">
        <v>46240</v>
      </c>
      <c r="B8" s="42">
        <f>(COUNTIFS('📒 Jurnal'!$B$3:$B$152,$A8,'📒 Jurnal'!$Z$3:$Z$152,"Win")+COUNTIFS('📒 Jurnal'!$B$3:$B$152,$A8,'📒 Jurnal'!$Z$3:$Z$152,"Loss")+COUNTIFS('📒 Jurnal'!$B$3:$B$152,$A8,'📒 Jurnal'!$Z$3:$Z$152,"BE"))</f>
        <v/>
      </c>
      <c r="C8" s="43">
        <f>SUMIFS('📒 Jurnal'!$X$3:$X$152,'📒 Jurnal'!$B$3:$B$152,$A8)</f>
        <v/>
      </c>
      <c r="D8" s="44">
        <f>SUMIFS('📒 Jurnal'!$Y$3:$Y$152,'📒 Jurnal'!$B$3:$B$152,$A8)</f>
        <v/>
      </c>
      <c r="E8" s="45">
        <f>IFERROR(COUNTIFS('📒 Jurnal'!$B$3:$B$152,$A8,'📒 Jurnal'!$Z$3:$Z$152,"Win")/(COUNTIFS('📒 Jurnal'!$B$3:$B$152,$A8,'📒 Jurnal'!$Z$3:$Z$152,"Win")+COUNTIFS('📒 Jurnal'!$B$3:$B$152,$A8,'📒 Jurnal'!$Z$3:$Z$152,"Loss")+COUNTIFS('📒 Jurnal'!$B$3:$B$152,$A8,'📒 Jurnal'!$Z$3:$Z$152,"BE")),"")</f>
        <v/>
      </c>
      <c r="F8" s="42">
        <f>IF($B8=0,"—",IF(OR($C8&lt;=-'⚙️ Setelan'!$B$5,$B8&gt;'⚙️ Setelan'!$B$6,COUNTIFS('📒 Jurnal'!$B$3:$B$152,$A8,'📒 Jurnal'!$AL$3:$AL$152,"⚠️ Revenge")&gt;0),"🔴 LANGGAR","✅ Aman"))</f>
        <v/>
      </c>
      <c r="G8" s="46">
        <f>SUM($D$3:$D8)</f>
        <v/>
      </c>
      <c r="H8" s="46">
        <f>MAX($G$3:$G8)</f>
        <v/>
      </c>
      <c r="I8" s="46">
        <f>$H8-$G8</f>
        <v/>
      </c>
    </row>
    <row r="9">
      <c r="A9" s="41" t="n">
        <v>46241</v>
      </c>
      <c r="B9" s="42">
        <f>(COUNTIFS('📒 Jurnal'!$B$3:$B$152,$A9,'📒 Jurnal'!$Z$3:$Z$152,"Win")+COUNTIFS('📒 Jurnal'!$B$3:$B$152,$A9,'📒 Jurnal'!$Z$3:$Z$152,"Loss")+COUNTIFS('📒 Jurnal'!$B$3:$B$152,$A9,'📒 Jurnal'!$Z$3:$Z$152,"BE"))</f>
        <v/>
      </c>
      <c r="C9" s="43">
        <f>SUMIFS('📒 Jurnal'!$X$3:$X$152,'📒 Jurnal'!$B$3:$B$152,$A9)</f>
        <v/>
      </c>
      <c r="D9" s="44">
        <f>SUMIFS('📒 Jurnal'!$Y$3:$Y$152,'📒 Jurnal'!$B$3:$B$152,$A9)</f>
        <v/>
      </c>
      <c r="E9" s="45">
        <f>IFERROR(COUNTIFS('📒 Jurnal'!$B$3:$B$152,$A9,'📒 Jurnal'!$Z$3:$Z$152,"Win")/(COUNTIFS('📒 Jurnal'!$B$3:$B$152,$A9,'📒 Jurnal'!$Z$3:$Z$152,"Win")+COUNTIFS('📒 Jurnal'!$B$3:$B$152,$A9,'📒 Jurnal'!$Z$3:$Z$152,"Loss")+COUNTIFS('📒 Jurnal'!$B$3:$B$152,$A9,'📒 Jurnal'!$Z$3:$Z$152,"BE")),"")</f>
        <v/>
      </c>
      <c r="F9" s="42">
        <f>IF($B9=0,"—",IF(OR($C9&lt;=-'⚙️ Setelan'!$B$5,$B9&gt;'⚙️ Setelan'!$B$6,COUNTIFS('📒 Jurnal'!$B$3:$B$152,$A9,'📒 Jurnal'!$AL$3:$AL$152,"⚠️ Revenge")&gt;0),"🔴 LANGGAR","✅ Aman"))</f>
        <v/>
      </c>
      <c r="G9" s="46">
        <f>SUM($D$3:$D9)</f>
        <v/>
      </c>
      <c r="H9" s="46">
        <f>MAX($G$3:$G9)</f>
        <v/>
      </c>
      <c r="I9" s="46">
        <f>$H9-$G9</f>
        <v/>
      </c>
    </row>
    <row r="10">
      <c r="A10" s="41" t="n">
        <v>46242</v>
      </c>
      <c r="B10" s="42">
        <f>(COUNTIFS('📒 Jurnal'!$B$3:$B$152,$A10,'📒 Jurnal'!$Z$3:$Z$152,"Win")+COUNTIFS('📒 Jurnal'!$B$3:$B$152,$A10,'📒 Jurnal'!$Z$3:$Z$152,"Loss")+COUNTIFS('📒 Jurnal'!$B$3:$B$152,$A10,'📒 Jurnal'!$Z$3:$Z$152,"BE"))</f>
        <v/>
      </c>
      <c r="C10" s="43">
        <f>SUMIFS('📒 Jurnal'!$X$3:$X$152,'📒 Jurnal'!$B$3:$B$152,$A10)</f>
        <v/>
      </c>
      <c r="D10" s="44">
        <f>SUMIFS('📒 Jurnal'!$Y$3:$Y$152,'📒 Jurnal'!$B$3:$B$152,$A10)</f>
        <v/>
      </c>
      <c r="E10" s="45">
        <f>IFERROR(COUNTIFS('📒 Jurnal'!$B$3:$B$152,$A10,'📒 Jurnal'!$Z$3:$Z$152,"Win")/(COUNTIFS('📒 Jurnal'!$B$3:$B$152,$A10,'📒 Jurnal'!$Z$3:$Z$152,"Win")+COUNTIFS('📒 Jurnal'!$B$3:$B$152,$A10,'📒 Jurnal'!$Z$3:$Z$152,"Loss")+COUNTIFS('📒 Jurnal'!$B$3:$B$152,$A10,'📒 Jurnal'!$Z$3:$Z$152,"BE")),"")</f>
        <v/>
      </c>
      <c r="F10" s="42">
        <f>IF($B10=0,"—",IF(OR($C10&lt;=-'⚙️ Setelan'!$B$5,$B10&gt;'⚙️ Setelan'!$B$6,COUNTIFS('📒 Jurnal'!$B$3:$B$152,$A10,'📒 Jurnal'!$AL$3:$AL$152,"⚠️ Revenge")&gt;0),"🔴 LANGGAR","✅ Aman"))</f>
        <v/>
      </c>
      <c r="G10" s="46">
        <f>SUM($D$3:$D10)</f>
        <v/>
      </c>
      <c r="H10" s="46">
        <f>MAX($G$3:$G10)</f>
        <v/>
      </c>
      <c r="I10" s="46">
        <f>$H10-$G10</f>
        <v/>
      </c>
    </row>
    <row r="11">
      <c r="A11" s="41" t="n">
        <v>46243</v>
      </c>
      <c r="B11" s="42">
        <f>(COUNTIFS('📒 Jurnal'!$B$3:$B$152,$A11,'📒 Jurnal'!$Z$3:$Z$152,"Win")+COUNTIFS('📒 Jurnal'!$B$3:$B$152,$A11,'📒 Jurnal'!$Z$3:$Z$152,"Loss")+COUNTIFS('📒 Jurnal'!$B$3:$B$152,$A11,'📒 Jurnal'!$Z$3:$Z$152,"BE"))</f>
        <v/>
      </c>
      <c r="C11" s="43">
        <f>SUMIFS('📒 Jurnal'!$X$3:$X$152,'📒 Jurnal'!$B$3:$B$152,$A11)</f>
        <v/>
      </c>
      <c r="D11" s="44">
        <f>SUMIFS('📒 Jurnal'!$Y$3:$Y$152,'📒 Jurnal'!$B$3:$B$152,$A11)</f>
        <v/>
      </c>
      <c r="E11" s="45">
        <f>IFERROR(COUNTIFS('📒 Jurnal'!$B$3:$B$152,$A11,'📒 Jurnal'!$Z$3:$Z$152,"Win")/(COUNTIFS('📒 Jurnal'!$B$3:$B$152,$A11,'📒 Jurnal'!$Z$3:$Z$152,"Win")+COUNTIFS('📒 Jurnal'!$B$3:$B$152,$A11,'📒 Jurnal'!$Z$3:$Z$152,"Loss")+COUNTIFS('📒 Jurnal'!$B$3:$B$152,$A11,'📒 Jurnal'!$Z$3:$Z$152,"BE")),"")</f>
        <v/>
      </c>
      <c r="F11" s="42">
        <f>IF($B11=0,"—",IF(OR($C11&lt;=-'⚙️ Setelan'!$B$5,$B11&gt;'⚙️ Setelan'!$B$6,COUNTIFS('📒 Jurnal'!$B$3:$B$152,$A11,'📒 Jurnal'!$AL$3:$AL$152,"⚠️ Revenge")&gt;0),"🔴 LANGGAR","✅ Aman"))</f>
        <v/>
      </c>
      <c r="G11" s="46">
        <f>SUM($D$3:$D11)</f>
        <v/>
      </c>
      <c r="H11" s="46">
        <f>MAX($G$3:$G11)</f>
        <v/>
      </c>
      <c r="I11" s="46">
        <f>$H11-$G11</f>
        <v/>
      </c>
    </row>
    <row r="12">
      <c r="A12" s="41" t="n">
        <v>46244</v>
      </c>
      <c r="B12" s="42">
        <f>(COUNTIFS('📒 Jurnal'!$B$3:$B$152,$A12,'📒 Jurnal'!$Z$3:$Z$152,"Win")+COUNTIFS('📒 Jurnal'!$B$3:$B$152,$A12,'📒 Jurnal'!$Z$3:$Z$152,"Loss")+COUNTIFS('📒 Jurnal'!$B$3:$B$152,$A12,'📒 Jurnal'!$Z$3:$Z$152,"BE"))</f>
        <v/>
      </c>
      <c r="C12" s="43">
        <f>SUMIFS('📒 Jurnal'!$X$3:$X$152,'📒 Jurnal'!$B$3:$B$152,$A12)</f>
        <v/>
      </c>
      <c r="D12" s="44">
        <f>SUMIFS('📒 Jurnal'!$Y$3:$Y$152,'📒 Jurnal'!$B$3:$B$152,$A12)</f>
        <v/>
      </c>
      <c r="E12" s="45">
        <f>IFERROR(COUNTIFS('📒 Jurnal'!$B$3:$B$152,$A12,'📒 Jurnal'!$Z$3:$Z$152,"Win")/(COUNTIFS('📒 Jurnal'!$B$3:$B$152,$A12,'📒 Jurnal'!$Z$3:$Z$152,"Win")+COUNTIFS('📒 Jurnal'!$B$3:$B$152,$A12,'📒 Jurnal'!$Z$3:$Z$152,"Loss")+COUNTIFS('📒 Jurnal'!$B$3:$B$152,$A12,'📒 Jurnal'!$Z$3:$Z$152,"BE")),"")</f>
        <v/>
      </c>
      <c r="F12" s="42">
        <f>IF($B12=0,"—",IF(OR($C12&lt;=-'⚙️ Setelan'!$B$5,$B12&gt;'⚙️ Setelan'!$B$6,COUNTIFS('📒 Jurnal'!$B$3:$B$152,$A12,'📒 Jurnal'!$AL$3:$AL$152,"⚠️ Revenge")&gt;0),"🔴 LANGGAR","✅ Aman"))</f>
        <v/>
      </c>
      <c r="G12" s="46">
        <f>SUM($D$3:$D12)</f>
        <v/>
      </c>
      <c r="H12" s="46">
        <f>MAX($G$3:$G12)</f>
        <v/>
      </c>
      <c r="I12" s="46">
        <f>$H12-$G12</f>
        <v/>
      </c>
    </row>
    <row r="13">
      <c r="A13" s="41" t="n">
        <v>46245</v>
      </c>
      <c r="B13" s="42">
        <f>(COUNTIFS('📒 Jurnal'!$B$3:$B$152,$A13,'📒 Jurnal'!$Z$3:$Z$152,"Win")+COUNTIFS('📒 Jurnal'!$B$3:$B$152,$A13,'📒 Jurnal'!$Z$3:$Z$152,"Loss")+COUNTIFS('📒 Jurnal'!$B$3:$B$152,$A13,'📒 Jurnal'!$Z$3:$Z$152,"BE"))</f>
        <v/>
      </c>
      <c r="C13" s="43">
        <f>SUMIFS('📒 Jurnal'!$X$3:$X$152,'📒 Jurnal'!$B$3:$B$152,$A13)</f>
        <v/>
      </c>
      <c r="D13" s="44">
        <f>SUMIFS('📒 Jurnal'!$Y$3:$Y$152,'📒 Jurnal'!$B$3:$B$152,$A13)</f>
        <v/>
      </c>
      <c r="E13" s="45">
        <f>IFERROR(COUNTIFS('📒 Jurnal'!$B$3:$B$152,$A13,'📒 Jurnal'!$Z$3:$Z$152,"Win")/(COUNTIFS('📒 Jurnal'!$B$3:$B$152,$A13,'📒 Jurnal'!$Z$3:$Z$152,"Win")+COUNTIFS('📒 Jurnal'!$B$3:$B$152,$A13,'📒 Jurnal'!$Z$3:$Z$152,"Loss")+COUNTIFS('📒 Jurnal'!$B$3:$B$152,$A13,'📒 Jurnal'!$Z$3:$Z$152,"BE")),"")</f>
        <v/>
      </c>
      <c r="F13" s="42">
        <f>IF($B13=0,"—",IF(OR($C13&lt;=-'⚙️ Setelan'!$B$5,$B13&gt;'⚙️ Setelan'!$B$6,COUNTIFS('📒 Jurnal'!$B$3:$B$152,$A13,'📒 Jurnal'!$AL$3:$AL$152,"⚠️ Revenge")&gt;0),"🔴 LANGGAR","✅ Aman"))</f>
        <v/>
      </c>
      <c r="G13" s="46">
        <f>SUM($D$3:$D13)</f>
        <v/>
      </c>
      <c r="H13" s="46">
        <f>MAX($G$3:$G13)</f>
        <v/>
      </c>
      <c r="I13" s="46">
        <f>$H13-$G13</f>
        <v/>
      </c>
    </row>
    <row r="14">
      <c r="A14" s="41" t="n">
        <v>46246</v>
      </c>
      <c r="B14" s="42">
        <f>(COUNTIFS('📒 Jurnal'!$B$3:$B$152,$A14,'📒 Jurnal'!$Z$3:$Z$152,"Win")+COUNTIFS('📒 Jurnal'!$B$3:$B$152,$A14,'📒 Jurnal'!$Z$3:$Z$152,"Loss")+COUNTIFS('📒 Jurnal'!$B$3:$B$152,$A14,'📒 Jurnal'!$Z$3:$Z$152,"BE"))</f>
        <v/>
      </c>
      <c r="C14" s="43">
        <f>SUMIFS('📒 Jurnal'!$X$3:$X$152,'📒 Jurnal'!$B$3:$B$152,$A14)</f>
        <v/>
      </c>
      <c r="D14" s="44">
        <f>SUMIFS('📒 Jurnal'!$Y$3:$Y$152,'📒 Jurnal'!$B$3:$B$152,$A14)</f>
        <v/>
      </c>
      <c r="E14" s="45">
        <f>IFERROR(COUNTIFS('📒 Jurnal'!$B$3:$B$152,$A14,'📒 Jurnal'!$Z$3:$Z$152,"Win")/(COUNTIFS('📒 Jurnal'!$B$3:$B$152,$A14,'📒 Jurnal'!$Z$3:$Z$152,"Win")+COUNTIFS('📒 Jurnal'!$B$3:$B$152,$A14,'📒 Jurnal'!$Z$3:$Z$152,"Loss")+COUNTIFS('📒 Jurnal'!$B$3:$B$152,$A14,'📒 Jurnal'!$Z$3:$Z$152,"BE")),"")</f>
        <v/>
      </c>
      <c r="F14" s="42">
        <f>IF($B14=0,"—",IF(OR($C14&lt;=-'⚙️ Setelan'!$B$5,$B14&gt;'⚙️ Setelan'!$B$6,COUNTIFS('📒 Jurnal'!$B$3:$B$152,$A14,'📒 Jurnal'!$AL$3:$AL$152,"⚠️ Revenge")&gt;0),"🔴 LANGGAR","✅ Aman"))</f>
        <v/>
      </c>
      <c r="G14" s="46">
        <f>SUM($D$3:$D14)</f>
        <v/>
      </c>
      <c r="H14" s="46">
        <f>MAX($G$3:$G14)</f>
        <v/>
      </c>
      <c r="I14" s="46">
        <f>$H14-$G14</f>
        <v/>
      </c>
    </row>
    <row r="15">
      <c r="A15" s="41" t="n">
        <v>46247</v>
      </c>
      <c r="B15" s="42">
        <f>(COUNTIFS('📒 Jurnal'!$B$3:$B$152,$A15,'📒 Jurnal'!$Z$3:$Z$152,"Win")+COUNTIFS('📒 Jurnal'!$B$3:$B$152,$A15,'📒 Jurnal'!$Z$3:$Z$152,"Loss")+COUNTIFS('📒 Jurnal'!$B$3:$B$152,$A15,'📒 Jurnal'!$Z$3:$Z$152,"BE"))</f>
        <v/>
      </c>
      <c r="C15" s="43">
        <f>SUMIFS('📒 Jurnal'!$X$3:$X$152,'📒 Jurnal'!$B$3:$B$152,$A15)</f>
        <v/>
      </c>
      <c r="D15" s="44">
        <f>SUMIFS('📒 Jurnal'!$Y$3:$Y$152,'📒 Jurnal'!$B$3:$B$152,$A15)</f>
        <v/>
      </c>
      <c r="E15" s="45">
        <f>IFERROR(COUNTIFS('📒 Jurnal'!$B$3:$B$152,$A15,'📒 Jurnal'!$Z$3:$Z$152,"Win")/(COUNTIFS('📒 Jurnal'!$B$3:$B$152,$A15,'📒 Jurnal'!$Z$3:$Z$152,"Win")+COUNTIFS('📒 Jurnal'!$B$3:$B$152,$A15,'📒 Jurnal'!$Z$3:$Z$152,"Loss")+COUNTIFS('📒 Jurnal'!$B$3:$B$152,$A15,'📒 Jurnal'!$Z$3:$Z$152,"BE")),"")</f>
        <v/>
      </c>
      <c r="F15" s="42">
        <f>IF($B15=0,"—",IF(OR($C15&lt;=-'⚙️ Setelan'!$B$5,$B15&gt;'⚙️ Setelan'!$B$6,COUNTIFS('📒 Jurnal'!$B$3:$B$152,$A15,'📒 Jurnal'!$AL$3:$AL$152,"⚠️ Revenge")&gt;0),"🔴 LANGGAR","✅ Aman"))</f>
        <v/>
      </c>
      <c r="G15" s="46">
        <f>SUM($D$3:$D15)</f>
        <v/>
      </c>
      <c r="H15" s="46">
        <f>MAX($G$3:$G15)</f>
        <v/>
      </c>
      <c r="I15" s="46">
        <f>$H15-$G15</f>
        <v/>
      </c>
    </row>
    <row r="16">
      <c r="A16" s="41" t="n">
        <v>46248</v>
      </c>
      <c r="B16" s="42">
        <f>(COUNTIFS('📒 Jurnal'!$B$3:$B$152,$A16,'📒 Jurnal'!$Z$3:$Z$152,"Win")+COUNTIFS('📒 Jurnal'!$B$3:$B$152,$A16,'📒 Jurnal'!$Z$3:$Z$152,"Loss")+COUNTIFS('📒 Jurnal'!$B$3:$B$152,$A16,'📒 Jurnal'!$Z$3:$Z$152,"BE"))</f>
        <v/>
      </c>
      <c r="C16" s="43">
        <f>SUMIFS('📒 Jurnal'!$X$3:$X$152,'📒 Jurnal'!$B$3:$B$152,$A16)</f>
        <v/>
      </c>
      <c r="D16" s="44">
        <f>SUMIFS('📒 Jurnal'!$Y$3:$Y$152,'📒 Jurnal'!$B$3:$B$152,$A16)</f>
        <v/>
      </c>
      <c r="E16" s="45">
        <f>IFERROR(COUNTIFS('📒 Jurnal'!$B$3:$B$152,$A16,'📒 Jurnal'!$Z$3:$Z$152,"Win")/(COUNTIFS('📒 Jurnal'!$B$3:$B$152,$A16,'📒 Jurnal'!$Z$3:$Z$152,"Win")+COUNTIFS('📒 Jurnal'!$B$3:$B$152,$A16,'📒 Jurnal'!$Z$3:$Z$152,"Loss")+COUNTIFS('📒 Jurnal'!$B$3:$B$152,$A16,'📒 Jurnal'!$Z$3:$Z$152,"BE")),"")</f>
        <v/>
      </c>
      <c r="F16" s="42">
        <f>IF($B16=0,"—",IF(OR($C16&lt;=-'⚙️ Setelan'!$B$5,$B16&gt;'⚙️ Setelan'!$B$6,COUNTIFS('📒 Jurnal'!$B$3:$B$152,$A16,'📒 Jurnal'!$AL$3:$AL$152,"⚠️ Revenge")&gt;0),"🔴 LANGGAR","✅ Aman"))</f>
        <v/>
      </c>
      <c r="G16" s="46">
        <f>SUM($D$3:$D16)</f>
        <v/>
      </c>
      <c r="H16" s="46">
        <f>MAX($G$3:$G16)</f>
        <v/>
      </c>
      <c r="I16" s="46">
        <f>$H16-$G16</f>
        <v/>
      </c>
    </row>
    <row r="17">
      <c r="A17" s="41" t="n">
        <v>46249</v>
      </c>
      <c r="B17" s="42">
        <f>(COUNTIFS('📒 Jurnal'!$B$3:$B$152,$A17,'📒 Jurnal'!$Z$3:$Z$152,"Win")+COUNTIFS('📒 Jurnal'!$B$3:$B$152,$A17,'📒 Jurnal'!$Z$3:$Z$152,"Loss")+COUNTIFS('📒 Jurnal'!$B$3:$B$152,$A17,'📒 Jurnal'!$Z$3:$Z$152,"BE"))</f>
        <v/>
      </c>
      <c r="C17" s="43">
        <f>SUMIFS('📒 Jurnal'!$X$3:$X$152,'📒 Jurnal'!$B$3:$B$152,$A17)</f>
        <v/>
      </c>
      <c r="D17" s="44">
        <f>SUMIFS('📒 Jurnal'!$Y$3:$Y$152,'📒 Jurnal'!$B$3:$B$152,$A17)</f>
        <v/>
      </c>
      <c r="E17" s="45">
        <f>IFERROR(COUNTIFS('📒 Jurnal'!$B$3:$B$152,$A17,'📒 Jurnal'!$Z$3:$Z$152,"Win")/(COUNTIFS('📒 Jurnal'!$B$3:$B$152,$A17,'📒 Jurnal'!$Z$3:$Z$152,"Win")+COUNTIFS('📒 Jurnal'!$B$3:$B$152,$A17,'📒 Jurnal'!$Z$3:$Z$152,"Loss")+COUNTIFS('📒 Jurnal'!$B$3:$B$152,$A17,'📒 Jurnal'!$Z$3:$Z$152,"BE")),"")</f>
        <v/>
      </c>
      <c r="F17" s="42">
        <f>IF($B17=0,"—",IF(OR($C17&lt;=-'⚙️ Setelan'!$B$5,$B17&gt;'⚙️ Setelan'!$B$6,COUNTIFS('📒 Jurnal'!$B$3:$B$152,$A17,'📒 Jurnal'!$AL$3:$AL$152,"⚠️ Revenge")&gt;0),"🔴 LANGGAR","✅ Aman"))</f>
        <v/>
      </c>
      <c r="G17" s="46">
        <f>SUM($D$3:$D17)</f>
        <v/>
      </c>
      <c r="H17" s="46">
        <f>MAX($G$3:$G17)</f>
        <v/>
      </c>
      <c r="I17" s="46">
        <f>$H17-$G17</f>
        <v/>
      </c>
    </row>
    <row r="18">
      <c r="A18" s="41" t="n">
        <v>46250</v>
      </c>
      <c r="B18" s="42">
        <f>(COUNTIFS('📒 Jurnal'!$B$3:$B$152,$A18,'📒 Jurnal'!$Z$3:$Z$152,"Win")+COUNTIFS('📒 Jurnal'!$B$3:$B$152,$A18,'📒 Jurnal'!$Z$3:$Z$152,"Loss")+COUNTIFS('📒 Jurnal'!$B$3:$B$152,$A18,'📒 Jurnal'!$Z$3:$Z$152,"BE"))</f>
        <v/>
      </c>
      <c r="C18" s="43">
        <f>SUMIFS('📒 Jurnal'!$X$3:$X$152,'📒 Jurnal'!$B$3:$B$152,$A18)</f>
        <v/>
      </c>
      <c r="D18" s="44">
        <f>SUMIFS('📒 Jurnal'!$Y$3:$Y$152,'📒 Jurnal'!$B$3:$B$152,$A18)</f>
        <v/>
      </c>
      <c r="E18" s="45">
        <f>IFERROR(COUNTIFS('📒 Jurnal'!$B$3:$B$152,$A18,'📒 Jurnal'!$Z$3:$Z$152,"Win")/(COUNTIFS('📒 Jurnal'!$B$3:$B$152,$A18,'📒 Jurnal'!$Z$3:$Z$152,"Win")+COUNTIFS('📒 Jurnal'!$B$3:$B$152,$A18,'📒 Jurnal'!$Z$3:$Z$152,"Loss")+COUNTIFS('📒 Jurnal'!$B$3:$B$152,$A18,'📒 Jurnal'!$Z$3:$Z$152,"BE")),"")</f>
        <v/>
      </c>
      <c r="F18" s="42">
        <f>IF($B18=0,"—",IF(OR($C18&lt;=-'⚙️ Setelan'!$B$5,$B18&gt;'⚙️ Setelan'!$B$6,COUNTIFS('📒 Jurnal'!$B$3:$B$152,$A18,'📒 Jurnal'!$AL$3:$AL$152,"⚠️ Revenge")&gt;0),"🔴 LANGGAR","✅ Aman"))</f>
        <v/>
      </c>
      <c r="G18" s="46">
        <f>SUM($D$3:$D18)</f>
        <v/>
      </c>
      <c r="H18" s="46">
        <f>MAX($G$3:$G18)</f>
        <v/>
      </c>
      <c r="I18" s="46">
        <f>$H18-$G18</f>
        <v/>
      </c>
    </row>
    <row r="19">
      <c r="A19" s="41" t="n">
        <v>46251</v>
      </c>
      <c r="B19" s="42">
        <f>(COUNTIFS('📒 Jurnal'!$B$3:$B$152,$A19,'📒 Jurnal'!$Z$3:$Z$152,"Win")+COUNTIFS('📒 Jurnal'!$B$3:$B$152,$A19,'📒 Jurnal'!$Z$3:$Z$152,"Loss")+COUNTIFS('📒 Jurnal'!$B$3:$B$152,$A19,'📒 Jurnal'!$Z$3:$Z$152,"BE"))</f>
        <v/>
      </c>
      <c r="C19" s="43">
        <f>SUMIFS('📒 Jurnal'!$X$3:$X$152,'📒 Jurnal'!$B$3:$B$152,$A19)</f>
        <v/>
      </c>
      <c r="D19" s="44">
        <f>SUMIFS('📒 Jurnal'!$Y$3:$Y$152,'📒 Jurnal'!$B$3:$B$152,$A19)</f>
        <v/>
      </c>
      <c r="E19" s="45">
        <f>IFERROR(COUNTIFS('📒 Jurnal'!$B$3:$B$152,$A19,'📒 Jurnal'!$Z$3:$Z$152,"Win")/(COUNTIFS('📒 Jurnal'!$B$3:$B$152,$A19,'📒 Jurnal'!$Z$3:$Z$152,"Win")+COUNTIFS('📒 Jurnal'!$B$3:$B$152,$A19,'📒 Jurnal'!$Z$3:$Z$152,"Loss")+COUNTIFS('📒 Jurnal'!$B$3:$B$152,$A19,'📒 Jurnal'!$Z$3:$Z$152,"BE")),"")</f>
        <v/>
      </c>
      <c r="F19" s="42">
        <f>IF($B19=0,"—",IF(OR($C19&lt;=-'⚙️ Setelan'!$B$5,$B19&gt;'⚙️ Setelan'!$B$6,COUNTIFS('📒 Jurnal'!$B$3:$B$152,$A19,'📒 Jurnal'!$AL$3:$AL$152,"⚠️ Revenge")&gt;0),"🔴 LANGGAR","✅ Aman"))</f>
        <v/>
      </c>
      <c r="G19" s="46">
        <f>SUM($D$3:$D19)</f>
        <v/>
      </c>
      <c r="H19" s="46">
        <f>MAX($G$3:$G19)</f>
        <v/>
      </c>
      <c r="I19" s="46">
        <f>$H19-$G19</f>
        <v/>
      </c>
    </row>
    <row r="20">
      <c r="A20" s="41" t="n">
        <v>46252</v>
      </c>
      <c r="B20" s="42">
        <f>(COUNTIFS('📒 Jurnal'!$B$3:$B$152,$A20,'📒 Jurnal'!$Z$3:$Z$152,"Win")+COUNTIFS('📒 Jurnal'!$B$3:$B$152,$A20,'📒 Jurnal'!$Z$3:$Z$152,"Loss")+COUNTIFS('📒 Jurnal'!$B$3:$B$152,$A20,'📒 Jurnal'!$Z$3:$Z$152,"BE"))</f>
        <v/>
      </c>
      <c r="C20" s="43">
        <f>SUMIFS('📒 Jurnal'!$X$3:$X$152,'📒 Jurnal'!$B$3:$B$152,$A20)</f>
        <v/>
      </c>
      <c r="D20" s="44">
        <f>SUMIFS('📒 Jurnal'!$Y$3:$Y$152,'📒 Jurnal'!$B$3:$B$152,$A20)</f>
        <v/>
      </c>
      <c r="E20" s="45">
        <f>IFERROR(COUNTIFS('📒 Jurnal'!$B$3:$B$152,$A20,'📒 Jurnal'!$Z$3:$Z$152,"Win")/(COUNTIFS('📒 Jurnal'!$B$3:$B$152,$A20,'📒 Jurnal'!$Z$3:$Z$152,"Win")+COUNTIFS('📒 Jurnal'!$B$3:$B$152,$A20,'📒 Jurnal'!$Z$3:$Z$152,"Loss")+COUNTIFS('📒 Jurnal'!$B$3:$B$152,$A20,'📒 Jurnal'!$Z$3:$Z$152,"BE")),"")</f>
        <v/>
      </c>
      <c r="F20" s="42">
        <f>IF($B20=0,"—",IF(OR($C20&lt;=-'⚙️ Setelan'!$B$5,$B20&gt;'⚙️ Setelan'!$B$6,COUNTIFS('📒 Jurnal'!$B$3:$B$152,$A20,'📒 Jurnal'!$AL$3:$AL$152,"⚠️ Revenge")&gt;0),"🔴 LANGGAR","✅ Aman"))</f>
        <v/>
      </c>
      <c r="G20" s="46">
        <f>SUM($D$3:$D20)</f>
        <v/>
      </c>
      <c r="H20" s="46">
        <f>MAX($G$3:$G20)</f>
        <v/>
      </c>
      <c r="I20" s="46">
        <f>$H20-$G20</f>
        <v/>
      </c>
    </row>
    <row r="21">
      <c r="A21" s="41" t="n">
        <v>46253</v>
      </c>
      <c r="B21" s="42">
        <f>(COUNTIFS('📒 Jurnal'!$B$3:$B$152,$A21,'📒 Jurnal'!$Z$3:$Z$152,"Win")+COUNTIFS('📒 Jurnal'!$B$3:$B$152,$A21,'📒 Jurnal'!$Z$3:$Z$152,"Loss")+COUNTIFS('📒 Jurnal'!$B$3:$B$152,$A21,'📒 Jurnal'!$Z$3:$Z$152,"BE"))</f>
        <v/>
      </c>
      <c r="C21" s="43">
        <f>SUMIFS('📒 Jurnal'!$X$3:$X$152,'📒 Jurnal'!$B$3:$B$152,$A21)</f>
        <v/>
      </c>
      <c r="D21" s="44">
        <f>SUMIFS('📒 Jurnal'!$Y$3:$Y$152,'📒 Jurnal'!$B$3:$B$152,$A21)</f>
        <v/>
      </c>
      <c r="E21" s="45">
        <f>IFERROR(COUNTIFS('📒 Jurnal'!$B$3:$B$152,$A21,'📒 Jurnal'!$Z$3:$Z$152,"Win")/(COUNTIFS('📒 Jurnal'!$B$3:$B$152,$A21,'📒 Jurnal'!$Z$3:$Z$152,"Win")+COUNTIFS('📒 Jurnal'!$B$3:$B$152,$A21,'📒 Jurnal'!$Z$3:$Z$152,"Loss")+COUNTIFS('📒 Jurnal'!$B$3:$B$152,$A21,'📒 Jurnal'!$Z$3:$Z$152,"BE")),"")</f>
        <v/>
      </c>
      <c r="F21" s="42">
        <f>IF($B21=0,"—",IF(OR($C21&lt;=-'⚙️ Setelan'!$B$5,$B21&gt;'⚙️ Setelan'!$B$6,COUNTIFS('📒 Jurnal'!$B$3:$B$152,$A21,'📒 Jurnal'!$AL$3:$AL$152,"⚠️ Revenge")&gt;0),"🔴 LANGGAR","✅ Aman"))</f>
        <v/>
      </c>
      <c r="G21" s="46">
        <f>SUM($D$3:$D21)</f>
        <v/>
      </c>
      <c r="H21" s="46">
        <f>MAX($G$3:$G21)</f>
        <v/>
      </c>
      <c r="I21" s="46">
        <f>$H21-$G21</f>
        <v/>
      </c>
    </row>
    <row r="22">
      <c r="A22" s="41" t="n">
        <v>46254</v>
      </c>
      <c r="B22" s="42">
        <f>(COUNTIFS('📒 Jurnal'!$B$3:$B$152,$A22,'📒 Jurnal'!$Z$3:$Z$152,"Win")+COUNTIFS('📒 Jurnal'!$B$3:$B$152,$A22,'📒 Jurnal'!$Z$3:$Z$152,"Loss")+COUNTIFS('📒 Jurnal'!$B$3:$B$152,$A22,'📒 Jurnal'!$Z$3:$Z$152,"BE"))</f>
        <v/>
      </c>
      <c r="C22" s="43">
        <f>SUMIFS('📒 Jurnal'!$X$3:$X$152,'📒 Jurnal'!$B$3:$B$152,$A22)</f>
        <v/>
      </c>
      <c r="D22" s="44">
        <f>SUMIFS('📒 Jurnal'!$Y$3:$Y$152,'📒 Jurnal'!$B$3:$B$152,$A22)</f>
        <v/>
      </c>
      <c r="E22" s="45">
        <f>IFERROR(COUNTIFS('📒 Jurnal'!$B$3:$B$152,$A22,'📒 Jurnal'!$Z$3:$Z$152,"Win")/(COUNTIFS('📒 Jurnal'!$B$3:$B$152,$A22,'📒 Jurnal'!$Z$3:$Z$152,"Win")+COUNTIFS('📒 Jurnal'!$B$3:$B$152,$A22,'📒 Jurnal'!$Z$3:$Z$152,"Loss")+COUNTIFS('📒 Jurnal'!$B$3:$B$152,$A22,'📒 Jurnal'!$Z$3:$Z$152,"BE")),"")</f>
        <v/>
      </c>
      <c r="F22" s="42">
        <f>IF($B22=0,"—",IF(OR($C22&lt;=-'⚙️ Setelan'!$B$5,$B22&gt;'⚙️ Setelan'!$B$6,COUNTIFS('📒 Jurnal'!$B$3:$B$152,$A22,'📒 Jurnal'!$AL$3:$AL$152,"⚠️ Revenge")&gt;0),"🔴 LANGGAR","✅ Aman"))</f>
        <v/>
      </c>
      <c r="G22" s="46">
        <f>SUM($D$3:$D22)</f>
        <v/>
      </c>
      <c r="H22" s="46">
        <f>MAX($G$3:$G22)</f>
        <v/>
      </c>
      <c r="I22" s="46">
        <f>$H22-$G22</f>
        <v/>
      </c>
    </row>
    <row r="23">
      <c r="A23" s="41" t="n">
        <v>46255</v>
      </c>
      <c r="B23" s="42">
        <f>(COUNTIFS('📒 Jurnal'!$B$3:$B$152,$A23,'📒 Jurnal'!$Z$3:$Z$152,"Win")+COUNTIFS('📒 Jurnal'!$B$3:$B$152,$A23,'📒 Jurnal'!$Z$3:$Z$152,"Loss")+COUNTIFS('📒 Jurnal'!$B$3:$B$152,$A23,'📒 Jurnal'!$Z$3:$Z$152,"BE"))</f>
        <v/>
      </c>
      <c r="C23" s="43">
        <f>SUMIFS('📒 Jurnal'!$X$3:$X$152,'📒 Jurnal'!$B$3:$B$152,$A23)</f>
        <v/>
      </c>
      <c r="D23" s="44">
        <f>SUMIFS('📒 Jurnal'!$Y$3:$Y$152,'📒 Jurnal'!$B$3:$B$152,$A23)</f>
        <v/>
      </c>
      <c r="E23" s="45">
        <f>IFERROR(COUNTIFS('📒 Jurnal'!$B$3:$B$152,$A23,'📒 Jurnal'!$Z$3:$Z$152,"Win")/(COUNTIFS('📒 Jurnal'!$B$3:$B$152,$A23,'📒 Jurnal'!$Z$3:$Z$152,"Win")+COUNTIFS('📒 Jurnal'!$B$3:$B$152,$A23,'📒 Jurnal'!$Z$3:$Z$152,"Loss")+COUNTIFS('📒 Jurnal'!$B$3:$B$152,$A23,'📒 Jurnal'!$Z$3:$Z$152,"BE")),"")</f>
        <v/>
      </c>
      <c r="F23" s="42">
        <f>IF($B23=0,"—",IF(OR($C23&lt;=-'⚙️ Setelan'!$B$5,$B23&gt;'⚙️ Setelan'!$B$6,COUNTIFS('📒 Jurnal'!$B$3:$B$152,$A23,'📒 Jurnal'!$AL$3:$AL$152,"⚠️ Revenge")&gt;0),"🔴 LANGGAR","✅ Aman"))</f>
        <v/>
      </c>
      <c r="G23" s="46">
        <f>SUM($D$3:$D23)</f>
        <v/>
      </c>
      <c r="H23" s="46">
        <f>MAX($G$3:$G23)</f>
        <v/>
      </c>
      <c r="I23" s="46">
        <f>$H23-$G23</f>
        <v/>
      </c>
    </row>
    <row r="24">
      <c r="A24" s="41" t="n">
        <v>46256</v>
      </c>
      <c r="B24" s="42">
        <f>(COUNTIFS('📒 Jurnal'!$B$3:$B$152,$A24,'📒 Jurnal'!$Z$3:$Z$152,"Win")+COUNTIFS('📒 Jurnal'!$B$3:$B$152,$A24,'📒 Jurnal'!$Z$3:$Z$152,"Loss")+COUNTIFS('📒 Jurnal'!$B$3:$B$152,$A24,'📒 Jurnal'!$Z$3:$Z$152,"BE"))</f>
        <v/>
      </c>
      <c r="C24" s="43">
        <f>SUMIFS('📒 Jurnal'!$X$3:$X$152,'📒 Jurnal'!$B$3:$B$152,$A24)</f>
        <v/>
      </c>
      <c r="D24" s="44">
        <f>SUMIFS('📒 Jurnal'!$Y$3:$Y$152,'📒 Jurnal'!$B$3:$B$152,$A24)</f>
        <v/>
      </c>
      <c r="E24" s="45">
        <f>IFERROR(COUNTIFS('📒 Jurnal'!$B$3:$B$152,$A24,'📒 Jurnal'!$Z$3:$Z$152,"Win")/(COUNTIFS('📒 Jurnal'!$B$3:$B$152,$A24,'📒 Jurnal'!$Z$3:$Z$152,"Win")+COUNTIFS('📒 Jurnal'!$B$3:$B$152,$A24,'📒 Jurnal'!$Z$3:$Z$152,"Loss")+COUNTIFS('📒 Jurnal'!$B$3:$B$152,$A24,'📒 Jurnal'!$Z$3:$Z$152,"BE")),"")</f>
        <v/>
      </c>
      <c r="F24" s="42">
        <f>IF($B24=0,"—",IF(OR($C24&lt;=-'⚙️ Setelan'!$B$5,$B24&gt;'⚙️ Setelan'!$B$6,COUNTIFS('📒 Jurnal'!$B$3:$B$152,$A24,'📒 Jurnal'!$AL$3:$AL$152,"⚠️ Revenge")&gt;0),"🔴 LANGGAR","✅ Aman"))</f>
        <v/>
      </c>
      <c r="G24" s="46">
        <f>SUM($D$3:$D24)</f>
        <v/>
      </c>
      <c r="H24" s="46">
        <f>MAX($G$3:$G24)</f>
        <v/>
      </c>
      <c r="I24" s="46">
        <f>$H24-$G24</f>
        <v/>
      </c>
    </row>
    <row r="25">
      <c r="A25" s="41" t="n">
        <v>46257</v>
      </c>
      <c r="B25" s="42">
        <f>(COUNTIFS('📒 Jurnal'!$B$3:$B$152,$A25,'📒 Jurnal'!$Z$3:$Z$152,"Win")+COUNTIFS('📒 Jurnal'!$B$3:$B$152,$A25,'📒 Jurnal'!$Z$3:$Z$152,"Loss")+COUNTIFS('📒 Jurnal'!$B$3:$B$152,$A25,'📒 Jurnal'!$Z$3:$Z$152,"BE"))</f>
        <v/>
      </c>
      <c r="C25" s="43">
        <f>SUMIFS('📒 Jurnal'!$X$3:$X$152,'📒 Jurnal'!$B$3:$B$152,$A25)</f>
        <v/>
      </c>
      <c r="D25" s="44">
        <f>SUMIFS('📒 Jurnal'!$Y$3:$Y$152,'📒 Jurnal'!$B$3:$B$152,$A25)</f>
        <v/>
      </c>
      <c r="E25" s="45">
        <f>IFERROR(COUNTIFS('📒 Jurnal'!$B$3:$B$152,$A25,'📒 Jurnal'!$Z$3:$Z$152,"Win")/(COUNTIFS('📒 Jurnal'!$B$3:$B$152,$A25,'📒 Jurnal'!$Z$3:$Z$152,"Win")+COUNTIFS('📒 Jurnal'!$B$3:$B$152,$A25,'📒 Jurnal'!$Z$3:$Z$152,"Loss")+COUNTIFS('📒 Jurnal'!$B$3:$B$152,$A25,'📒 Jurnal'!$Z$3:$Z$152,"BE")),"")</f>
        <v/>
      </c>
      <c r="F25" s="42">
        <f>IF($B25=0,"—",IF(OR($C25&lt;=-'⚙️ Setelan'!$B$5,$B25&gt;'⚙️ Setelan'!$B$6,COUNTIFS('📒 Jurnal'!$B$3:$B$152,$A25,'📒 Jurnal'!$AL$3:$AL$152,"⚠️ Revenge")&gt;0),"🔴 LANGGAR","✅ Aman"))</f>
        <v/>
      </c>
      <c r="G25" s="46">
        <f>SUM($D$3:$D25)</f>
        <v/>
      </c>
      <c r="H25" s="46">
        <f>MAX($G$3:$G25)</f>
        <v/>
      </c>
      <c r="I25" s="46">
        <f>$H25-$G25</f>
        <v/>
      </c>
    </row>
    <row r="26">
      <c r="A26" s="41" t="n">
        <v>46258</v>
      </c>
      <c r="B26" s="42">
        <f>(COUNTIFS('📒 Jurnal'!$B$3:$B$152,$A26,'📒 Jurnal'!$Z$3:$Z$152,"Win")+COUNTIFS('📒 Jurnal'!$B$3:$B$152,$A26,'📒 Jurnal'!$Z$3:$Z$152,"Loss")+COUNTIFS('📒 Jurnal'!$B$3:$B$152,$A26,'📒 Jurnal'!$Z$3:$Z$152,"BE"))</f>
        <v/>
      </c>
      <c r="C26" s="43">
        <f>SUMIFS('📒 Jurnal'!$X$3:$X$152,'📒 Jurnal'!$B$3:$B$152,$A26)</f>
        <v/>
      </c>
      <c r="D26" s="44">
        <f>SUMIFS('📒 Jurnal'!$Y$3:$Y$152,'📒 Jurnal'!$B$3:$B$152,$A26)</f>
        <v/>
      </c>
      <c r="E26" s="45">
        <f>IFERROR(COUNTIFS('📒 Jurnal'!$B$3:$B$152,$A26,'📒 Jurnal'!$Z$3:$Z$152,"Win")/(COUNTIFS('📒 Jurnal'!$B$3:$B$152,$A26,'📒 Jurnal'!$Z$3:$Z$152,"Win")+COUNTIFS('📒 Jurnal'!$B$3:$B$152,$A26,'📒 Jurnal'!$Z$3:$Z$152,"Loss")+COUNTIFS('📒 Jurnal'!$B$3:$B$152,$A26,'📒 Jurnal'!$Z$3:$Z$152,"BE")),"")</f>
        <v/>
      </c>
      <c r="F26" s="42">
        <f>IF($B26=0,"—",IF(OR($C26&lt;=-'⚙️ Setelan'!$B$5,$B26&gt;'⚙️ Setelan'!$B$6,COUNTIFS('📒 Jurnal'!$B$3:$B$152,$A26,'📒 Jurnal'!$AL$3:$AL$152,"⚠️ Revenge")&gt;0),"🔴 LANGGAR","✅ Aman"))</f>
        <v/>
      </c>
      <c r="G26" s="46">
        <f>SUM($D$3:$D26)</f>
        <v/>
      </c>
      <c r="H26" s="46">
        <f>MAX($G$3:$G26)</f>
        <v/>
      </c>
      <c r="I26" s="46">
        <f>$H26-$G26</f>
        <v/>
      </c>
    </row>
    <row r="27">
      <c r="A27" s="41" t="n">
        <v>46259</v>
      </c>
      <c r="B27" s="42">
        <f>(COUNTIFS('📒 Jurnal'!$B$3:$B$152,$A27,'📒 Jurnal'!$Z$3:$Z$152,"Win")+COUNTIFS('📒 Jurnal'!$B$3:$B$152,$A27,'📒 Jurnal'!$Z$3:$Z$152,"Loss")+COUNTIFS('📒 Jurnal'!$B$3:$B$152,$A27,'📒 Jurnal'!$Z$3:$Z$152,"BE"))</f>
        <v/>
      </c>
      <c r="C27" s="43">
        <f>SUMIFS('📒 Jurnal'!$X$3:$X$152,'📒 Jurnal'!$B$3:$B$152,$A27)</f>
        <v/>
      </c>
      <c r="D27" s="44">
        <f>SUMIFS('📒 Jurnal'!$Y$3:$Y$152,'📒 Jurnal'!$B$3:$B$152,$A27)</f>
        <v/>
      </c>
      <c r="E27" s="45">
        <f>IFERROR(COUNTIFS('📒 Jurnal'!$B$3:$B$152,$A27,'📒 Jurnal'!$Z$3:$Z$152,"Win")/(COUNTIFS('📒 Jurnal'!$B$3:$B$152,$A27,'📒 Jurnal'!$Z$3:$Z$152,"Win")+COUNTIFS('📒 Jurnal'!$B$3:$B$152,$A27,'📒 Jurnal'!$Z$3:$Z$152,"Loss")+COUNTIFS('📒 Jurnal'!$B$3:$B$152,$A27,'📒 Jurnal'!$Z$3:$Z$152,"BE")),"")</f>
        <v/>
      </c>
      <c r="F27" s="42">
        <f>IF($B27=0,"—",IF(OR($C27&lt;=-'⚙️ Setelan'!$B$5,$B27&gt;'⚙️ Setelan'!$B$6,COUNTIFS('📒 Jurnal'!$B$3:$B$152,$A27,'📒 Jurnal'!$AL$3:$AL$152,"⚠️ Revenge")&gt;0),"🔴 LANGGAR","✅ Aman"))</f>
        <v/>
      </c>
      <c r="G27" s="46">
        <f>SUM($D$3:$D27)</f>
        <v/>
      </c>
      <c r="H27" s="46">
        <f>MAX($G$3:$G27)</f>
        <v/>
      </c>
      <c r="I27" s="46">
        <f>$H27-$G27</f>
        <v/>
      </c>
    </row>
    <row r="28">
      <c r="A28" s="41" t="n">
        <v>46260</v>
      </c>
      <c r="B28" s="42">
        <f>(COUNTIFS('📒 Jurnal'!$B$3:$B$152,$A28,'📒 Jurnal'!$Z$3:$Z$152,"Win")+COUNTIFS('📒 Jurnal'!$B$3:$B$152,$A28,'📒 Jurnal'!$Z$3:$Z$152,"Loss")+COUNTIFS('📒 Jurnal'!$B$3:$B$152,$A28,'📒 Jurnal'!$Z$3:$Z$152,"BE"))</f>
        <v/>
      </c>
      <c r="C28" s="43">
        <f>SUMIFS('📒 Jurnal'!$X$3:$X$152,'📒 Jurnal'!$B$3:$B$152,$A28)</f>
        <v/>
      </c>
      <c r="D28" s="44">
        <f>SUMIFS('📒 Jurnal'!$Y$3:$Y$152,'📒 Jurnal'!$B$3:$B$152,$A28)</f>
        <v/>
      </c>
      <c r="E28" s="45">
        <f>IFERROR(COUNTIFS('📒 Jurnal'!$B$3:$B$152,$A28,'📒 Jurnal'!$Z$3:$Z$152,"Win")/(COUNTIFS('📒 Jurnal'!$B$3:$B$152,$A28,'📒 Jurnal'!$Z$3:$Z$152,"Win")+COUNTIFS('📒 Jurnal'!$B$3:$B$152,$A28,'📒 Jurnal'!$Z$3:$Z$152,"Loss")+COUNTIFS('📒 Jurnal'!$B$3:$B$152,$A28,'📒 Jurnal'!$Z$3:$Z$152,"BE")),"")</f>
        <v/>
      </c>
      <c r="F28" s="42">
        <f>IF($B28=0,"—",IF(OR($C28&lt;=-'⚙️ Setelan'!$B$5,$B28&gt;'⚙️ Setelan'!$B$6,COUNTIFS('📒 Jurnal'!$B$3:$B$152,$A28,'📒 Jurnal'!$AL$3:$AL$152,"⚠️ Revenge")&gt;0),"🔴 LANGGAR","✅ Aman"))</f>
        <v/>
      </c>
      <c r="G28" s="46">
        <f>SUM($D$3:$D28)</f>
        <v/>
      </c>
      <c r="H28" s="46">
        <f>MAX($G$3:$G28)</f>
        <v/>
      </c>
      <c r="I28" s="46">
        <f>$H28-$G28</f>
        <v/>
      </c>
    </row>
    <row r="29">
      <c r="A29" s="41" t="n">
        <v>46261</v>
      </c>
      <c r="B29" s="42">
        <f>(COUNTIFS('📒 Jurnal'!$B$3:$B$152,$A29,'📒 Jurnal'!$Z$3:$Z$152,"Win")+COUNTIFS('📒 Jurnal'!$B$3:$B$152,$A29,'📒 Jurnal'!$Z$3:$Z$152,"Loss")+COUNTIFS('📒 Jurnal'!$B$3:$B$152,$A29,'📒 Jurnal'!$Z$3:$Z$152,"BE"))</f>
        <v/>
      </c>
      <c r="C29" s="43">
        <f>SUMIFS('📒 Jurnal'!$X$3:$X$152,'📒 Jurnal'!$B$3:$B$152,$A29)</f>
        <v/>
      </c>
      <c r="D29" s="44">
        <f>SUMIFS('📒 Jurnal'!$Y$3:$Y$152,'📒 Jurnal'!$B$3:$B$152,$A29)</f>
        <v/>
      </c>
      <c r="E29" s="45">
        <f>IFERROR(COUNTIFS('📒 Jurnal'!$B$3:$B$152,$A29,'📒 Jurnal'!$Z$3:$Z$152,"Win")/(COUNTIFS('📒 Jurnal'!$B$3:$B$152,$A29,'📒 Jurnal'!$Z$3:$Z$152,"Win")+COUNTIFS('📒 Jurnal'!$B$3:$B$152,$A29,'📒 Jurnal'!$Z$3:$Z$152,"Loss")+COUNTIFS('📒 Jurnal'!$B$3:$B$152,$A29,'📒 Jurnal'!$Z$3:$Z$152,"BE")),"")</f>
        <v/>
      </c>
      <c r="F29" s="42">
        <f>IF($B29=0,"—",IF(OR($C29&lt;=-'⚙️ Setelan'!$B$5,$B29&gt;'⚙️ Setelan'!$B$6,COUNTIFS('📒 Jurnal'!$B$3:$B$152,$A29,'📒 Jurnal'!$AL$3:$AL$152,"⚠️ Revenge")&gt;0),"🔴 LANGGAR","✅ Aman"))</f>
        <v/>
      </c>
      <c r="G29" s="46">
        <f>SUM($D$3:$D29)</f>
        <v/>
      </c>
      <c r="H29" s="46">
        <f>MAX($G$3:$G29)</f>
        <v/>
      </c>
      <c r="I29" s="46">
        <f>$H29-$G29</f>
        <v/>
      </c>
    </row>
    <row r="30">
      <c r="A30" s="41" t="n">
        <v>46262</v>
      </c>
      <c r="B30" s="42">
        <f>(COUNTIFS('📒 Jurnal'!$B$3:$B$152,$A30,'📒 Jurnal'!$Z$3:$Z$152,"Win")+COUNTIFS('📒 Jurnal'!$B$3:$B$152,$A30,'📒 Jurnal'!$Z$3:$Z$152,"Loss")+COUNTIFS('📒 Jurnal'!$B$3:$B$152,$A30,'📒 Jurnal'!$Z$3:$Z$152,"BE"))</f>
        <v/>
      </c>
      <c r="C30" s="43">
        <f>SUMIFS('📒 Jurnal'!$X$3:$X$152,'📒 Jurnal'!$B$3:$B$152,$A30)</f>
        <v/>
      </c>
      <c r="D30" s="44">
        <f>SUMIFS('📒 Jurnal'!$Y$3:$Y$152,'📒 Jurnal'!$B$3:$B$152,$A30)</f>
        <v/>
      </c>
      <c r="E30" s="45">
        <f>IFERROR(COUNTIFS('📒 Jurnal'!$B$3:$B$152,$A30,'📒 Jurnal'!$Z$3:$Z$152,"Win")/(COUNTIFS('📒 Jurnal'!$B$3:$B$152,$A30,'📒 Jurnal'!$Z$3:$Z$152,"Win")+COUNTIFS('📒 Jurnal'!$B$3:$B$152,$A30,'📒 Jurnal'!$Z$3:$Z$152,"Loss")+COUNTIFS('📒 Jurnal'!$B$3:$B$152,$A30,'📒 Jurnal'!$Z$3:$Z$152,"BE")),"")</f>
        <v/>
      </c>
      <c r="F30" s="42">
        <f>IF($B30=0,"—",IF(OR($C30&lt;=-'⚙️ Setelan'!$B$5,$B30&gt;'⚙️ Setelan'!$B$6,COUNTIFS('📒 Jurnal'!$B$3:$B$152,$A30,'📒 Jurnal'!$AL$3:$AL$152,"⚠️ Revenge")&gt;0),"🔴 LANGGAR","✅ Aman"))</f>
        <v/>
      </c>
      <c r="G30" s="46">
        <f>SUM($D$3:$D30)</f>
        <v/>
      </c>
      <c r="H30" s="46">
        <f>MAX($G$3:$G30)</f>
        <v/>
      </c>
      <c r="I30" s="46">
        <f>$H30-$G30</f>
        <v/>
      </c>
    </row>
    <row r="31">
      <c r="A31" s="41" t="n">
        <v>46263</v>
      </c>
      <c r="B31" s="42">
        <f>(COUNTIFS('📒 Jurnal'!$B$3:$B$152,$A31,'📒 Jurnal'!$Z$3:$Z$152,"Win")+COUNTIFS('📒 Jurnal'!$B$3:$B$152,$A31,'📒 Jurnal'!$Z$3:$Z$152,"Loss")+COUNTIFS('📒 Jurnal'!$B$3:$B$152,$A31,'📒 Jurnal'!$Z$3:$Z$152,"BE"))</f>
        <v/>
      </c>
      <c r="C31" s="43">
        <f>SUMIFS('📒 Jurnal'!$X$3:$X$152,'📒 Jurnal'!$B$3:$B$152,$A31)</f>
        <v/>
      </c>
      <c r="D31" s="44">
        <f>SUMIFS('📒 Jurnal'!$Y$3:$Y$152,'📒 Jurnal'!$B$3:$B$152,$A31)</f>
        <v/>
      </c>
      <c r="E31" s="45">
        <f>IFERROR(COUNTIFS('📒 Jurnal'!$B$3:$B$152,$A31,'📒 Jurnal'!$Z$3:$Z$152,"Win")/(COUNTIFS('📒 Jurnal'!$B$3:$B$152,$A31,'📒 Jurnal'!$Z$3:$Z$152,"Win")+COUNTIFS('📒 Jurnal'!$B$3:$B$152,$A31,'📒 Jurnal'!$Z$3:$Z$152,"Loss")+COUNTIFS('📒 Jurnal'!$B$3:$B$152,$A31,'📒 Jurnal'!$Z$3:$Z$152,"BE")),"")</f>
        <v/>
      </c>
      <c r="F31" s="42">
        <f>IF($B31=0,"—",IF(OR($C31&lt;=-'⚙️ Setelan'!$B$5,$B31&gt;'⚙️ Setelan'!$B$6,COUNTIFS('📒 Jurnal'!$B$3:$B$152,$A31,'📒 Jurnal'!$AL$3:$AL$152,"⚠️ Revenge")&gt;0),"🔴 LANGGAR","✅ Aman"))</f>
        <v/>
      </c>
      <c r="G31" s="46">
        <f>SUM($D$3:$D31)</f>
        <v/>
      </c>
      <c r="H31" s="46">
        <f>MAX($G$3:$G31)</f>
        <v/>
      </c>
      <c r="I31" s="46">
        <f>$H31-$G31</f>
        <v/>
      </c>
    </row>
    <row r="32">
      <c r="A32" s="41" t="n">
        <v>46264</v>
      </c>
      <c r="B32" s="42">
        <f>(COUNTIFS('📒 Jurnal'!$B$3:$B$152,$A32,'📒 Jurnal'!$Z$3:$Z$152,"Win")+COUNTIFS('📒 Jurnal'!$B$3:$B$152,$A32,'📒 Jurnal'!$Z$3:$Z$152,"Loss")+COUNTIFS('📒 Jurnal'!$B$3:$B$152,$A32,'📒 Jurnal'!$Z$3:$Z$152,"BE"))</f>
        <v/>
      </c>
      <c r="C32" s="43">
        <f>SUMIFS('📒 Jurnal'!$X$3:$X$152,'📒 Jurnal'!$B$3:$B$152,$A32)</f>
        <v/>
      </c>
      <c r="D32" s="44">
        <f>SUMIFS('📒 Jurnal'!$Y$3:$Y$152,'📒 Jurnal'!$B$3:$B$152,$A32)</f>
        <v/>
      </c>
      <c r="E32" s="45">
        <f>IFERROR(COUNTIFS('📒 Jurnal'!$B$3:$B$152,$A32,'📒 Jurnal'!$Z$3:$Z$152,"Win")/(COUNTIFS('📒 Jurnal'!$B$3:$B$152,$A32,'📒 Jurnal'!$Z$3:$Z$152,"Win")+COUNTIFS('📒 Jurnal'!$B$3:$B$152,$A32,'📒 Jurnal'!$Z$3:$Z$152,"Loss")+COUNTIFS('📒 Jurnal'!$B$3:$B$152,$A32,'📒 Jurnal'!$Z$3:$Z$152,"BE")),"")</f>
        <v/>
      </c>
      <c r="F32" s="42">
        <f>IF($B32=0,"—",IF(OR($C32&lt;=-'⚙️ Setelan'!$B$5,$B32&gt;'⚙️ Setelan'!$B$6,COUNTIFS('📒 Jurnal'!$B$3:$B$152,$A32,'📒 Jurnal'!$AL$3:$AL$152,"⚠️ Revenge")&gt;0),"🔴 LANGGAR","✅ Aman"))</f>
        <v/>
      </c>
      <c r="G32" s="46">
        <f>SUM($D$3:$D32)</f>
        <v/>
      </c>
      <c r="H32" s="46">
        <f>MAX($G$3:$G32)</f>
        <v/>
      </c>
      <c r="I32" s="46">
        <f>$H32-$G32</f>
        <v/>
      </c>
    </row>
    <row r="33">
      <c r="A33" s="41" t="n">
        <v>46265</v>
      </c>
      <c r="B33" s="42">
        <f>(COUNTIFS('📒 Jurnal'!$B$3:$B$152,$A33,'📒 Jurnal'!$Z$3:$Z$152,"Win")+COUNTIFS('📒 Jurnal'!$B$3:$B$152,$A33,'📒 Jurnal'!$Z$3:$Z$152,"Loss")+COUNTIFS('📒 Jurnal'!$B$3:$B$152,$A33,'📒 Jurnal'!$Z$3:$Z$152,"BE"))</f>
        <v/>
      </c>
      <c r="C33" s="43">
        <f>SUMIFS('📒 Jurnal'!$X$3:$X$152,'📒 Jurnal'!$B$3:$B$152,$A33)</f>
        <v/>
      </c>
      <c r="D33" s="44">
        <f>SUMIFS('📒 Jurnal'!$Y$3:$Y$152,'📒 Jurnal'!$B$3:$B$152,$A33)</f>
        <v/>
      </c>
      <c r="E33" s="45">
        <f>IFERROR(COUNTIFS('📒 Jurnal'!$B$3:$B$152,$A33,'📒 Jurnal'!$Z$3:$Z$152,"Win")/(COUNTIFS('📒 Jurnal'!$B$3:$B$152,$A33,'📒 Jurnal'!$Z$3:$Z$152,"Win")+COUNTIFS('📒 Jurnal'!$B$3:$B$152,$A33,'📒 Jurnal'!$Z$3:$Z$152,"Loss")+COUNTIFS('📒 Jurnal'!$B$3:$B$152,$A33,'📒 Jurnal'!$Z$3:$Z$152,"BE")),"")</f>
        <v/>
      </c>
      <c r="F33" s="42">
        <f>IF($B33=0,"—",IF(OR($C33&lt;=-'⚙️ Setelan'!$B$5,$B33&gt;'⚙️ Setelan'!$B$6,COUNTIFS('📒 Jurnal'!$B$3:$B$152,$A33,'📒 Jurnal'!$AL$3:$AL$152,"⚠️ Revenge")&gt;0),"🔴 LANGGAR","✅ Aman"))</f>
        <v/>
      </c>
      <c r="G33" s="46">
        <f>SUM($D$3:$D33)</f>
        <v/>
      </c>
      <c r="H33" s="46">
        <f>MAX($G$3:$G33)</f>
        <v/>
      </c>
      <c r="I33" s="46">
        <f>$H33-$G33</f>
        <v/>
      </c>
    </row>
  </sheetData>
  <conditionalFormatting sqref="F3:F33">
    <cfRule type="expression" priority="1" dxfId="1">
      <formula>$F3="🔴 LANGGAR"</formula>
    </cfRule>
    <cfRule type="expression" priority="2" dxfId="4">
      <formula>$F3="✅ Aman"</formula>
    </cfRule>
  </conditionalFormatting>
  <conditionalFormatting sqref="C3:C33">
    <cfRule type="expression" priority="3" dxfId="5">
      <formula>AND($B3&gt;0,$C3&gt;0)</formula>
    </cfRule>
    <cfRule type="expression" priority="4" dxfId="6">
      <formula>AND($B3&gt;0,$C3&lt;0)</formula>
    </cfRule>
  </conditionalFormatting>
  <conditionalFormatting sqref="D3:D33">
    <cfRule type="expression" priority="5" dxfId="5">
      <formula>AND($B3&gt;0,$D3&gt;0)</formula>
    </cfRule>
    <cfRule type="expression" priority="6" dxfId="6">
      <formula>AND($B3&gt;0,$D3&lt;0)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4" max="4"/>
    <col width="12" customWidth="1" min="5" max="5"/>
    <col width="14" customWidth="1" min="7" max="7"/>
    <col width="7" customWidth="1" min="8" max="8"/>
    <col width="8" customWidth="1" min="9" max="9"/>
    <col width="8" customWidth="1" min="10" max="10"/>
    <col width="13" customWidth="1" min="12" max="12"/>
    <col width="9" customWidth="1" min="13" max="13"/>
    <col width="15" customWidth="1" min="15" max="15"/>
    <col width="7" customWidth="1" min="16" max="16"/>
    <col width="8" customWidth="1" min="17" max="17"/>
    <col width="16" customWidth="1" min="19" max="19"/>
    <col width="7" customWidth="1" min="20" max="20"/>
    <col width="8" customWidth="1" min="21" max="21"/>
    <col width="9" customWidth="1" min="23" max="23"/>
    <col width="9" customWidth="1" min="24" max="24"/>
    <col width="11" customWidth="1" min="26" max="26"/>
    <col width="7" customWidth="1" min="27" max="27"/>
    <col width="8" customWidth="1" min="28" max="28"/>
  </cols>
  <sheetData>
    <row r="1">
      <c r="A1" s="47" t="inlineStr">
        <is>
          <t>📈 DATA CHART — bahan mentah grafik</t>
        </is>
      </c>
    </row>
    <row r="2">
      <c r="A2" s="8" t="inlineStr">
        <is>
          <t>Tab ini diisi rumus otomatis dan dipakai oleh grafik di Dashboard. Boleh disembunyikan, jangan dihapus.</t>
        </is>
      </c>
    </row>
    <row r="3">
      <c r="A3" s="48" t="inlineStr">
        <is>
          <t>T1 · Ekuitas Harian</t>
        </is>
      </c>
      <c r="D3" s="48" t="inlineStr">
        <is>
          <t>T2 · PnL Harian</t>
        </is>
      </c>
      <c r="G3" s="48" t="inlineStr">
        <is>
          <t>T3 · Per Setup</t>
        </is>
      </c>
      <c r="L3" s="48" t="inlineStr">
        <is>
          <t>T4 · Sebaran R</t>
        </is>
      </c>
      <c r="O3" s="48" t="inlineStr">
        <is>
          <t>T5 · Per Emosi</t>
        </is>
      </c>
      <c r="S3" s="48" t="inlineStr">
        <is>
          <t>T6 · Per Sesi</t>
        </is>
      </c>
      <c r="W3" s="48" t="inlineStr">
        <is>
          <t>T7 · Hasil</t>
        </is>
      </c>
      <c r="Z3" s="48" t="inlineStr">
        <is>
          <t>T8 · Kondisi Fisik</t>
        </is>
      </c>
    </row>
    <row r="4">
      <c r="A4" s="49" t="inlineStr">
        <is>
          <t>Tanggal</t>
        </is>
      </c>
      <c r="B4" s="49" t="inlineStr">
        <is>
          <t>Kumulatif R</t>
        </is>
      </c>
      <c r="D4" s="49" t="inlineStr">
        <is>
          <t>Tanggal</t>
        </is>
      </c>
      <c r="E4" s="49" t="inlineStr">
        <is>
          <t>PnL $</t>
        </is>
      </c>
      <c r="G4" s="49" t="inlineStr">
        <is>
          <t>Setup</t>
        </is>
      </c>
      <c r="H4" s="49" t="inlineStr">
        <is>
          <t>N</t>
        </is>
      </c>
      <c r="I4" s="49" t="inlineStr">
        <is>
          <t>Win %</t>
        </is>
      </c>
      <c r="J4" s="49" t="inlineStr">
        <is>
          <t>Exp R</t>
        </is>
      </c>
      <c r="L4" s="49" t="inlineStr">
        <is>
          <t>Rentang R</t>
        </is>
      </c>
      <c r="M4" s="49" t="inlineStr">
        <is>
          <t>Jumlah</t>
        </is>
      </c>
      <c r="O4" s="49" t="inlineStr">
        <is>
          <t>Emosi</t>
        </is>
      </c>
      <c r="P4" s="49" t="inlineStr">
        <is>
          <t>N</t>
        </is>
      </c>
      <c r="Q4" s="49" t="inlineStr">
        <is>
          <t>Exp R</t>
        </is>
      </c>
      <c r="S4" s="49" t="inlineStr">
        <is>
          <t>Sesi</t>
        </is>
      </c>
      <c r="T4" s="49" t="inlineStr">
        <is>
          <t>N</t>
        </is>
      </c>
      <c r="U4" s="49" t="inlineStr">
        <is>
          <t>Exp R</t>
        </is>
      </c>
      <c r="W4" s="49" t="inlineStr">
        <is>
          <t>Hasil</t>
        </is>
      </c>
      <c r="X4" s="49" t="inlineStr">
        <is>
          <t>Jumlah</t>
        </is>
      </c>
      <c r="Z4" s="49" t="inlineStr">
        <is>
          <t>Fisik</t>
        </is>
      </c>
      <c r="AA4" s="49" t="inlineStr">
        <is>
          <t>N</t>
        </is>
      </c>
      <c r="AB4" s="49" t="inlineStr">
        <is>
          <t>Exp R</t>
        </is>
      </c>
    </row>
    <row r="5">
      <c r="A5" s="50">
        <f>'📅 Harian'!$A3</f>
        <v/>
      </c>
      <c r="B5" s="51">
        <f>'📅 Harian'!$G3</f>
        <v/>
      </c>
      <c r="D5" s="50">
        <f>'📅 Harian'!$A3</f>
        <v/>
      </c>
      <c r="E5" s="51">
        <f>'📅 Harian'!$C3</f>
        <v/>
      </c>
      <c r="G5" s="52" t="inlineStr">
        <is>
          <t>First Touch</t>
        </is>
      </c>
      <c r="H5" s="53">
        <f>(COUNTIFS('📒 Jurnal'!$H$3:$H$152,"First Touch",'📒 Jurnal'!$Z$3:$Z$152,"Win",'📒 Jurnal'!$AQ$3:$AQ$152,1)+COUNTIFS('📒 Jurnal'!$H$3:$H$152,"First Touch",'📒 Jurnal'!$Z$3:$Z$152,"Loss",'📒 Jurnal'!$AQ$3:$AQ$152,1)+COUNTIFS('📒 Jurnal'!$H$3:$H$152,"First Touch",'📒 Jurnal'!$Z$3:$Z$152,"BE",'📒 Jurnal'!$AQ$3:$AQ$152,1))</f>
        <v/>
      </c>
      <c r="I5" s="54">
        <f>IFERROR(COUNTIFS('📒 Jurnal'!$H$3:$H$152,"First Touch",'📒 Jurnal'!$Z$3:$Z$152,"Win",'📒 Jurnal'!$AQ$3:$AQ$152,1)/(COUNTIFS('📒 Jurnal'!$H$3:$H$152,"First Touch",'📒 Jurnal'!$Z$3:$Z$152,"Win",'📒 Jurnal'!$AQ$3:$AQ$152,1)+COUNTIFS('📒 Jurnal'!$H$3:$H$152,"First Touch",'📒 Jurnal'!$Z$3:$Z$152,"Loss",'📒 Jurnal'!$AQ$3:$AQ$152,1)+COUNTIFS('📒 Jurnal'!$H$3:$H$152,"First Touch",'📒 Jurnal'!$Z$3:$Z$152,"BE",'📒 Jurnal'!$AQ$3:$AQ$152,1)),0)</f>
        <v/>
      </c>
      <c r="J5" s="51">
        <f>IFERROR(AVERAGEIFS('📒 Jurnal'!$Y$3:$Y$152,'📒 Jurnal'!$H$3:$H$152,"First Touch",'📒 Jurnal'!$AQ$3:$AQ$152,1),0)</f>
        <v/>
      </c>
      <c r="L5" s="52" t="inlineStr">
        <is>
          <t>≤ -1.5</t>
        </is>
      </c>
      <c r="M5" s="53">
        <f>COUNTIFS('📒 Jurnal'!$Y$3:$Y$152,"&lt;="&amp;-1.5,'📒 Jurnal'!$AQ$3:$AQ$152,1)</f>
        <v/>
      </c>
      <c r="O5" s="52" t="inlineStr">
        <is>
          <t>Tenang</t>
        </is>
      </c>
      <c r="P5" s="53">
        <f>(COUNTIFS('📒 Jurnal'!$AF$3:$AF$152,"Tenang",'📒 Jurnal'!$Z$3:$Z$152,"Win",'📒 Jurnal'!$AQ$3:$AQ$152,1)+COUNTIFS('📒 Jurnal'!$AF$3:$AF$152,"Tenang",'📒 Jurnal'!$Z$3:$Z$152,"Loss",'📒 Jurnal'!$AQ$3:$AQ$152,1)+COUNTIFS('📒 Jurnal'!$AF$3:$AF$152,"Tenang",'📒 Jurnal'!$Z$3:$Z$152,"BE",'📒 Jurnal'!$AQ$3:$AQ$152,1))</f>
        <v/>
      </c>
      <c r="Q5" s="51">
        <f>IFERROR(AVERAGEIFS('📒 Jurnal'!$Y$3:$Y$152,'📒 Jurnal'!$AF$3:$AF$152,"Tenang",'📒 Jurnal'!$AQ$3:$AQ$152,1),0)</f>
        <v/>
      </c>
      <c r="S5" s="52" t="inlineStr">
        <is>
          <t>London</t>
        </is>
      </c>
      <c r="T5" s="53">
        <f>(COUNTIFS('📒 Jurnal'!$E$3:$E$152,"London",'📒 Jurnal'!$Z$3:$Z$152,"Win",'📒 Jurnal'!$AQ$3:$AQ$152,1)+COUNTIFS('📒 Jurnal'!$E$3:$E$152,"London",'📒 Jurnal'!$Z$3:$Z$152,"Loss",'📒 Jurnal'!$AQ$3:$AQ$152,1)+COUNTIFS('📒 Jurnal'!$E$3:$E$152,"London",'📒 Jurnal'!$Z$3:$Z$152,"BE",'📒 Jurnal'!$AQ$3:$AQ$152,1))</f>
        <v/>
      </c>
      <c r="U5" s="51">
        <f>IFERROR(AVERAGEIFS('📒 Jurnal'!$Y$3:$Y$152,'📒 Jurnal'!$E$3:$E$152,"London",'📒 Jurnal'!$AQ$3:$AQ$152,1),0)</f>
        <v/>
      </c>
      <c r="W5" s="52" t="inlineStr">
        <is>
          <t>Win</t>
        </is>
      </c>
      <c r="X5" s="53">
        <f>COUNTIFS('📒 Jurnal'!$Z$3:$Z$152,"Win",'📒 Jurnal'!$AQ$3:$AQ$152,1)</f>
        <v/>
      </c>
      <c r="Z5" s="52" t="inlineStr">
        <is>
          <t>Segar</t>
        </is>
      </c>
      <c r="AA5" s="53">
        <f>(COUNTIFS('📒 Jurnal'!$AG$3:$AG$152,"Segar",'📒 Jurnal'!$Z$3:$Z$152,"Win",'📒 Jurnal'!$AQ$3:$AQ$152,1)+COUNTIFS('📒 Jurnal'!$AG$3:$AG$152,"Segar",'📒 Jurnal'!$Z$3:$Z$152,"Loss",'📒 Jurnal'!$AQ$3:$AQ$152,1)+COUNTIFS('📒 Jurnal'!$AG$3:$AG$152,"Segar",'📒 Jurnal'!$Z$3:$Z$152,"BE",'📒 Jurnal'!$AQ$3:$AQ$152,1))</f>
        <v/>
      </c>
      <c r="AB5" s="51">
        <f>IFERROR(AVERAGEIFS('📒 Jurnal'!$Y$3:$Y$152,'📒 Jurnal'!$AG$3:$AG$152,"Segar",'📒 Jurnal'!$AQ$3:$AQ$152,1),0)</f>
        <v/>
      </c>
    </row>
    <row r="6">
      <c r="A6" s="50">
        <f>'📅 Harian'!$A4</f>
        <v/>
      </c>
      <c r="B6" s="51">
        <f>'📅 Harian'!$G4</f>
        <v/>
      </c>
      <c r="D6" s="50">
        <f>'📅 Harian'!$A4</f>
        <v/>
      </c>
      <c r="E6" s="51">
        <f>'📅 Harian'!$C4</f>
        <v/>
      </c>
      <c r="G6" s="52" t="inlineStr">
        <is>
          <t>RBS Retest</t>
        </is>
      </c>
      <c r="H6" s="53">
        <f>(COUNTIFS('📒 Jurnal'!$H$3:$H$152,"RBS Retest",'📒 Jurnal'!$Z$3:$Z$152,"Win",'📒 Jurnal'!$AQ$3:$AQ$152,1)+COUNTIFS('📒 Jurnal'!$H$3:$H$152,"RBS Retest",'📒 Jurnal'!$Z$3:$Z$152,"Loss",'📒 Jurnal'!$AQ$3:$AQ$152,1)+COUNTIFS('📒 Jurnal'!$H$3:$H$152,"RBS Retest",'📒 Jurnal'!$Z$3:$Z$152,"BE",'📒 Jurnal'!$AQ$3:$AQ$152,1))</f>
        <v/>
      </c>
      <c r="I6" s="54">
        <f>IFERROR(COUNTIFS('📒 Jurnal'!$H$3:$H$152,"RBS Retest",'📒 Jurnal'!$Z$3:$Z$152,"Win",'📒 Jurnal'!$AQ$3:$AQ$152,1)/(COUNTIFS('📒 Jurnal'!$H$3:$H$152,"RBS Retest",'📒 Jurnal'!$Z$3:$Z$152,"Win",'📒 Jurnal'!$AQ$3:$AQ$152,1)+COUNTIFS('📒 Jurnal'!$H$3:$H$152,"RBS Retest",'📒 Jurnal'!$Z$3:$Z$152,"Loss",'📒 Jurnal'!$AQ$3:$AQ$152,1)+COUNTIFS('📒 Jurnal'!$H$3:$H$152,"RBS Retest",'📒 Jurnal'!$Z$3:$Z$152,"BE",'📒 Jurnal'!$AQ$3:$AQ$152,1)),0)</f>
        <v/>
      </c>
      <c r="J6" s="51">
        <f>IFERROR(AVERAGEIFS('📒 Jurnal'!$Y$3:$Y$152,'📒 Jurnal'!$H$3:$H$152,"RBS Retest",'📒 Jurnal'!$AQ$3:$AQ$152,1),0)</f>
        <v/>
      </c>
      <c r="L6" s="52" t="inlineStr">
        <is>
          <t>-1.5 s/d -1</t>
        </is>
      </c>
      <c r="M6" s="53">
        <f>COUNTIFS('📒 Jurnal'!$Y$3:$Y$152,"&gt;"&amp;-1.5,'📒 Jurnal'!$Y$3:$Y$152,"&lt;="&amp;-1.0,'📒 Jurnal'!$AQ$3:$AQ$152,1)</f>
        <v/>
      </c>
      <c r="O6" s="52" t="inlineStr">
        <is>
          <t>FOMO</t>
        </is>
      </c>
      <c r="P6" s="53">
        <f>(COUNTIFS('📒 Jurnal'!$AF$3:$AF$152,"FOMO",'📒 Jurnal'!$Z$3:$Z$152,"Win",'📒 Jurnal'!$AQ$3:$AQ$152,1)+COUNTIFS('📒 Jurnal'!$AF$3:$AF$152,"FOMO",'📒 Jurnal'!$Z$3:$Z$152,"Loss",'📒 Jurnal'!$AQ$3:$AQ$152,1)+COUNTIFS('📒 Jurnal'!$AF$3:$AF$152,"FOMO",'📒 Jurnal'!$Z$3:$Z$152,"BE",'📒 Jurnal'!$AQ$3:$AQ$152,1))</f>
        <v/>
      </c>
      <c r="Q6" s="51">
        <f>IFERROR(AVERAGEIFS('📒 Jurnal'!$Y$3:$Y$152,'📒 Jurnal'!$AF$3:$AF$152,"FOMO",'📒 Jurnal'!$AQ$3:$AQ$152,1),0)</f>
        <v/>
      </c>
      <c r="S6" s="52" t="inlineStr">
        <is>
          <t>Overlap LDN+NY</t>
        </is>
      </c>
      <c r="T6" s="53">
        <f>(COUNTIFS('📒 Jurnal'!$E$3:$E$152,"Overlap LDN+NY",'📒 Jurnal'!$Z$3:$Z$152,"Win",'📒 Jurnal'!$AQ$3:$AQ$152,1)+COUNTIFS('📒 Jurnal'!$E$3:$E$152,"Overlap LDN+NY",'📒 Jurnal'!$Z$3:$Z$152,"Loss",'📒 Jurnal'!$AQ$3:$AQ$152,1)+COUNTIFS('📒 Jurnal'!$E$3:$E$152,"Overlap LDN+NY",'📒 Jurnal'!$Z$3:$Z$152,"BE",'📒 Jurnal'!$AQ$3:$AQ$152,1))</f>
        <v/>
      </c>
      <c r="U6" s="51">
        <f>IFERROR(AVERAGEIFS('📒 Jurnal'!$Y$3:$Y$152,'📒 Jurnal'!$E$3:$E$152,"Overlap LDN+NY",'📒 Jurnal'!$AQ$3:$AQ$152,1),0)</f>
        <v/>
      </c>
      <c r="W6" s="52" t="inlineStr">
        <is>
          <t>Loss</t>
        </is>
      </c>
      <c r="X6" s="53">
        <f>COUNTIFS('📒 Jurnal'!$Z$3:$Z$152,"Loss",'📒 Jurnal'!$AQ$3:$AQ$152,1)</f>
        <v/>
      </c>
      <c r="Z6" s="52" t="inlineStr">
        <is>
          <t>Biasa</t>
        </is>
      </c>
      <c r="AA6" s="53">
        <f>(COUNTIFS('📒 Jurnal'!$AG$3:$AG$152,"Biasa",'📒 Jurnal'!$Z$3:$Z$152,"Win",'📒 Jurnal'!$AQ$3:$AQ$152,1)+COUNTIFS('📒 Jurnal'!$AG$3:$AG$152,"Biasa",'📒 Jurnal'!$Z$3:$Z$152,"Loss",'📒 Jurnal'!$AQ$3:$AQ$152,1)+COUNTIFS('📒 Jurnal'!$AG$3:$AG$152,"Biasa",'📒 Jurnal'!$Z$3:$Z$152,"BE",'📒 Jurnal'!$AQ$3:$AQ$152,1))</f>
        <v/>
      </c>
      <c r="AB6" s="51">
        <f>IFERROR(AVERAGEIFS('📒 Jurnal'!$Y$3:$Y$152,'📒 Jurnal'!$AG$3:$AG$152,"Biasa",'📒 Jurnal'!$AQ$3:$AQ$152,1),0)</f>
        <v/>
      </c>
    </row>
    <row r="7">
      <c r="A7" s="50">
        <f>'📅 Harian'!$A5</f>
        <v/>
      </c>
      <c r="B7" s="51">
        <f>'📅 Harian'!$G5</f>
        <v/>
      </c>
      <c r="D7" s="50">
        <f>'📅 Harian'!$A5</f>
        <v/>
      </c>
      <c r="E7" s="51">
        <f>'📅 Harian'!$C5</f>
        <v/>
      </c>
      <c r="G7" s="52" t="inlineStr">
        <is>
          <t>SBR Retest</t>
        </is>
      </c>
      <c r="H7" s="53">
        <f>(COUNTIFS('📒 Jurnal'!$H$3:$H$152,"SBR Retest",'📒 Jurnal'!$Z$3:$Z$152,"Win",'📒 Jurnal'!$AQ$3:$AQ$152,1)+COUNTIFS('📒 Jurnal'!$H$3:$H$152,"SBR Retest",'📒 Jurnal'!$Z$3:$Z$152,"Loss",'📒 Jurnal'!$AQ$3:$AQ$152,1)+COUNTIFS('📒 Jurnal'!$H$3:$H$152,"SBR Retest",'📒 Jurnal'!$Z$3:$Z$152,"BE",'📒 Jurnal'!$AQ$3:$AQ$152,1))</f>
        <v/>
      </c>
      <c r="I7" s="54">
        <f>IFERROR(COUNTIFS('📒 Jurnal'!$H$3:$H$152,"SBR Retest",'📒 Jurnal'!$Z$3:$Z$152,"Win",'📒 Jurnal'!$AQ$3:$AQ$152,1)/(COUNTIFS('📒 Jurnal'!$H$3:$H$152,"SBR Retest",'📒 Jurnal'!$Z$3:$Z$152,"Win",'📒 Jurnal'!$AQ$3:$AQ$152,1)+COUNTIFS('📒 Jurnal'!$H$3:$H$152,"SBR Retest",'📒 Jurnal'!$Z$3:$Z$152,"Loss",'📒 Jurnal'!$AQ$3:$AQ$152,1)+COUNTIFS('📒 Jurnal'!$H$3:$H$152,"SBR Retest",'📒 Jurnal'!$Z$3:$Z$152,"BE",'📒 Jurnal'!$AQ$3:$AQ$152,1)),0)</f>
        <v/>
      </c>
      <c r="J7" s="51">
        <f>IFERROR(AVERAGEIFS('📒 Jurnal'!$Y$3:$Y$152,'📒 Jurnal'!$H$3:$H$152,"SBR Retest",'📒 Jurnal'!$AQ$3:$AQ$152,1),0)</f>
        <v/>
      </c>
      <c r="L7" s="52" t="inlineStr">
        <is>
          <t>-1 s/d -0.5</t>
        </is>
      </c>
      <c r="M7" s="53">
        <f>COUNTIFS('📒 Jurnal'!$Y$3:$Y$152,"&gt;"&amp;-1.0,'📒 Jurnal'!$Y$3:$Y$152,"&lt;="&amp;-0.5,'📒 Jurnal'!$AQ$3:$AQ$152,1)</f>
        <v/>
      </c>
      <c r="O7" s="52" t="inlineStr">
        <is>
          <t>Balas dendam</t>
        </is>
      </c>
      <c r="P7" s="53">
        <f>(COUNTIFS('📒 Jurnal'!$AF$3:$AF$152,"Balas dendam",'📒 Jurnal'!$Z$3:$Z$152,"Win",'📒 Jurnal'!$AQ$3:$AQ$152,1)+COUNTIFS('📒 Jurnal'!$AF$3:$AF$152,"Balas dendam",'📒 Jurnal'!$Z$3:$Z$152,"Loss",'📒 Jurnal'!$AQ$3:$AQ$152,1)+COUNTIFS('📒 Jurnal'!$AF$3:$AF$152,"Balas dendam",'📒 Jurnal'!$Z$3:$Z$152,"BE",'📒 Jurnal'!$AQ$3:$AQ$152,1))</f>
        <v/>
      </c>
      <c r="Q7" s="51">
        <f>IFERROR(AVERAGEIFS('📒 Jurnal'!$Y$3:$Y$152,'📒 Jurnal'!$AF$3:$AF$152,"Balas dendam",'📒 Jurnal'!$AQ$3:$AQ$152,1),0)</f>
        <v/>
      </c>
      <c r="S7" s="52" t="inlineStr">
        <is>
          <t>New York</t>
        </is>
      </c>
      <c r="T7" s="53">
        <f>(COUNTIFS('📒 Jurnal'!$E$3:$E$152,"New York",'📒 Jurnal'!$Z$3:$Z$152,"Win",'📒 Jurnal'!$AQ$3:$AQ$152,1)+COUNTIFS('📒 Jurnal'!$E$3:$E$152,"New York",'📒 Jurnal'!$Z$3:$Z$152,"Loss",'📒 Jurnal'!$AQ$3:$AQ$152,1)+COUNTIFS('📒 Jurnal'!$E$3:$E$152,"New York",'📒 Jurnal'!$Z$3:$Z$152,"BE",'📒 Jurnal'!$AQ$3:$AQ$152,1))</f>
        <v/>
      </c>
      <c r="U7" s="51">
        <f>IFERROR(AVERAGEIFS('📒 Jurnal'!$Y$3:$Y$152,'📒 Jurnal'!$E$3:$E$152,"New York",'📒 Jurnal'!$AQ$3:$AQ$152,1),0)</f>
        <v/>
      </c>
      <c r="W7" s="52" t="inlineStr">
        <is>
          <t>BE</t>
        </is>
      </c>
      <c r="X7" s="53">
        <f>COUNTIFS('📒 Jurnal'!$Z$3:$Z$152,"BE",'📒 Jurnal'!$AQ$3:$AQ$152,1)</f>
        <v/>
      </c>
      <c r="Z7" s="52" t="inlineStr">
        <is>
          <t>Capek</t>
        </is>
      </c>
      <c r="AA7" s="53">
        <f>(COUNTIFS('📒 Jurnal'!$AG$3:$AG$152,"Capek",'📒 Jurnal'!$Z$3:$Z$152,"Win",'📒 Jurnal'!$AQ$3:$AQ$152,1)+COUNTIFS('📒 Jurnal'!$AG$3:$AG$152,"Capek",'📒 Jurnal'!$Z$3:$Z$152,"Loss",'📒 Jurnal'!$AQ$3:$AQ$152,1)+COUNTIFS('📒 Jurnal'!$AG$3:$AG$152,"Capek",'📒 Jurnal'!$Z$3:$Z$152,"BE",'📒 Jurnal'!$AQ$3:$AQ$152,1))</f>
        <v/>
      </c>
      <c r="AB7" s="51">
        <f>IFERROR(AVERAGEIFS('📒 Jurnal'!$Y$3:$Y$152,'📒 Jurnal'!$AG$3:$AG$152,"Capek",'📒 Jurnal'!$AQ$3:$AQ$152,1),0)</f>
        <v/>
      </c>
    </row>
    <row r="8">
      <c r="A8" s="50">
        <f>'📅 Harian'!$A6</f>
        <v/>
      </c>
      <c r="B8" s="51">
        <f>'📅 Harian'!$G6</f>
        <v/>
      </c>
      <c r="D8" s="50">
        <f>'📅 Harian'!$A6</f>
        <v/>
      </c>
      <c r="E8" s="51">
        <f>'📅 Harian'!$C6</f>
        <v/>
      </c>
      <c r="G8" s="52" t="inlineStr">
        <is>
          <t>Lainnya</t>
        </is>
      </c>
      <c r="H8" s="53">
        <f>(COUNTIFS('📒 Jurnal'!$H$3:$H$152,"Lainnya",'📒 Jurnal'!$Z$3:$Z$152,"Win",'📒 Jurnal'!$AQ$3:$AQ$152,1)+COUNTIFS('📒 Jurnal'!$H$3:$H$152,"Lainnya",'📒 Jurnal'!$Z$3:$Z$152,"Loss",'📒 Jurnal'!$AQ$3:$AQ$152,1)+COUNTIFS('📒 Jurnal'!$H$3:$H$152,"Lainnya",'📒 Jurnal'!$Z$3:$Z$152,"BE",'📒 Jurnal'!$AQ$3:$AQ$152,1))</f>
        <v/>
      </c>
      <c r="I8" s="54">
        <f>IFERROR(COUNTIFS('📒 Jurnal'!$H$3:$H$152,"Lainnya",'📒 Jurnal'!$Z$3:$Z$152,"Win",'📒 Jurnal'!$AQ$3:$AQ$152,1)/(COUNTIFS('📒 Jurnal'!$H$3:$H$152,"Lainnya",'📒 Jurnal'!$Z$3:$Z$152,"Win",'📒 Jurnal'!$AQ$3:$AQ$152,1)+COUNTIFS('📒 Jurnal'!$H$3:$H$152,"Lainnya",'📒 Jurnal'!$Z$3:$Z$152,"Loss",'📒 Jurnal'!$AQ$3:$AQ$152,1)+COUNTIFS('📒 Jurnal'!$H$3:$H$152,"Lainnya",'📒 Jurnal'!$Z$3:$Z$152,"BE",'📒 Jurnal'!$AQ$3:$AQ$152,1)),0)</f>
        <v/>
      </c>
      <c r="J8" s="51">
        <f>IFERROR(AVERAGEIFS('📒 Jurnal'!$Y$3:$Y$152,'📒 Jurnal'!$H$3:$H$152,"Lainnya",'📒 Jurnal'!$AQ$3:$AQ$152,1),0)</f>
        <v/>
      </c>
      <c r="L8" s="52" t="inlineStr">
        <is>
          <t>-0.5 s/d 0</t>
        </is>
      </c>
      <c r="M8" s="53">
        <f>COUNTIFS('📒 Jurnal'!$Y$3:$Y$152,"&gt;"&amp;-0.5,'📒 Jurnal'!$Y$3:$Y$152,"&lt;="&amp;0,'📒 Jurnal'!$AQ$3:$AQ$152,1)</f>
        <v/>
      </c>
      <c r="O8" s="52" t="inlineStr">
        <is>
          <t>Ragu</t>
        </is>
      </c>
      <c r="P8" s="53">
        <f>(COUNTIFS('📒 Jurnal'!$AF$3:$AF$152,"Ragu",'📒 Jurnal'!$Z$3:$Z$152,"Win",'📒 Jurnal'!$AQ$3:$AQ$152,1)+COUNTIFS('📒 Jurnal'!$AF$3:$AF$152,"Ragu",'📒 Jurnal'!$Z$3:$Z$152,"Loss",'📒 Jurnal'!$AQ$3:$AQ$152,1)+COUNTIFS('📒 Jurnal'!$AF$3:$AF$152,"Ragu",'📒 Jurnal'!$Z$3:$Z$152,"BE",'📒 Jurnal'!$AQ$3:$AQ$152,1))</f>
        <v/>
      </c>
      <c r="Q8" s="51">
        <f>IFERROR(AVERAGEIFS('📒 Jurnal'!$Y$3:$Y$152,'📒 Jurnal'!$AF$3:$AF$152,"Ragu",'📒 Jurnal'!$AQ$3:$AQ$152,1),0)</f>
        <v/>
      </c>
      <c r="S8" s="52" t="inlineStr">
        <is>
          <t>Asia</t>
        </is>
      </c>
      <c r="T8" s="53">
        <f>(COUNTIFS('📒 Jurnal'!$E$3:$E$152,"Asia",'📒 Jurnal'!$Z$3:$Z$152,"Win",'📒 Jurnal'!$AQ$3:$AQ$152,1)+COUNTIFS('📒 Jurnal'!$E$3:$E$152,"Asia",'📒 Jurnal'!$Z$3:$Z$152,"Loss",'📒 Jurnal'!$AQ$3:$AQ$152,1)+COUNTIFS('📒 Jurnal'!$E$3:$E$152,"Asia",'📒 Jurnal'!$Z$3:$Z$152,"BE",'📒 Jurnal'!$AQ$3:$AQ$152,1))</f>
        <v/>
      </c>
      <c r="U8" s="51">
        <f>IFERROR(AVERAGEIFS('📒 Jurnal'!$Y$3:$Y$152,'📒 Jurnal'!$E$3:$E$152,"Asia",'📒 Jurnal'!$AQ$3:$AQ$152,1),0)</f>
        <v/>
      </c>
      <c r="Z8" s="52" t="inlineStr">
        <is>
          <t>Ngantuk</t>
        </is>
      </c>
      <c r="AA8" s="53">
        <f>(COUNTIFS('📒 Jurnal'!$AG$3:$AG$152,"Ngantuk",'📒 Jurnal'!$Z$3:$Z$152,"Win",'📒 Jurnal'!$AQ$3:$AQ$152,1)+COUNTIFS('📒 Jurnal'!$AG$3:$AG$152,"Ngantuk",'📒 Jurnal'!$Z$3:$Z$152,"Loss",'📒 Jurnal'!$AQ$3:$AQ$152,1)+COUNTIFS('📒 Jurnal'!$AG$3:$AG$152,"Ngantuk",'📒 Jurnal'!$Z$3:$Z$152,"BE",'📒 Jurnal'!$AQ$3:$AQ$152,1))</f>
        <v/>
      </c>
      <c r="AB8" s="51">
        <f>IFERROR(AVERAGEIFS('📒 Jurnal'!$Y$3:$Y$152,'📒 Jurnal'!$AG$3:$AG$152,"Ngantuk",'📒 Jurnal'!$AQ$3:$AQ$152,1),0)</f>
        <v/>
      </c>
    </row>
    <row r="9">
      <c r="A9" s="50">
        <f>'📅 Harian'!$A7</f>
        <v/>
      </c>
      <c r="B9" s="51">
        <f>'📅 Harian'!$G7</f>
        <v/>
      </c>
      <c r="D9" s="50">
        <f>'📅 Harian'!$A7</f>
        <v/>
      </c>
      <c r="E9" s="51">
        <f>'📅 Harian'!$C7</f>
        <v/>
      </c>
      <c r="L9" s="52" t="inlineStr">
        <is>
          <t>0 s/d 0.5</t>
        </is>
      </c>
      <c r="M9" s="53">
        <f>COUNTIFS('📒 Jurnal'!$Y$3:$Y$152,"&gt;"&amp;0,'📒 Jurnal'!$Y$3:$Y$152,"&lt;="&amp;0.5,'📒 Jurnal'!$AQ$3:$AQ$152,1)</f>
        <v/>
      </c>
      <c r="O9" s="52" t="inlineStr">
        <is>
          <t>Overconfident</t>
        </is>
      </c>
      <c r="P9" s="53">
        <f>(COUNTIFS('📒 Jurnal'!$AF$3:$AF$152,"Overconfident",'📒 Jurnal'!$Z$3:$Z$152,"Win",'📒 Jurnal'!$AQ$3:$AQ$152,1)+COUNTIFS('📒 Jurnal'!$AF$3:$AF$152,"Overconfident",'📒 Jurnal'!$Z$3:$Z$152,"Loss",'📒 Jurnal'!$AQ$3:$AQ$152,1)+COUNTIFS('📒 Jurnal'!$AF$3:$AF$152,"Overconfident",'📒 Jurnal'!$Z$3:$Z$152,"BE",'📒 Jurnal'!$AQ$3:$AQ$152,1))</f>
        <v/>
      </c>
      <c r="Q9" s="51">
        <f>IFERROR(AVERAGEIFS('📒 Jurnal'!$Y$3:$Y$152,'📒 Jurnal'!$AF$3:$AF$152,"Overconfident",'📒 Jurnal'!$AQ$3:$AQ$152,1),0)</f>
        <v/>
      </c>
    </row>
    <row r="10">
      <c r="A10" s="50">
        <f>'📅 Harian'!$A8</f>
        <v/>
      </c>
      <c r="B10" s="51">
        <f>'📅 Harian'!$G8</f>
        <v/>
      </c>
      <c r="D10" s="50">
        <f>'📅 Harian'!$A8</f>
        <v/>
      </c>
      <c r="E10" s="51">
        <f>'📅 Harian'!$C8</f>
        <v/>
      </c>
      <c r="L10" s="52" t="inlineStr">
        <is>
          <t>0.5 s/d 1</t>
        </is>
      </c>
      <c r="M10" s="53">
        <f>COUNTIFS('📒 Jurnal'!$Y$3:$Y$152,"&gt;"&amp;0.5,'📒 Jurnal'!$Y$3:$Y$152,"&lt;="&amp;1.0,'📒 Jurnal'!$AQ$3:$AQ$152,1)</f>
        <v/>
      </c>
      <c r="O10" s="52" t="inlineStr">
        <is>
          <t>Bosan</t>
        </is>
      </c>
      <c r="P10" s="53">
        <f>(COUNTIFS('📒 Jurnal'!$AF$3:$AF$152,"Bosan",'📒 Jurnal'!$Z$3:$Z$152,"Win",'📒 Jurnal'!$AQ$3:$AQ$152,1)+COUNTIFS('📒 Jurnal'!$AF$3:$AF$152,"Bosan",'📒 Jurnal'!$Z$3:$Z$152,"Loss",'📒 Jurnal'!$AQ$3:$AQ$152,1)+COUNTIFS('📒 Jurnal'!$AF$3:$AF$152,"Bosan",'📒 Jurnal'!$Z$3:$Z$152,"BE",'📒 Jurnal'!$AQ$3:$AQ$152,1))</f>
        <v/>
      </c>
      <c r="Q10" s="51">
        <f>IFERROR(AVERAGEIFS('📒 Jurnal'!$Y$3:$Y$152,'📒 Jurnal'!$AF$3:$AF$152,"Bosan",'📒 Jurnal'!$AQ$3:$AQ$152,1),0)</f>
        <v/>
      </c>
    </row>
    <row r="11">
      <c r="A11" s="50">
        <f>'📅 Harian'!$A9</f>
        <v/>
      </c>
      <c r="B11" s="51">
        <f>'📅 Harian'!$G9</f>
        <v/>
      </c>
      <c r="D11" s="50">
        <f>'📅 Harian'!$A9</f>
        <v/>
      </c>
      <c r="E11" s="51">
        <f>'📅 Harian'!$C9</f>
        <v/>
      </c>
      <c r="L11" s="52" t="inlineStr">
        <is>
          <t>1 s/d 2</t>
        </is>
      </c>
      <c r="M11" s="53">
        <f>COUNTIFS('📒 Jurnal'!$Y$3:$Y$152,"&gt;"&amp;1.0,'📒 Jurnal'!$Y$3:$Y$152,"&lt;="&amp;2.0,'📒 Jurnal'!$AQ$3:$AQ$152,1)</f>
        <v/>
      </c>
    </row>
    <row r="12">
      <c r="A12" s="50">
        <f>'📅 Harian'!$A10</f>
        <v/>
      </c>
      <c r="B12" s="51">
        <f>'📅 Harian'!$G10</f>
        <v/>
      </c>
      <c r="D12" s="50">
        <f>'📅 Harian'!$A10</f>
        <v/>
      </c>
      <c r="E12" s="51">
        <f>'📅 Harian'!$C10</f>
        <v/>
      </c>
      <c r="L12" s="52" t="inlineStr">
        <is>
          <t>&gt; 2.0</t>
        </is>
      </c>
      <c r="M12" s="53">
        <f>COUNTIFS('📒 Jurnal'!$Y$3:$Y$152,"&gt;"&amp;2.0,'📒 Jurnal'!$AQ$3:$AQ$152,1)</f>
        <v/>
      </c>
    </row>
    <row r="13">
      <c r="A13" s="50">
        <f>'📅 Harian'!$A11</f>
        <v/>
      </c>
      <c r="B13" s="51">
        <f>'📅 Harian'!$G11</f>
        <v/>
      </c>
      <c r="D13" s="50">
        <f>'📅 Harian'!$A11</f>
        <v/>
      </c>
      <c r="E13" s="51">
        <f>'📅 Harian'!$C11</f>
        <v/>
      </c>
    </row>
    <row r="14">
      <c r="A14" s="50">
        <f>'📅 Harian'!$A12</f>
        <v/>
      </c>
      <c r="B14" s="51">
        <f>'📅 Harian'!$G12</f>
        <v/>
      </c>
      <c r="D14" s="50">
        <f>'📅 Harian'!$A12</f>
        <v/>
      </c>
      <c r="E14" s="51">
        <f>'📅 Harian'!$C12</f>
        <v/>
      </c>
    </row>
    <row r="15">
      <c r="A15" s="50">
        <f>'📅 Harian'!$A13</f>
        <v/>
      </c>
      <c r="B15" s="51">
        <f>'📅 Harian'!$G13</f>
        <v/>
      </c>
      <c r="D15" s="50">
        <f>'📅 Harian'!$A13</f>
        <v/>
      </c>
      <c r="E15" s="51">
        <f>'📅 Harian'!$C13</f>
        <v/>
      </c>
    </row>
    <row r="16">
      <c r="A16" s="50">
        <f>'📅 Harian'!$A14</f>
        <v/>
      </c>
      <c r="B16" s="51">
        <f>'📅 Harian'!$G14</f>
        <v/>
      </c>
      <c r="D16" s="50">
        <f>'📅 Harian'!$A14</f>
        <v/>
      </c>
      <c r="E16" s="51">
        <f>'📅 Harian'!$C14</f>
        <v/>
      </c>
    </row>
    <row r="17">
      <c r="A17" s="50">
        <f>'📅 Harian'!$A15</f>
        <v/>
      </c>
      <c r="B17" s="51">
        <f>'📅 Harian'!$G15</f>
        <v/>
      </c>
      <c r="D17" s="50">
        <f>'📅 Harian'!$A15</f>
        <v/>
      </c>
      <c r="E17" s="51">
        <f>'📅 Harian'!$C15</f>
        <v/>
      </c>
    </row>
    <row r="18">
      <c r="A18" s="50">
        <f>'📅 Harian'!$A16</f>
        <v/>
      </c>
      <c r="B18" s="51">
        <f>'📅 Harian'!$G16</f>
        <v/>
      </c>
      <c r="D18" s="50">
        <f>'📅 Harian'!$A16</f>
        <v/>
      </c>
      <c r="E18" s="51">
        <f>'📅 Harian'!$C16</f>
        <v/>
      </c>
    </row>
    <row r="19">
      <c r="A19" s="50">
        <f>'📅 Harian'!$A17</f>
        <v/>
      </c>
      <c r="B19" s="51">
        <f>'📅 Harian'!$G17</f>
        <v/>
      </c>
      <c r="D19" s="50">
        <f>'📅 Harian'!$A17</f>
        <v/>
      </c>
      <c r="E19" s="51">
        <f>'📅 Harian'!$C17</f>
        <v/>
      </c>
    </row>
    <row r="20">
      <c r="A20" s="50">
        <f>'📅 Harian'!$A18</f>
        <v/>
      </c>
      <c r="B20" s="51">
        <f>'📅 Harian'!$G18</f>
        <v/>
      </c>
      <c r="D20" s="50">
        <f>'📅 Harian'!$A18</f>
        <v/>
      </c>
      <c r="E20" s="51">
        <f>'📅 Harian'!$C18</f>
        <v/>
      </c>
    </row>
    <row r="21">
      <c r="A21" s="50">
        <f>'📅 Harian'!$A19</f>
        <v/>
      </c>
      <c r="B21" s="51">
        <f>'📅 Harian'!$G19</f>
        <v/>
      </c>
      <c r="D21" s="50">
        <f>'📅 Harian'!$A19</f>
        <v/>
      </c>
      <c r="E21" s="51">
        <f>'📅 Harian'!$C19</f>
        <v/>
      </c>
    </row>
    <row r="22">
      <c r="A22" s="50">
        <f>'📅 Harian'!$A20</f>
        <v/>
      </c>
      <c r="B22" s="51">
        <f>'📅 Harian'!$G20</f>
        <v/>
      </c>
      <c r="D22" s="50">
        <f>'📅 Harian'!$A20</f>
        <v/>
      </c>
      <c r="E22" s="51">
        <f>'📅 Harian'!$C20</f>
        <v/>
      </c>
    </row>
    <row r="23">
      <c r="A23" s="50">
        <f>'📅 Harian'!$A21</f>
        <v/>
      </c>
      <c r="B23" s="51">
        <f>'📅 Harian'!$G21</f>
        <v/>
      </c>
      <c r="D23" s="50">
        <f>'📅 Harian'!$A21</f>
        <v/>
      </c>
      <c r="E23" s="51">
        <f>'📅 Harian'!$C21</f>
        <v/>
      </c>
    </row>
    <row r="24">
      <c r="A24" s="50">
        <f>'📅 Harian'!$A22</f>
        <v/>
      </c>
      <c r="B24" s="51">
        <f>'📅 Harian'!$G22</f>
        <v/>
      </c>
      <c r="D24" s="50">
        <f>'📅 Harian'!$A22</f>
        <v/>
      </c>
      <c r="E24" s="51">
        <f>'📅 Harian'!$C22</f>
        <v/>
      </c>
    </row>
    <row r="25">
      <c r="A25" s="50">
        <f>'📅 Harian'!$A23</f>
        <v/>
      </c>
      <c r="B25" s="51">
        <f>'📅 Harian'!$G23</f>
        <v/>
      </c>
      <c r="D25" s="50">
        <f>'📅 Harian'!$A23</f>
        <v/>
      </c>
      <c r="E25" s="51">
        <f>'📅 Harian'!$C23</f>
        <v/>
      </c>
    </row>
    <row r="26">
      <c r="A26" s="50">
        <f>'📅 Harian'!$A24</f>
        <v/>
      </c>
      <c r="B26" s="51">
        <f>'📅 Harian'!$G24</f>
        <v/>
      </c>
      <c r="D26" s="50">
        <f>'📅 Harian'!$A24</f>
        <v/>
      </c>
      <c r="E26" s="51">
        <f>'📅 Harian'!$C24</f>
        <v/>
      </c>
    </row>
    <row r="27">
      <c r="A27" s="50">
        <f>'📅 Harian'!$A25</f>
        <v/>
      </c>
      <c r="B27" s="51">
        <f>'📅 Harian'!$G25</f>
        <v/>
      </c>
      <c r="D27" s="50">
        <f>'📅 Harian'!$A25</f>
        <v/>
      </c>
      <c r="E27" s="51">
        <f>'📅 Harian'!$C25</f>
        <v/>
      </c>
    </row>
    <row r="28">
      <c r="A28" s="50">
        <f>'📅 Harian'!$A26</f>
        <v/>
      </c>
      <c r="B28" s="51">
        <f>'📅 Harian'!$G26</f>
        <v/>
      </c>
      <c r="D28" s="50">
        <f>'📅 Harian'!$A26</f>
        <v/>
      </c>
      <c r="E28" s="51">
        <f>'📅 Harian'!$C26</f>
        <v/>
      </c>
    </row>
    <row r="29">
      <c r="A29" s="50">
        <f>'📅 Harian'!$A27</f>
        <v/>
      </c>
      <c r="B29" s="51">
        <f>'📅 Harian'!$G27</f>
        <v/>
      </c>
      <c r="D29" s="50">
        <f>'📅 Harian'!$A27</f>
        <v/>
      </c>
      <c r="E29" s="51">
        <f>'📅 Harian'!$C27</f>
        <v/>
      </c>
    </row>
    <row r="30">
      <c r="A30" s="50">
        <f>'📅 Harian'!$A28</f>
        <v/>
      </c>
      <c r="B30" s="51">
        <f>'📅 Harian'!$G28</f>
        <v/>
      </c>
      <c r="D30" s="50">
        <f>'📅 Harian'!$A28</f>
        <v/>
      </c>
      <c r="E30" s="51">
        <f>'📅 Harian'!$C28</f>
        <v/>
      </c>
    </row>
    <row r="31">
      <c r="A31" s="50">
        <f>'📅 Harian'!$A29</f>
        <v/>
      </c>
      <c r="B31" s="51">
        <f>'📅 Harian'!$G29</f>
        <v/>
      </c>
      <c r="D31" s="50">
        <f>'📅 Harian'!$A29</f>
        <v/>
      </c>
      <c r="E31" s="51">
        <f>'📅 Harian'!$C29</f>
        <v/>
      </c>
    </row>
    <row r="32">
      <c r="A32" s="50">
        <f>'📅 Harian'!$A30</f>
        <v/>
      </c>
      <c r="B32" s="51">
        <f>'📅 Harian'!$G30</f>
        <v/>
      </c>
      <c r="D32" s="50">
        <f>'📅 Harian'!$A30</f>
        <v/>
      </c>
      <c r="E32" s="51">
        <f>'📅 Harian'!$C30</f>
        <v/>
      </c>
    </row>
    <row r="33">
      <c r="A33" s="50">
        <f>'📅 Harian'!$A31</f>
        <v/>
      </c>
      <c r="B33" s="51">
        <f>'📅 Harian'!$G31</f>
        <v/>
      </c>
      <c r="D33" s="50">
        <f>'📅 Harian'!$A31</f>
        <v/>
      </c>
      <c r="E33" s="51">
        <f>'📅 Harian'!$C31</f>
        <v/>
      </c>
    </row>
    <row r="34">
      <c r="A34" s="50">
        <f>'📅 Harian'!$A32</f>
        <v/>
      </c>
      <c r="B34" s="51">
        <f>'📅 Harian'!$G32</f>
        <v/>
      </c>
      <c r="D34" s="50">
        <f>'📅 Harian'!$A32</f>
        <v/>
      </c>
      <c r="E34" s="51">
        <f>'📅 Harian'!$C32</f>
        <v/>
      </c>
    </row>
    <row r="35">
      <c r="A35" s="50">
        <f>'📅 Harian'!$A33</f>
        <v/>
      </c>
      <c r="B35" s="51">
        <f>'📅 Harian'!$G33</f>
        <v/>
      </c>
      <c r="D35" s="50">
        <f>'📅 Harian'!$A33</f>
        <v/>
      </c>
      <c r="E35" s="51">
        <f>'📅 Harian'!$C33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3" customWidth="1" min="4" max="4"/>
    <col width="13" customWidth="1" min="5" max="5"/>
    <col width="20" customWidth="1" min="6" max="6"/>
  </cols>
  <sheetData>
    <row r="1">
      <c r="A1" s="1" t="inlineStr">
        <is>
          <t>📊 DASHBOARD</t>
        </is>
      </c>
    </row>
    <row r="2">
      <c r="A2" s="8" t="inlineStr">
        <is>
          <t>Ubah dropdown filter → semua metrik, tabel, dan grafik ikut menyesuaikan.</t>
        </is>
      </c>
    </row>
    <row r="3">
      <c r="A3" s="55" t="inlineStr">
        <is>
          <t>🎛️  FILTER INTERAKTIF</t>
        </is>
      </c>
    </row>
    <row r="4">
      <c r="A4" s="6" t="inlineStr">
        <is>
          <t>Instrumen</t>
        </is>
      </c>
      <c r="B4" s="56" t="inlineStr">
        <is>
          <t>(Semua)</t>
        </is>
      </c>
      <c r="C4" s="8" t="inlineStr">
        <is>
          <t>← klik sel biru untuk memfilter. "(Semua)" = tanpa filter.</t>
        </is>
      </c>
    </row>
    <row r="5">
      <c r="A5" s="6" t="inlineStr">
        <is>
          <t>Tipe Setup</t>
        </is>
      </c>
      <c r="B5" s="56" t="inlineStr">
        <is>
          <t>(Semua)</t>
        </is>
      </c>
    </row>
    <row r="6">
      <c r="A6" s="6" t="inlineStr">
        <is>
          <t>Sesi</t>
        </is>
      </c>
      <c r="B6" s="56" t="inlineStr">
        <is>
          <t>(Semua)</t>
        </is>
      </c>
    </row>
    <row r="7">
      <c r="A7" s="6" t="inlineStr">
        <is>
          <t>Emosi</t>
        </is>
      </c>
      <c r="B7" s="56" t="inlineStr">
        <is>
          <t>(Semua)</t>
        </is>
      </c>
    </row>
    <row r="8">
      <c r="A8" s="6" t="inlineStr">
        <is>
          <t>Kondisi Fisik</t>
        </is>
      </c>
      <c r="B8" s="56" t="inlineStr">
        <is>
          <t>(Semua)</t>
        </is>
      </c>
    </row>
    <row r="9">
      <c r="A9" s="6" t="inlineStr">
        <is>
          <t>Bias EMA200 Searah</t>
        </is>
      </c>
      <c r="B9" s="56" t="inlineStr">
        <is>
          <t>(Semua)</t>
        </is>
      </c>
    </row>
    <row r="11">
      <c r="A11" s="55" t="inlineStr">
        <is>
          <t>📌  RINGKASAN (mengikuti filter)</t>
        </is>
      </c>
    </row>
    <row r="12">
      <c r="A12" s="6" t="inlineStr">
        <is>
          <t>Total Trade</t>
        </is>
      </c>
      <c r="B12" s="57">
        <f>(COUNTIFS('📒 Jurnal'!$Z$3:$Z$152,"Win",'📒 Jurnal'!$AQ$3:$AQ$152,1)+COUNTIFS('📒 Jurnal'!$Z$3:$Z$152,"Loss",'📒 Jurnal'!$AQ$3:$AQ$152,1)+COUNTIFS('📒 Jurnal'!$Z$3:$Z$152,"BE",'📒 Jurnal'!$AQ$3:$AQ$152,1))</f>
        <v/>
      </c>
      <c r="D12" s="6" t="inlineStr">
        <is>
          <t>Total PnL Bersih</t>
        </is>
      </c>
      <c r="E12" s="58">
        <f>SUMIFS('📒 Jurnal'!$X$3:$X$152,'📒 Jurnal'!$AQ$3:$AQ$152,1)</f>
        <v/>
      </c>
    </row>
    <row r="13">
      <c r="A13" s="6" t="inlineStr">
        <is>
          <t>Win / Loss / BE</t>
        </is>
      </c>
      <c r="B13" s="59">
        <f>COUNTIFS('📒 Jurnal'!$Z$3:$Z$152,"Win",'📒 Jurnal'!$AQ$3:$AQ$152,1)&amp;" / "&amp;COUNTIFS('📒 Jurnal'!$Z$3:$Z$152,"Loss",'📒 Jurnal'!$AQ$3:$AQ$152,1)&amp;" / "&amp;COUNTIFS('📒 Jurnal'!$Z$3:$Z$152,"BE",'📒 Jurnal'!$AQ$3:$AQ$152,1)</f>
        <v/>
      </c>
      <c r="D13" s="6" t="inlineStr">
        <is>
          <t>Total Biaya Dibayar</t>
        </is>
      </c>
      <c r="E13" s="58">
        <f>SUMIFS('📒 Jurnal'!$W$3:$W$152,'📒 Jurnal'!$AQ$3:$AQ$152,1)</f>
        <v/>
      </c>
    </row>
    <row r="14">
      <c r="A14" s="6" t="inlineStr">
        <is>
          <t>Win Rate</t>
        </is>
      </c>
      <c r="B14" s="60">
        <f>IFERROR(COUNTIFS('📒 Jurnal'!$Z$3:$Z$152,"Win",'📒 Jurnal'!$AQ$3:$AQ$152,1)/(COUNTIFS('📒 Jurnal'!$Z$3:$Z$152,"Win",'📒 Jurnal'!$AQ$3:$AQ$152,1)+COUNTIFS('📒 Jurnal'!$Z$3:$Z$152,"Loss",'📒 Jurnal'!$AQ$3:$AQ$152,1)+COUNTIFS('📒 Jurnal'!$Z$3:$Z$152,"BE",'📒 Jurnal'!$AQ$3:$AQ$152,1)),"")</f>
        <v/>
      </c>
      <c r="D14" s="6" t="inlineStr">
        <is>
          <t>Total R</t>
        </is>
      </c>
      <c r="E14" s="61">
        <f>SUMIFS('📒 Jurnal'!$Y$3:$Y$152,'📒 Jurnal'!$AQ$3:$AQ$152,1)</f>
        <v/>
      </c>
    </row>
    <row r="15">
      <c r="A15" s="6" t="inlineStr">
        <is>
          <t>Expectancy (R)</t>
        </is>
      </c>
      <c r="B15" s="62">
        <f>IFERROR(AVERAGEIFS('📒 Jurnal'!$Y$3:$Y$152,'📒 Jurnal'!$AQ$3:$AQ$152,1),"")</f>
        <v/>
      </c>
      <c r="D15" s="6" t="inlineStr">
        <is>
          <t>Max Drawdown R (sebulan)</t>
        </is>
      </c>
      <c r="E15" s="61">
        <f>MAX('📅 Harian'!$I$3:$I$33)</f>
        <v/>
      </c>
    </row>
    <row r="16">
      <c r="A16" s="6" t="inlineStr">
        <is>
          <t>Profit Factor</t>
        </is>
      </c>
      <c r="B16" s="61">
        <f>IFERROR(SUMIFS('📒 Jurnal'!$X$3:$X$152,'📒 Jurnal'!$AQ$3:$AQ$152,1,'📒 Jurnal'!$X$3:$X$152,"&gt;0")/ABS(SUMIFS('📒 Jurnal'!$X$3:$X$152,'📒 Jurnal'!$AQ$3:$AQ$152,1,'📒 Jurnal'!$X$3:$X$152,"&lt;0")),"")</f>
        <v/>
      </c>
      <c r="D16" s="6" t="inlineStr">
        <is>
          <t>Rata-rata Durasi (mnt)</t>
        </is>
      </c>
      <c r="E16" s="57">
        <f>IFERROR(AVERAGEIFS('📒 Jurnal'!$AA$3:$AA$152,'📒 Jurnal'!$AQ$3:$AQ$152,1),"")</f>
        <v/>
      </c>
    </row>
    <row r="18">
      <c r="A18" s="55" t="inlineStr">
        <is>
          <t>🎯  PROGRESS TARGET BULANAN (seluruh bulan, tidak ikut filter)</t>
        </is>
      </c>
    </row>
    <row r="19">
      <c r="A19" s="63" t="inlineStr">
        <is>
          <t>Tercapai</t>
        </is>
      </c>
      <c r="B19" s="64">
        <f>IFERROR(SUM('📒 Jurnal'!$X$3:$X$152)/'⚙️ Setelan'!$B$7,"")</f>
        <v/>
      </c>
      <c r="C19" s="65">
        <f>IFERROR(REPT("█",MAX(0,MIN(20,ROUND(SUM('📒 Jurnal'!$X$3:$X$152)/'⚙️ Setelan'!$B$7*20,0))))&amp;REPT("░",20-MAX(0,MIN(20,ROUND(SUM('📒 Jurnal'!$X$3:$X$152)/'⚙️ Setelan'!$B$7*20,0)))),"")</f>
        <v/>
      </c>
    </row>
    <row r="20">
      <c r="A20" s="63" t="inlineStr">
        <is>
          <t>Setara Rupiah</t>
        </is>
      </c>
      <c r="B20" s="66">
        <f>SUM('📒 Jurnal'!$X$3:$X$152)*'⚙️ Setelan'!$B$8</f>
        <v/>
      </c>
    </row>
    <row r="22">
      <c r="A22" s="55" t="inlineStr">
        <is>
          <t>①  PER TIPE SETUP</t>
        </is>
      </c>
    </row>
    <row r="23">
      <c r="A23" s="8" t="inlineStr">
        <is>
          <t>Menjawab pertanyaan yang backtest Juli gantung: retest beneran lebih bagus dari first touch?</t>
        </is>
      </c>
    </row>
    <row r="24">
      <c r="A24" s="49" t="inlineStr">
        <is>
          <t>Kategori</t>
        </is>
      </c>
      <c r="B24" s="49" t="inlineStr">
        <is>
          <t>N</t>
        </is>
      </c>
      <c r="C24" s="49" t="inlineStr">
        <is>
          <t>Win %</t>
        </is>
      </c>
      <c r="D24" s="49" t="inlineStr">
        <is>
          <t>Exp R</t>
        </is>
      </c>
      <c r="E24" s="49" t="inlineStr">
        <is>
          <t>Total R</t>
        </is>
      </c>
      <c r="F24" s="49" t="inlineStr">
        <is>
          <t>Visual Exp R</t>
        </is>
      </c>
    </row>
    <row r="25">
      <c r="A25" s="52" t="inlineStr">
        <is>
          <t>First Touch</t>
        </is>
      </c>
      <c r="B25" s="67">
        <f>(COUNTIFS('📒 Jurnal'!$H$3:$H$152,$A25,'📒 Jurnal'!$Z$3:$Z$152,"Win",'📒 Jurnal'!$AQ$3:$AQ$152,1)+COUNTIFS('📒 Jurnal'!$H$3:$H$152,$A25,'📒 Jurnal'!$Z$3:$Z$152,"Loss",'📒 Jurnal'!$AQ$3:$AQ$152,1)+COUNTIFS('📒 Jurnal'!$H$3:$H$152,$A25,'📒 Jurnal'!$Z$3:$Z$152,"BE",'📒 Jurnal'!$AQ$3:$AQ$152,1))</f>
        <v/>
      </c>
      <c r="C25" s="45">
        <f>IFERROR(COUNTIFS('📒 Jurnal'!$H$3:$H$152,$A25,'📒 Jurnal'!$Z$3:$Z$152,"Win",'📒 Jurnal'!$AQ$3:$AQ$152,1)/(COUNTIFS('📒 Jurnal'!$H$3:$H$152,$A25,'📒 Jurnal'!$Z$3:$Z$152,"Win",'📒 Jurnal'!$AQ$3:$AQ$152,1)+COUNTIFS('📒 Jurnal'!$H$3:$H$152,$A25,'📒 Jurnal'!$Z$3:$Z$152,"Loss",'📒 Jurnal'!$AQ$3:$AQ$152,1)+COUNTIFS('📒 Jurnal'!$H$3:$H$152,$A25,'📒 Jurnal'!$Z$3:$Z$152,"BE",'📒 Jurnal'!$AQ$3:$AQ$152,1)),"")</f>
        <v/>
      </c>
      <c r="D25" s="44">
        <f>IFERROR(AVERAGEIFS('📒 Jurnal'!$Y$3:$Y$152,'📒 Jurnal'!$H$3:$H$152,$A25,'📒 Jurnal'!$AQ$3:$AQ$152,1),"")</f>
        <v/>
      </c>
      <c r="E25" s="44">
        <f>IFERROR(SUMIFS('📒 Jurnal'!$Y$3:$Y$152,'📒 Jurnal'!$H$3:$H$152,$A25,'📒 Jurnal'!$AQ$3:$AQ$152,1),"")</f>
        <v/>
      </c>
      <c r="F25" s="42">
        <f>IF($B25=0,"",IF($D25&gt;=0,REPT("▉",MIN(14,ROUND($D25*14,0))),REPT("▒",MIN(14,ROUND(-$D25*14,0)))))</f>
        <v/>
      </c>
    </row>
    <row r="26">
      <c r="A26" s="52" t="inlineStr">
        <is>
          <t>RBS Retest</t>
        </is>
      </c>
      <c r="B26" s="67">
        <f>(COUNTIFS('📒 Jurnal'!$H$3:$H$152,$A26,'📒 Jurnal'!$Z$3:$Z$152,"Win",'📒 Jurnal'!$AQ$3:$AQ$152,1)+COUNTIFS('📒 Jurnal'!$H$3:$H$152,$A26,'📒 Jurnal'!$Z$3:$Z$152,"Loss",'📒 Jurnal'!$AQ$3:$AQ$152,1)+COUNTIFS('📒 Jurnal'!$H$3:$H$152,$A26,'📒 Jurnal'!$Z$3:$Z$152,"BE",'📒 Jurnal'!$AQ$3:$AQ$152,1))</f>
        <v/>
      </c>
      <c r="C26" s="45">
        <f>IFERROR(COUNTIFS('📒 Jurnal'!$H$3:$H$152,$A26,'📒 Jurnal'!$Z$3:$Z$152,"Win",'📒 Jurnal'!$AQ$3:$AQ$152,1)/(COUNTIFS('📒 Jurnal'!$H$3:$H$152,$A26,'📒 Jurnal'!$Z$3:$Z$152,"Win",'📒 Jurnal'!$AQ$3:$AQ$152,1)+COUNTIFS('📒 Jurnal'!$H$3:$H$152,$A26,'📒 Jurnal'!$Z$3:$Z$152,"Loss",'📒 Jurnal'!$AQ$3:$AQ$152,1)+COUNTIFS('📒 Jurnal'!$H$3:$H$152,$A26,'📒 Jurnal'!$Z$3:$Z$152,"BE",'📒 Jurnal'!$AQ$3:$AQ$152,1)),"")</f>
        <v/>
      </c>
      <c r="D26" s="44">
        <f>IFERROR(AVERAGEIFS('📒 Jurnal'!$Y$3:$Y$152,'📒 Jurnal'!$H$3:$H$152,$A26,'📒 Jurnal'!$AQ$3:$AQ$152,1),"")</f>
        <v/>
      </c>
      <c r="E26" s="44">
        <f>IFERROR(SUMIFS('📒 Jurnal'!$Y$3:$Y$152,'📒 Jurnal'!$H$3:$H$152,$A26,'📒 Jurnal'!$AQ$3:$AQ$152,1),"")</f>
        <v/>
      </c>
      <c r="F26" s="42">
        <f>IF($B26=0,"",IF($D26&gt;=0,REPT("▉",MIN(14,ROUND($D26*14,0))),REPT("▒",MIN(14,ROUND(-$D26*14,0)))))</f>
        <v/>
      </c>
    </row>
    <row r="27">
      <c r="A27" s="52" t="inlineStr">
        <is>
          <t>SBR Retest</t>
        </is>
      </c>
      <c r="B27" s="67">
        <f>(COUNTIFS('📒 Jurnal'!$H$3:$H$152,$A27,'📒 Jurnal'!$Z$3:$Z$152,"Win",'📒 Jurnal'!$AQ$3:$AQ$152,1)+COUNTIFS('📒 Jurnal'!$H$3:$H$152,$A27,'📒 Jurnal'!$Z$3:$Z$152,"Loss",'📒 Jurnal'!$AQ$3:$AQ$152,1)+COUNTIFS('📒 Jurnal'!$H$3:$H$152,$A27,'📒 Jurnal'!$Z$3:$Z$152,"BE",'📒 Jurnal'!$AQ$3:$AQ$152,1))</f>
        <v/>
      </c>
      <c r="C27" s="45">
        <f>IFERROR(COUNTIFS('📒 Jurnal'!$H$3:$H$152,$A27,'📒 Jurnal'!$Z$3:$Z$152,"Win",'📒 Jurnal'!$AQ$3:$AQ$152,1)/(COUNTIFS('📒 Jurnal'!$H$3:$H$152,$A27,'📒 Jurnal'!$Z$3:$Z$152,"Win",'📒 Jurnal'!$AQ$3:$AQ$152,1)+COUNTIFS('📒 Jurnal'!$H$3:$H$152,$A27,'📒 Jurnal'!$Z$3:$Z$152,"Loss",'📒 Jurnal'!$AQ$3:$AQ$152,1)+COUNTIFS('📒 Jurnal'!$H$3:$H$152,$A27,'📒 Jurnal'!$Z$3:$Z$152,"BE",'📒 Jurnal'!$AQ$3:$AQ$152,1)),"")</f>
        <v/>
      </c>
      <c r="D27" s="44">
        <f>IFERROR(AVERAGEIFS('📒 Jurnal'!$Y$3:$Y$152,'📒 Jurnal'!$H$3:$H$152,$A27,'📒 Jurnal'!$AQ$3:$AQ$152,1),"")</f>
        <v/>
      </c>
      <c r="E27" s="44">
        <f>IFERROR(SUMIFS('📒 Jurnal'!$Y$3:$Y$152,'📒 Jurnal'!$H$3:$H$152,$A27,'📒 Jurnal'!$AQ$3:$AQ$152,1),"")</f>
        <v/>
      </c>
      <c r="F27" s="42">
        <f>IF($B27=0,"",IF($D27&gt;=0,REPT("▉",MIN(14,ROUND($D27*14,0))),REPT("▒",MIN(14,ROUND(-$D27*14,0)))))</f>
        <v/>
      </c>
    </row>
    <row r="28">
      <c r="A28" s="52" t="inlineStr">
        <is>
          <t>Lainnya</t>
        </is>
      </c>
      <c r="B28" s="67">
        <f>(COUNTIFS('📒 Jurnal'!$H$3:$H$152,$A28,'📒 Jurnal'!$Z$3:$Z$152,"Win",'📒 Jurnal'!$AQ$3:$AQ$152,1)+COUNTIFS('📒 Jurnal'!$H$3:$H$152,$A28,'📒 Jurnal'!$Z$3:$Z$152,"Loss",'📒 Jurnal'!$AQ$3:$AQ$152,1)+COUNTIFS('📒 Jurnal'!$H$3:$H$152,$A28,'📒 Jurnal'!$Z$3:$Z$152,"BE",'📒 Jurnal'!$AQ$3:$AQ$152,1))</f>
        <v/>
      </c>
      <c r="C28" s="45">
        <f>IFERROR(COUNTIFS('📒 Jurnal'!$H$3:$H$152,$A28,'📒 Jurnal'!$Z$3:$Z$152,"Win",'📒 Jurnal'!$AQ$3:$AQ$152,1)/(COUNTIFS('📒 Jurnal'!$H$3:$H$152,$A28,'📒 Jurnal'!$Z$3:$Z$152,"Win",'📒 Jurnal'!$AQ$3:$AQ$152,1)+COUNTIFS('📒 Jurnal'!$H$3:$H$152,$A28,'📒 Jurnal'!$Z$3:$Z$152,"Loss",'📒 Jurnal'!$AQ$3:$AQ$152,1)+COUNTIFS('📒 Jurnal'!$H$3:$H$152,$A28,'📒 Jurnal'!$Z$3:$Z$152,"BE",'📒 Jurnal'!$AQ$3:$AQ$152,1)),"")</f>
        <v/>
      </c>
      <c r="D28" s="44">
        <f>IFERROR(AVERAGEIFS('📒 Jurnal'!$Y$3:$Y$152,'📒 Jurnal'!$H$3:$H$152,$A28,'📒 Jurnal'!$AQ$3:$AQ$152,1),"")</f>
        <v/>
      </c>
      <c r="E28" s="44">
        <f>IFERROR(SUMIFS('📒 Jurnal'!$Y$3:$Y$152,'📒 Jurnal'!$H$3:$H$152,$A28,'📒 Jurnal'!$AQ$3:$AQ$152,1),"")</f>
        <v/>
      </c>
      <c r="F28" s="42">
        <f>IF($B28=0,"",IF($D28&gt;=0,REPT("▉",MIN(14,ROUND($D28*14,0))),REPT("▒",MIN(14,ROUND(-$D28*14,0)))))</f>
        <v/>
      </c>
    </row>
    <row r="30">
      <c r="A30" s="55" t="inlineStr">
        <is>
          <t>②  PER SESI</t>
        </is>
      </c>
    </row>
    <row r="31">
      <c r="A31" s="8" t="inlineStr">
        <is>
          <t>Kamu mulai 19:00 WIB. Sesi mana yang beneran bayar?</t>
        </is>
      </c>
    </row>
    <row r="32">
      <c r="A32" s="49" t="inlineStr">
        <is>
          <t>Kategori</t>
        </is>
      </c>
      <c r="B32" s="49" t="inlineStr">
        <is>
          <t>N</t>
        </is>
      </c>
      <c r="C32" s="49" t="inlineStr">
        <is>
          <t>Win %</t>
        </is>
      </c>
      <c r="D32" s="49" t="inlineStr">
        <is>
          <t>Exp R</t>
        </is>
      </c>
      <c r="E32" s="49" t="inlineStr">
        <is>
          <t>Total R</t>
        </is>
      </c>
      <c r="F32" s="49" t="inlineStr">
        <is>
          <t>Visual Exp R</t>
        </is>
      </c>
    </row>
    <row r="33">
      <c r="A33" s="52" t="inlineStr">
        <is>
          <t>London</t>
        </is>
      </c>
      <c r="B33" s="67">
        <f>(COUNTIFS('📒 Jurnal'!$E$3:$E$152,$A33,'📒 Jurnal'!$Z$3:$Z$152,"Win",'📒 Jurnal'!$AQ$3:$AQ$152,1)+COUNTIFS('📒 Jurnal'!$E$3:$E$152,$A33,'📒 Jurnal'!$Z$3:$Z$152,"Loss",'📒 Jurnal'!$AQ$3:$AQ$152,1)+COUNTIFS('📒 Jurnal'!$E$3:$E$152,$A33,'📒 Jurnal'!$Z$3:$Z$152,"BE",'📒 Jurnal'!$AQ$3:$AQ$152,1))</f>
        <v/>
      </c>
      <c r="C33" s="45">
        <f>IFERROR(COUNTIFS('📒 Jurnal'!$E$3:$E$152,$A33,'📒 Jurnal'!$Z$3:$Z$152,"Win",'📒 Jurnal'!$AQ$3:$AQ$152,1)/(COUNTIFS('📒 Jurnal'!$E$3:$E$152,$A33,'📒 Jurnal'!$Z$3:$Z$152,"Win",'📒 Jurnal'!$AQ$3:$AQ$152,1)+COUNTIFS('📒 Jurnal'!$E$3:$E$152,$A33,'📒 Jurnal'!$Z$3:$Z$152,"Loss",'📒 Jurnal'!$AQ$3:$AQ$152,1)+COUNTIFS('📒 Jurnal'!$E$3:$E$152,$A33,'📒 Jurnal'!$Z$3:$Z$152,"BE",'📒 Jurnal'!$AQ$3:$AQ$152,1)),"")</f>
        <v/>
      </c>
      <c r="D33" s="44">
        <f>IFERROR(AVERAGEIFS('📒 Jurnal'!$Y$3:$Y$152,'📒 Jurnal'!$E$3:$E$152,$A33,'📒 Jurnal'!$AQ$3:$AQ$152,1),"")</f>
        <v/>
      </c>
      <c r="E33" s="44">
        <f>IFERROR(SUMIFS('📒 Jurnal'!$Y$3:$Y$152,'📒 Jurnal'!$E$3:$E$152,$A33,'📒 Jurnal'!$AQ$3:$AQ$152,1),"")</f>
        <v/>
      </c>
      <c r="F33" s="42">
        <f>IF($B33=0,"",IF($D33&gt;=0,REPT("▉",MIN(14,ROUND($D33*14,0))),REPT("▒",MIN(14,ROUND(-$D33*14,0)))))</f>
        <v/>
      </c>
    </row>
    <row r="34">
      <c r="A34" s="52" t="inlineStr">
        <is>
          <t>Overlap LDN+NY</t>
        </is>
      </c>
      <c r="B34" s="67">
        <f>(COUNTIFS('📒 Jurnal'!$E$3:$E$152,$A34,'📒 Jurnal'!$Z$3:$Z$152,"Win",'📒 Jurnal'!$AQ$3:$AQ$152,1)+COUNTIFS('📒 Jurnal'!$E$3:$E$152,$A34,'📒 Jurnal'!$Z$3:$Z$152,"Loss",'📒 Jurnal'!$AQ$3:$AQ$152,1)+COUNTIFS('📒 Jurnal'!$E$3:$E$152,$A34,'📒 Jurnal'!$Z$3:$Z$152,"BE",'📒 Jurnal'!$AQ$3:$AQ$152,1))</f>
        <v/>
      </c>
      <c r="C34" s="45">
        <f>IFERROR(COUNTIFS('📒 Jurnal'!$E$3:$E$152,$A34,'📒 Jurnal'!$Z$3:$Z$152,"Win",'📒 Jurnal'!$AQ$3:$AQ$152,1)/(COUNTIFS('📒 Jurnal'!$E$3:$E$152,$A34,'📒 Jurnal'!$Z$3:$Z$152,"Win",'📒 Jurnal'!$AQ$3:$AQ$152,1)+COUNTIFS('📒 Jurnal'!$E$3:$E$152,$A34,'📒 Jurnal'!$Z$3:$Z$152,"Loss",'📒 Jurnal'!$AQ$3:$AQ$152,1)+COUNTIFS('📒 Jurnal'!$E$3:$E$152,$A34,'📒 Jurnal'!$Z$3:$Z$152,"BE",'📒 Jurnal'!$AQ$3:$AQ$152,1)),"")</f>
        <v/>
      </c>
      <c r="D34" s="44">
        <f>IFERROR(AVERAGEIFS('📒 Jurnal'!$Y$3:$Y$152,'📒 Jurnal'!$E$3:$E$152,$A34,'📒 Jurnal'!$AQ$3:$AQ$152,1),"")</f>
        <v/>
      </c>
      <c r="E34" s="44">
        <f>IFERROR(SUMIFS('📒 Jurnal'!$Y$3:$Y$152,'📒 Jurnal'!$E$3:$E$152,$A34,'📒 Jurnal'!$AQ$3:$AQ$152,1),"")</f>
        <v/>
      </c>
      <c r="F34" s="42">
        <f>IF($B34=0,"",IF($D34&gt;=0,REPT("▉",MIN(14,ROUND($D34*14,0))),REPT("▒",MIN(14,ROUND(-$D34*14,0)))))</f>
        <v/>
      </c>
    </row>
    <row r="35">
      <c r="A35" s="52" t="inlineStr">
        <is>
          <t>New York</t>
        </is>
      </c>
      <c r="B35" s="67">
        <f>(COUNTIFS('📒 Jurnal'!$E$3:$E$152,$A35,'📒 Jurnal'!$Z$3:$Z$152,"Win",'📒 Jurnal'!$AQ$3:$AQ$152,1)+COUNTIFS('📒 Jurnal'!$E$3:$E$152,$A35,'📒 Jurnal'!$Z$3:$Z$152,"Loss",'📒 Jurnal'!$AQ$3:$AQ$152,1)+COUNTIFS('📒 Jurnal'!$E$3:$E$152,$A35,'📒 Jurnal'!$Z$3:$Z$152,"BE",'📒 Jurnal'!$AQ$3:$AQ$152,1))</f>
        <v/>
      </c>
      <c r="C35" s="45">
        <f>IFERROR(COUNTIFS('📒 Jurnal'!$E$3:$E$152,$A35,'📒 Jurnal'!$Z$3:$Z$152,"Win",'📒 Jurnal'!$AQ$3:$AQ$152,1)/(COUNTIFS('📒 Jurnal'!$E$3:$E$152,$A35,'📒 Jurnal'!$Z$3:$Z$152,"Win",'📒 Jurnal'!$AQ$3:$AQ$152,1)+COUNTIFS('📒 Jurnal'!$E$3:$E$152,$A35,'📒 Jurnal'!$Z$3:$Z$152,"Loss",'📒 Jurnal'!$AQ$3:$AQ$152,1)+COUNTIFS('📒 Jurnal'!$E$3:$E$152,$A35,'📒 Jurnal'!$Z$3:$Z$152,"BE",'📒 Jurnal'!$AQ$3:$AQ$152,1)),"")</f>
        <v/>
      </c>
      <c r="D35" s="44">
        <f>IFERROR(AVERAGEIFS('📒 Jurnal'!$Y$3:$Y$152,'📒 Jurnal'!$E$3:$E$152,$A35,'📒 Jurnal'!$AQ$3:$AQ$152,1),"")</f>
        <v/>
      </c>
      <c r="E35" s="44">
        <f>IFERROR(SUMIFS('📒 Jurnal'!$Y$3:$Y$152,'📒 Jurnal'!$E$3:$E$152,$A35,'📒 Jurnal'!$AQ$3:$AQ$152,1),"")</f>
        <v/>
      </c>
      <c r="F35" s="42">
        <f>IF($B35=0,"",IF($D35&gt;=0,REPT("▉",MIN(14,ROUND($D35*14,0))),REPT("▒",MIN(14,ROUND(-$D35*14,0)))))</f>
        <v/>
      </c>
    </row>
    <row r="36">
      <c r="A36" s="52" t="inlineStr">
        <is>
          <t>Asia</t>
        </is>
      </c>
      <c r="B36" s="67">
        <f>(COUNTIFS('📒 Jurnal'!$E$3:$E$152,$A36,'📒 Jurnal'!$Z$3:$Z$152,"Win",'📒 Jurnal'!$AQ$3:$AQ$152,1)+COUNTIFS('📒 Jurnal'!$E$3:$E$152,$A36,'📒 Jurnal'!$Z$3:$Z$152,"Loss",'📒 Jurnal'!$AQ$3:$AQ$152,1)+COUNTIFS('📒 Jurnal'!$E$3:$E$152,$A36,'📒 Jurnal'!$Z$3:$Z$152,"BE",'📒 Jurnal'!$AQ$3:$AQ$152,1))</f>
        <v/>
      </c>
      <c r="C36" s="45">
        <f>IFERROR(COUNTIFS('📒 Jurnal'!$E$3:$E$152,$A36,'📒 Jurnal'!$Z$3:$Z$152,"Win",'📒 Jurnal'!$AQ$3:$AQ$152,1)/(COUNTIFS('📒 Jurnal'!$E$3:$E$152,$A36,'📒 Jurnal'!$Z$3:$Z$152,"Win",'📒 Jurnal'!$AQ$3:$AQ$152,1)+COUNTIFS('📒 Jurnal'!$E$3:$E$152,$A36,'📒 Jurnal'!$Z$3:$Z$152,"Loss",'📒 Jurnal'!$AQ$3:$AQ$152,1)+COUNTIFS('📒 Jurnal'!$E$3:$E$152,$A36,'📒 Jurnal'!$Z$3:$Z$152,"BE",'📒 Jurnal'!$AQ$3:$AQ$152,1)),"")</f>
        <v/>
      </c>
      <c r="D36" s="44">
        <f>IFERROR(AVERAGEIFS('📒 Jurnal'!$Y$3:$Y$152,'📒 Jurnal'!$E$3:$E$152,$A36,'📒 Jurnal'!$AQ$3:$AQ$152,1),"")</f>
        <v/>
      </c>
      <c r="E36" s="44">
        <f>IFERROR(SUMIFS('📒 Jurnal'!$Y$3:$Y$152,'📒 Jurnal'!$E$3:$E$152,$A36,'📒 Jurnal'!$AQ$3:$AQ$152,1),"")</f>
        <v/>
      </c>
      <c r="F36" s="42">
        <f>IF($B36=0,"",IF($D36&gt;=0,REPT("▉",MIN(14,ROUND($D36*14,0))),REPT("▒",MIN(14,ROUND(-$D36*14,0)))))</f>
        <v/>
      </c>
    </row>
    <row r="38">
      <c r="A38" s="55" t="inlineStr">
        <is>
          <t>③  PER EMOSI SEBELUM ENTRY</t>
        </is>
      </c>
    </row>
    <row r="39">
      <c r="A39" s="8" t="inlineStr">
        <is>
          <t>Ini yang paling sering mengubah hasil orang. Lihat selisih Tenang vs FOMO.</t>
        </is>
      </c>
    </row>
    <row r="40">
      <c r="A40" s="49" t="inlineStr">
        <is>
          <t>Kategori</t>
        </is>
      </c>
      <c r="B40" s="49" t="inlineStr">
        <is>
          <t>N</t>
        </is>
      </c>
      <c r="C40" s="49" t="inlineStr">
        <is>
          <t>Win %</t>
        </is>
      </c>
      <c r="D40" s="49" t="inlineStr">
        <is>
          <t>Exp R</t>
        </is>
      </c>
      <c r="E40" s="49" t="inlineStr">
        <is>
          <t>Total R</t>
        </is>
      </c>
      <c r="F40" s="49" t="inlineStr">
        <is>
          <t>Visual Exp R</t>
        </is>
      </c>
    </row>
    <row r="41">
      <c r="A41" s="52" t="inlineStr">
        <is>
          <t>Tenang</t>
        </is>
      </c>
      <c r="B41" s="67">
        <f>(COUNTIFS('📒 Jurnal'!$AF$3:$AF$152,$A41,'📒 Jurnal'!$Z$3:$Z$152,"Win",'📒 Jurnal'!$AQ$3:$AQ$152,1)+COUNTIFS('📒 Jurnal'!$AF$3:$AF$152,$A41,'📒 Jurnal'!$Z$3:$Z$152,"Loss",'📒 Jurnal'!$AQ$3:$AQ$152,1)+COUNTIFS('📒 Jurnal'!$AF$3:$AF$152,$A41,'📒 Jurnal'!$Z$3:$Z$152,"BE",'📒 Jurnal'!$AQ$3:$AQ$152,1))</f>
        <v/>
      </c>
      <c r="C41" s="45">
        <f>IFERROR(COUNTIFS('📒 Jurnal'!$AF$3:$AF$152,$A41,'📒 Jurnal'!$Z$3:$Z$152,"Win",'📒 Jurnal'!$AQ$3:$AQ$152,1)/(COUNTIFS('📒 Jurnal'!$AF$3:$AF$152,$A41,'📒 Jurnal'!$Z$3:$Z$152,"Win",'📒 Jurnal'!$AQ$3:$AQ$152,1)+COUNTIFS('📒 Jurnal'!$AF$3:$AF$152,$A41,'📒 Jurnal'!$Z$3:$Z$152,"Loss",'📒 Jurnal'!$AQ$3:$AQ$152,1)+COUNTIFS('📒 Jurnal'!$AF$3:$AF$152,$A41,'📒 Jurnal'!$Z$3:$Z$152,"BE",'📒 Jurnal'!$AQ$3:$AQ$152,1)),"")</f>
        <v/>
      </c>
      <c r="D41" s="44">
        <f>IFERROR(AVERAGEIFS('📒 Jurnal'!$Y$3:$Y$152,'📒 Jurnal'!$AF$3:$AF$152,$A41,'📒 Jurnal'!$AQ$3:$AQ$152,1),"")</f>
        <v/>
      </c>
      <c r="E41" s="44">
        <f>IFERROR(SUMIFS('📒 Jurnal'!$Y$3:$Y$152,'📒 Jurnal'!$AF$3:$AF$152,$A41,'📒 Jurnal'!$AQ$3:$AQ$152,1),"")</f>
        <v/>
      </c>
      <c r="F41" s="42">
        <f>IF($B41=0,"",IF($D41&gt;=0,REPT("▉",MIN(14,ROUND($D41*14,0))),REPT("▒",MIN(14,ROUND(-$D41*14,0)))))</f>
        <v/>
      </c>
    </row>
    <row r="42">
      <c r="A42" s="52" t="inlineStr">
        <is>
          <t>FOMO</t>
        </is>
      </c>
      <c r="B42" s="67">
        <f>(COUNTIFS('📒 Jurnal'!$AF$3:$AF$152,$A42,'📒 Jurnal'!$Z$3:$Z$152,"Win",'📒 Jurnal'!$AQ$3:$AQ$152,1)+COUNTIFS('📒 Jurnal'!$AF$3:$AF$152,$A42,'📒 Jurnal'!$Z$3:$Z$152,"Loss",'📒 Jurnal'!$AQ$3:$AQ$152,1)+COUNTIFS('📒 Jurnal'!$AF$3:$AF$152,$A42,'📒 Jurnal'!$Z$3:$Z$152,"BE",'📒 Jurnal'!$AQ$3:$AQ$152,1))</f>
        <v/>
      </c>
      <c r="C42" s="45">
        <f>IFERROR(COUNTIFS('📒 Jurnal'!$AF$3:$AF$152,$A42,'📒 Jurnal'!$Z$3:$Z$152,"Win",'📒 Jurnal'!$AQ$3:$AQ$152,1)/(COUNTIFS('📒 Jurnal'!$AF$3:$AF$152,$A42,'📒 Jurnal'!$Z$3:$Z$152,"Win",'📒 Jurnal'!$AQ$3:$AQ$152,1)+COUNTIFS('📒 Jurnal'!$AF$3:$AF$152,$A42,'📒 Jurnal'!$Z$3:$Z$152,"Loss",'📒 Jurnal'!$AQ$3:$AQ$152,1)+COUNTIFS('📒 Jurnal'!$AF$3:$AF$152,$A42,'📒 Jurnal'!$Z$3:$Z$152,"BE",'📒 Jurnal'!$AQ$3:$AQ$152,1)),"")</f>
        <v/>
      </c>
      <c r="D42" s="44">
        <f>IFERROR(AVERAGEIFS('📒 Jurnal'!$Y$3:$Y$152,'📒 Jurnal'!$AF$3:$AF$152,$A42,'📒 Jurnal'!$AQ$3:$AQ$152,1),"")</f>
        <v/>
      </c>
      <c r="E42" s="44">
        <f>IFERROR(SUMIFS('📒 Jurnal'!$Y$3:$Y$152,'📒 Jurnal'!$AF$3:$AF$152,$A42,'📒 Jurnal'!$AQ$3:$AQ$152,1),"")</f>
        <v/>
      </c>
      <c r="F42" s="42">
        <f>IF($B42=0,"",IF($D42&gt;=0,REPT("▉",MIN(14,ROUND($D42*14,0))),REPT("▒",MIN(14,ROUND(-$D42*14,0)))))</f>
        <v/>
      </c>
    </row>
    <row r="43">
      <c r="A43" s="52" t="inlineStr">
        <is>
          <t>Balas dendam</t>
        </is>
      </c>
      <c r="B43" s="67">
        <f>(COUNTIFS('📒 Jurnal'!$AF$3:$AF$152,$A43,'📒 Jurnal'!$Z$3:$Z$152,"Win",'📒 Jurnal'!$AQ$3:$AQ$152,1)+COUNTIFS('📒 Jurnal'!$AF$3:$AF$152,$A43,'📒 Jurnal'!$Z$3:$Z$152,"Loss",'📒 Jurnal'!$AQ$3:$AQ$152,1)+COUNTIFS('📒 Jurnal'!$AF$3:$AF$152,$A43,'📒 Jurnal'!$Z$3:$Z$152,"BE",'📒 Jurnal'!$AQ$3:$AQ$152,1))</f>
        <v/>
      </c>
      <c r="C43" s="45">
        <f>IFERROR(COUNTIFS('📒 Jurnal'!$AF$3:$AF$152,$A43,'📒 Jurnal'!$Z$3:$Z$152,"Win",'📒 Jurnal'!$AQ$3:$AQ$152,1)/(COUNTIFS('📒 Jurnal'!$AF$3:$AF$152,$A43,'📒 Jurnal'!$Z$3:$Z$152,"Win",'📒 Jurnal'!$AQ$3:$AQ$152,1)+COUNTIFS('📒 Jurnal'!$AF$3:$AF$152,$A43,'📒 Jurnal'!$Z$3:$Z$152,"Loss",'📒 Jurnal'!$AQ$3:$AQ$152,1)+COUNTIFS('📒 Jurnal'!$AF$3:$AF$152,$A43,'📒 Jurnal'!$Z$3:$Z$152,"BE",'📒 Jurnal'!$AQ$3:$AQ$152,1)),"")</f>
        <v/>
      </c>
      <c r="D43" s="44">
        <f>IFERROR(AVERAGEIFS('📒 Jurnal'!$Y$3:$Y$152,'📒 Jurnal'!$AF$3:$AF$152,$A43,'📒 Jurnal'!$AQ$3:$AQ$152,1),"")</f>
        <v/>
      </c>
      <c r="E43" s="44">
        <f>IFERROR(SUMIFS('📒 Jurnal'!$Y$3:$Y$152,'📒 Jurnal'!$AF$3:$AF$152,$A43,'📒 Jurnal'!$AQ$3:$AQ$152,1),"")</f>
        <v/>
      </c>
      <c r="F43" s="42">
        <f>IF($B43=0,"",IF($D43&gt;=0,REPT("▉",MIN(14,ROUND($D43*14,0))),REPT("▒",MIN(14,ROUND(-$D43*14,0)))))</f>
        <v/>
      </c>
    </row>
    <row r="44">
      <c r="A44" s="52" t="inlineStr">
        <is>
          <t>Ragu</t>
        </is>
      </c>
      <c r="B44" s="67">
        <f>(COUNTIFS('📒 Jurnal'!$AF$3:$AF$152,$A44,'📒 Jurnal'!$Z$3:$Z$152,"Win",'📒 Jurnal'!$AQ$3:$AQ$152,1)+COUNTIFS('📒 Jurnal'!$AF$3:$AF$152,$A44,'📒 Jurnal'!$Z$3:$Z$152,"Loss",'📒 Jurnal'!$AQ$3:$AQ$152,1)+COUNTIFS('📒 Jurnal'!$AF$3:$AF$152,$A44,'📒 Jurnal'!$Z$3:$Z$152,"BE",'📒 Jurnal'!$AQ$3:$AQ$152,1))</f>
        <v/>
      </c>
      <c r="C44" s="45">
        <f>IFERROR(COUNTIFS('📒 Jurnal'!$AF$3:$AF$152,$A44,'📒 Jurnal'!$Z$3:$Z$152,"Win",'📒 Jurnal'!$AQ$3:$AQ$152,1)/(COUNTIFS('📒 Jurnal'!$AF$3:$AF$152,$A44,'📒 Jurnal'!$Z$3:$Z$152,"Win",'📒 Jurnal'!$AQ$3:$AQ$152,1)+COUNTIFS('📒 Jurnal'!$AF$3:$AF$152,$A44,'📒 Jurnal'!$Z$3:$Z$152,"Loss",'📒 Jurnal'!$AQ$3:$AQ$152,1)+COUNTIFS('📒 Jurnal'!$AF$3:$AF$152,$A44,'📒 Jurnal'!$Z$3:$Z$152,"BE",'📒 Jurnal'!$AQ$3:$AQ$152,1)),"")</f>
        <v/>
      </c>
      <c r="D44" s="44">
        <f>IFERROR(AVERAGEIFS('📒 Jurnal'!$Y$3:$Y$152,'📒 Jurnal'!$AF$3:$AF$152,$A44,'📒 Jurnal'!$AQ$3:$AQ$152,1),"")</f>
        <v/>
      </c>
      <c r="E44" s="44">
        <f>IFERROR(SUMIFS('📒 Jurnal'!$Y$3:$Y$152,'📒 Jurnal'!$AF$3:$AF$152,$A44,'📒 Jurnal'!$AQ$3:$AQ$152,1),"")</f>
        <v/>
      </c>
      <c r="F44" s="42">
        <f>IF($B44=0,"",IF($D44&gt;=0,REPT("▉",MIN(14,ROUND($D44*14,0))),REPT("▒",MIN(14,ROUND(-$D44*14,0)))))</f>
        <v/>
      </c>
    </row>
    <row r="45">
      <c r="A45" s="52" t="inlineStr">
        <is>
          <t>Overconfident</t>
        </is>
      </c>
      <c r="B45" s="67">
        <f>(COUNTIFS('📒 Jurnal'!$AF$3:$AF$152,$A45,'📒 Jurnal'!$Z$3:$Z$152,"Win",'📒 Jurnal'!$AQ$3:$AQ$152,1)+COUNTIFS('📒 Jurnal'!$AF$3:$AF$152,$A45,'📒 Jurnal'!$Z$3:$Z$152,"Loss",'📒 Jurnal'!$AQ$3:$AQ$152,1)+COUNTIFS('📒 Jurnal'!$AF$3:$AF$152,$A45,'📒 Jurnal'!$Z$3:$Z$152,"BE",'📒 Jurnal'!$AQ$3:$AQ$152,1))</f>
        <v/>
      </c>
      <c r="C45" s="45">
        <f>IFERROR(COUNTIFS('📒 Jurnal'!$AF$3:$AF$152,$A45,'📒 Jurnal'!$Z$3:$Z$152,"Win",'📒 Jurnal'!$AQ$3:$AQ$152,1)/(COUNTIFS('📒 Jurnal'!$AF$3:$AF$152,$A45,'📒 Jurnal'!$Z$3:$Z$152,"Win",'📒 Jurnal'!$AQ$3:$AQ$152,1)+COUNTIFS('📒 Jurnal'!$AF$3:$AF$152,$A45,'📒 Jurnal'!$Z$3:$Z$152,"Loss",'📒 Jurnal'!$AQ$3:$AQ$152,1)+COUNTIFS('📒 Jurnal'!$AF$3:$AF$152,$A45,'📒 Jurnal'!$Z$3:$Z$152,"BE",'📒 Jurnal'!$AQ$3:$AQ$152,1)),"")</f>
        <v/>
      </c>
      <c r="D45" s="44">
        <f>IFERROR(AVERAGEIFS('📒 Jurnal'!$Y$3:$Y$152,'📒 Jurnal'!$AF$3:$AF$152,$A45,'📒 Jurnal'!$AQ$3:$AQ$152,1),"")</f>
        <v/>
      </c>
      <c r="E45" s="44">
        <f>IFERROR(SUMIFS('📒 Jurnal'!$Y$3:$Y$152,'📒 Jurnal'!$AF$3:$AF$152,$A45,'📒 Jurnal'!$AQ$3:$AQ$152,1),"")</f>
        <v/>
      </c>
      <c r="F45" s="42">
        <f>IF($B45=0,"",IF($D45&gt;=0,REPT("▉",MIN(14,ROUND($D45*14,0))),REPT("▒",MIN(14,ROUND(-$D45*14,0)))))</f>
        <v/>
      </c>
    </row>
    <row r="46">
      <c r="A46" s="52" t="inlineStr">
        <is>
          <t>Bosan</t>
        </is>
      </c>
      <c r="B46" s="67">
        <f>(COUNTIFS('📒 Jurnal'!$AF$3:$AF$152,$A46,'📒 Jurnal'!$Z$3:$Z$152,"Win",'📒 Jurnal'!$AQ$3:$AQ$152,1)+COUNTIFS('📒 Jurnal'!$AF$3:$AF$152,$A46,'📒 Jurnal'!$Z$3:$Z$152,"Loss",'📒 Jurnal'!$AQ$3:$AQ$152,1)+COUNTIFS('📒 Jurnal'!$AF$3:$AF$152,$A46,'📒 Jurnal'!$Z$3:$Z$152,"BE",'📒 Jurnal'!$AQ$3:$AQ$152,1))</f>
        <v/>
      </c>
      <c r="C46" s="45">
        <f>IFERROR(COUNTIFS('📒 Jurnal'!$AF$3:$AF$152,$A46,'📒 Jurnal'!$Z$3:$Z$152,"Win",'📒 Jurnal'!$AQ$3:$AQ$152,1)/(COUNTIFS('📒 Jurnal'!$AF$3:$AF$152,$A46,'📒 Jurnal'!$Z$3:$Z$152,"Win",'📒 Jurnal'!$AQ$3:$AQ$152,1)+COUNTIFS('📒 Jurnal'!$AF$3:$AF$152,$A46,'📒 Jurnal'!$Z$3:$Z$152,"Loss",'📒 Jurnal'!$AQ$3:$AQ$152,1)+COUNTIFS('📒 Jurnal'!$AF$3:$AF$152,$A46,'📒 Jurnal'!$Z$3:$Z$152,"BE",'📒 Jurnal'!$AQ$3:$AQ$152,1)),"")</f>
        <v/>
      </c>
      <c r="D46" s="44">
        <f>IFERROR(AVERAGEIFS('📒 Jurnal'!$Y$3:$Y$152,'📒 Jurnal'!$AF$3:$AF$152,$A46,'📒 Jurnal'!$AQ$3:$AQ$152,1),"")</f>
        <v/>
      </c>
      <c r="E46" s="44">
        <f>IFERROR(SUMIFS('📒 Jurnal'!$Y$3:$Y$152,'📒 Jurnal'!$AF$3:$AF$152,$A46,'📒 Jurnal'!$AQ$3:$AQ$152,1),"")</f>
        <v/>
      </c>
      <c r="F46" s="42">
        <f>IF($B46=0,"",IF($D46&gt;=0,REPT("▉",MIN(14,ROUND($D46*14,0))),REPT("▒",MIN(14,ROUND(-$D46*14,0)))))</f>
        <v/>
      </c>
    </row>
    <row r="48">
      <c r="A48" s="55" t="inlineStr">
        <is>
          <t>④  PER KONDISI FISIK</t>
        </is>
      </c>
    </row>
    <row r="49">
      <c r="A49" s="8" t="inlineStr">
        <is>
          <t>Kamu trading malam setelah kerja 9–5. Cek apakah 'Capek' punya harga.</t>
        </is>
      </c>
    </row>
    <row r="50">
      <c r="A50" s="49" t="inlineStr">
        <is>
          <t>Kategori</t>
        </is>
      </c>
      <c r="B50" s="49" t="inlineStr">
        <is>
          <t>N</t>
        </is>
      </c>
      <c r="C50" s="49" t="inlineStr">
        <is>
          <t>Win %</t>
        </is>
      </c>
      <c r="D50" s="49" t="inlineStr">
        <is>
          <t>Exp R</t>
        </is>
      </c>
      <c r="E50" s="49" t="inlineStr">
        <is>
          <t>Total R</t>
        </is>
      </c>
      <c r="F50" s="49" t="inlineStr">
        <is>
          <t>Visual Exp R</t>
        </is>
      </c>
    </row>
    <row r="51">
      <c r="A51" s="52" t="inlineStr">
        <is>
          <t>Segar</t>
        </is>
      </c>
      <c r="B51" s="67">
        <f>(COUNTIFS('📒 Jurnal'!$AG$3:$AG$152,$A51,'📒 Jurnal'!$Z$3:$Z$152,"Win",'📒 Jurnal'!$AQ$3:$AQ$152,1)+COUNTIFS('📒 Jurnal'!$AG$3:$AG$152,$A51,'📒 Jurnal'!$Z$3:$Z$152,"Loss",'📒 Jurnal'!$AQ$3:$AQ$152,1)+COUNTIFS('📒 Jurnal'!$AG$3:$AG$152,$A51,'📒 Jurnal'!$Z$3:$Z$152,"BE",'📒 Jurnal'!$AQ$3:$AQ$152,1))</f>
        <v/>
      </c>
      <c r="C51" s="45">
        <f>IFERROR(COUNTIFS('📒 Jurnal'!$AG$3:$AG$152,$A51,'📒 Jurnal'!$Z$3:$Z$152,"Win",'📒 Jurnal'!$AQ$3:$AQ$152,1)/(COUNTIFS('📒 Jurnal'!$AG$3:$AG$152,$A51,'📒 Jurnal'!$Z$3:$Z$152,"Win",'📒 Jurnal'!$AQ$3:$AQ$152,1)+COUNTIFS('📒 Jurnal'!$AG$3:$AG$152,$A51,'📒 Jurnal'!$Z$3:$Z$152,"Loss",'📒 Jurnal'!$AQ$3:$AQ$152,1)+COUNTIFS('📒 Jurnal'!$AG$3:$AG$152,$A51,'📒 Jurnal'!$Z$3:$Z$152,"BE",'📒 Jurnal'!$AQ$3:$AQ$152,1)),"")</f>
        <v/>
      </c>
      <c r="D51" s="44">
        <f>IFERROR(AVERAGEIFS('📒 Jurnal'!$Y$3:$Y$152,'📒 Jurnal'!$AG$3:$AG$152,$A51,'📒 Jurnal'!$AQ$3:$AQ$152,1),"")</f>
        <v/>
      </c>
      <c r="E51" s="44">
        <f>IFERROR(SUMIFS('📒 Jurnal'!$Y$3:$Y$152,'📒 Jurnal'!$AG$3:$AG$152,$A51,'📒 Jurnal'!$AQ$3:$AQ$152,1),"")</f>
        <v/>
      </c>
      <c r="F51" s="42">
        <f>IF($B51=0,"",IF($D51&gt;=0,REPT("▉",MIN(14,ROUND($D51*14,0))),REPT("▒",MIN(14,ROUND(-$D51*14,0)))))</f>
        <v/>
      </c>
    </row>
    <row r="52">
      <c r="A52" s="52" t="inlineStr">
        <is>
          <t>Biasa</t>
        </is>
      </c>
      <c r="B52" s="67">
        <f>(COUNTIFS('📒 Jurnal'!$AG$3:$AG$152,$A52,'📒 Jurnal'!$Z$3:$Z$152,"Win",'📒 Jurnal'!$AQ$3:$AQ$152,1)+COUNTIFS('📒 Jurnal'!$AG$3:$AG$152,$A52,'📒 Jurnal'!$Z$3:$Z$152,"Loss",'📒 Jurnal'!$AQ$3:$AQ$152,1)+COUNTIFS('📒 Jurnal'!$AG$3:$AG$152,$A52,'📒 Jurnal'!$Z$3:$Z$152,"BE",'📒 Jurnal'!$AQ$3:$AQ$152,1))</f>
        <v/>
      </c>
      <c r="C52" s="45">
        <f>IFERROR(COUNTIFS('📒 Jurnal'!$AG$3:$AG$152,$A52,'📒 Jurnal'!$Z$3:$Z$152,"Win",'📒 Jurnal'!$AQ$3:$AQ$152,1)/(COUNTIFS('📒 Jurnal'!$AG$3:$AG$152,$A52,'📒 Jurnal'!$Z$3:$Z$152,"Win",'📒 Jurnal'!$AQ$3:$AQ$152,1)+COUNTIFS('📒 Jurnal'!$AG$3:$AG$152,$A52,'📒 Jurnal'!$Z$3:$Z$152,"Loss",'📒 Jurnal'!$AQ$3:$AQ$152,1)+COUNTIFS('📒 Jurnal'!$AG$3:$AG$152,$A52,'📒 Jurnal'!$Z$3:$Z$152,"BE",'📒 Jurnal'!$AQ$3:$AQ$152,1)),"")</f>
        <v/>
      </c>
      <c r="D52" s="44">
        <f>IFERROR(AVERAGEIFS('📒 Jurnal'!$Y$3:$Y$152,'📒 Jurnal'!$AG$3:$AG$152,$A52,'📒 Jurnal'!$AQ$3:$AQ$152,1),"")</f>
        <v/>
      </c>
      <c r="E52" s="44">
        <f>IFERROR(SUMIFS('📒 Jurnal'!$Y$3:$Y$152,'📒 Jurnal'!$AG$3:$AG$152,$A52,'📒 Jurnal'!$AQ$3:$AQ$152,1),"")</f>
        <v/>
      </c>
      <c r="F52" s="42">
        <f>IF($B52=0,"",IF($D52&gt;=0,REPT("▉",MIN(14,ROUND($D52*14,0))),REPT("▒",MIN(14,ROUND(-$D52*14,0)))))</f>
        <v/>
      </c>
    </row>
    <row r="53">
      <c r="A53" s="52" t="inlineStr">
        <is>
          <t>Capek</t>
        </is>
      </c>
      <c r="B53" s="67">
        <f>(COUNTIFS('📒 Jurnal'!$AG$3:$AG$152,$A53,'📒 Jurnal'!$Z$3:$Z$152,"Win",'📒 Jurnal'!$AQ$3:$AQ$152,1)+COUNTIFS('📒 Jurnal'!$AG$3:$AG$152,$A53,'📒 Jurnal'!$Z$3:$Z$152,"Loss",'📒 Jurnal'!$AQ$3:$AQ$152,1)+COUNTIFS('📒 Jurnal'!$AG$3:$AG$152,$A53,'📒 Jurnal'!$Z$3:$Z$152,"BE",'📒 Jurnal'!$AQ$3:$AQ$152,1))</f>
        <v/>
      </c>
      <c r="C53" s="45">
        <f>IFERROR(COUNTIFS('📒 Jurnal'!$AG$3:$AG$152,$A53,'📒 Jurnal'!$Z$3:$Z$152,"Win",'📒 Jurnal'!$AQ$3:$AQ$152,1)/(COUNTIFS('📒 Jurnal'!$AG$3:$AG$152,$A53,'📒 Jurnal'!$Z$3:$Z$152,"Win",'📒 Jurnal'!$AQ$3:$AQ$152,1)+COUNTIFS('📒 Jurnal'!$AG$3:$AG$152,$A53,'📒 Jurnal'!$Z$3:$Z$152,"Loss",'📒 Jurnal'!$AQ$3:$AQ$152,1)+COUNTIFS('📒 Jurnal'!$AG$3:$AG$152,$A53,'📒 Jurnal'!$Z$3:$Z$152,"BE",'📒 Jurnal'!$AQ$3:$AQ$152,1)),"")</f>
        <v/>
      </c>
      <c r="D53" s="44">
        <f>IFERROR(AVERAGEIFS('📒 Jurnal'!$Y$3:$Y$152,'📒 Jurnal'!$AG$3:$AG$152,$A53,'📒 Jurnal'!$AQ$3:$AQ$152,1),"")</f>
        <v/>
      </c>
      <c r="E53" s="44">
        <f>IFERROR(SUMIFS('📒 Jurnal'!$Y$3:$Y$152,'📒 Jurnal'!$AG$3:$AG$152,$A53,'📒 Jurnal'!$AQ$3:$AQ$152,1),"")</f>
        <v/>
      </c>
      <c r="F53" s="42">
        <f>IF($B53=0,"",IF($D53&gt;=0,REPT("▉",MIN(14,ROUND($D53*14,0))),REPT("▒",MIN(14,ROUND(-$D53*14,0)))))</f>
        <v/>
      </c>
    </row>
    <row r="54">
      <c r="A54" s="52" t="inlineStr">
        <is>
          <t>Ngantuk</t>
        </is>
      </c>
      <c r="B54" s="67">
        <f>(COUNTIFS('📒 Jurnal'!$AG$3:$AG$152,$A54,'📒 Jurnal'!$Z$3:$Z$152,"Win",'📒 Jurnal'!$AQ$3:$AQ$152,1)+COUNTIFS('📒 Jurnal'!$AG$3:$AG$152,$A54,'📒 Jurnal'!$Z$3:$Z$152,"Loss",'📒 Jurnal'!$AQ$3:$AQ$152,1)+COUNTIFS('📒 Jurnal'!$AG$3:$AG$152,$A54,'📒 Jurnal'!$Z$3:$Z$152,"BE",'📒 Jurnal'!$AQ$3:$AQ$152,1))</f>
        <v/>
      </c>
      <c r="C54" s="45">
        <f>IFERROR(COUNTIFS('📒 Jurnal'!$AG$3:$AG$152,$A54,'📒 Jurnal'!$Z$3:$Z$152,"Win",'📒 Jurnal'!$AQ$3:$AQ$152,1)/(COUNTIFS('📒 Jurnal'!$AG$3:$AG$152,$A54,'📒 Jurnal'!$Z$3:$Z$152,"Win",'📒 Jurnal'!$AQ$3:$AQ$152,1)+COUNTIFS('📒 Jurnal'!$AG$3:$AG$152,$A54,'📒 Jurnal'!$Z$3:$Z$152,"Loss",'📒 Jurnal'!$AQ$3:$AQ$152,1)+COUNTIFS('📒 Jurnal'!$AG$3:$AG$152,$A54,'📒 Jurnal'!$Z$3:$Z$152,"BE",'📒 Jurnal'!$AQ$3:$AQ$152,1)),"")</f>
        <v/>
      </c>
      <c r="D54" s="44">
        <f>IFERROR(AVERAGEIFS('📒 Jurnal'!$Y$3:$Y$152,'📒 Jurnal'!$AG$3:$AG$152,$A54,'📒 Jurnal'!$AQ$3:$AQ$152,1),"")</f>
        <v/>
      </c>
      <c r="E54" s="44">
        <f>IFERROR(SUMIFS('📒 Jurnal'!$Y$3:$Y$152,'📒 Jurnal'!$AG$3:$AG$152,$A54,'📒 Jurnal'!$AQ$3:$AQ$152,1),"")</f>
        <v/>
      </c>
      <c r="F54" s="42">
        <f>IF($B54=0,"",IF($D54&gt;=0,REPT("▉",MIN(14,ROUND($D54*14,0))),REPT("▒",MIN(14,ROUND(-$D54*14,0)))))</f>
        <v/>
      </c>
    </row>
    <row r="56">
      <c r="A56" s="55" t="inlineStr">
        <is>
          <t>⑤  BIAS EMA200 SEARAH?</t>
        </is>
      </c>
    </row>
    <row r="57">
      <c r="A57" s="8" t="inlineStr">
        <is>
          <t>Backtest 31 Agu tidak bisa memutuskan ini (CI lewat nol). Data live kamu yang menjawab.</t>
        </is>
      </c>
    </row>
    <row r="58">
      <c r="A58" s="49" t="inlineStr">
        <is>
          <t>Kategori</t>
        </is>
      </c>
      <c r="B58" s="49" t="inlineStr">
        <is>
          <t>N</t>
        </is>
      </c>
      <c r="C58" s="49" t="inlineStr">
        <is>
          <t>Win %</t>
        </is>
      </c>
      <c r="D58" s="49" t="inlineStr">
        <is>
          <t>Exp R</t>
        </is>
      </c>
      <c r="E58" s="49" t="inlineStr">
        <is>
          <t>Total R</t>
        </is>
      </c>
      <c r="F58" s="49" t="inlineStr">
        <is>
          <t>Visual Exp R</t>
        </is>
      </c>
    </row>
    <row r="59">
      <c r="A59" s="52" t="inlineStr">
        <is>
          <t>Ya</t>
        </is>
      </c>
      <c r="B59" s="67">
        <f>(COUNTIFS('📒 Jurnal'!$K$3:$K$152,$A59,'📒 Jurnal'!$Z$3:$Z$152,"Win",'📒 Jurnal'!$AQ$3:$AQ$152,1)+COUNTIFS('📒 Jurnal'!$K$3:$K$152,$A59,'📒 Jurnal'!$Z$3:$Z$152,"Loss",'📒 Jurnal'!$AQ$3:$AQ$152,1)+COUNTIFS('📒 Jurnal'!$K$3:$K$152,$A59,'📒 Jurnal'!$Z$3:$Z$152,"BE",'📒 Jurnal'!$AQ$3:$AQ$152,1))</f>
        <v/>
      </c>
      <c r="C59" s="45">
        <f>IFERROR(COUNTIFS('📒 Jurnal'!$K$3:$K$152,$A59,'📒 Jurnal'!$Z$3:$Z$152,"Win",'📒 Jurnal'!$AQ$3:$AQ$152,1)/(COUNTIFS('📒 Jurnal'!$K$3:$K$152,$A59,'📒 Jurnal'!$Z$3:$Z$152,"Win",'📒 Jurnal'!$AQ$3:$AQ$152,1)+COUNTIFS('📒 Jurnal'!$K$3:$K$152,$A59,'📒 Jurnal'!$Z$3:$Z$152,"Loss",'📒 Jurnal'!$AQ$3:$AQ$152,1)+COUNTIFS('📒 Jurnal'!$K$3:$K$152,$A59,'📒 Jurnal'!$Z$3:$Z$152,"BE",'📒 Jurnal'!$AQ$3:$AQ$152,1)),"")</f>
        <v/>
      </c>
      <c r="D59" s="44">
        <f>IFERROR(AVERAGEIFS('📒 Jurnal'!$Y$3:$Y$152,'📒 Jurnal'!$K$3:$K$152,$A59,'📒 Jurnal'!$AQ$3:$AQ$152,1),"")</f>
        <v/>
      </c>
      <c r="E59" s="44">
        <f>IFERROR(SUMIFS('📒 Jurnal'!$Y$3:$Y$152,'📒 Jurnal'!$K$3:$K$152,$A59,'📒 Jurnal'!$AQ$3:$AQ$152,1),"")</f>
        <v/>
      </c>
      <c r="F59" s="42">
        <f>IF($B59=0,"",IF($D59&gt;=0,REPT("▉",MIN(14,ROUND($D59*14,0))),REPT("▒",MIN(14,ROUND(-$D59*14,0)))))</f>
        <v/>
      </c>
    </row>
    <row r="60">
      <c r="A60" s="52" t="inlineStr">
        <is>
          <t>Tidak</t>
        </is>
      </c>
      <c r="B60" s="67">
        <f>(COUNTIFS('📒 Jurnal'!$K$3:$K$152,$A60,'📒 Jurnal'!$Z$3:$Z$152,"Win",'📒 Jurnal'!$AQ$3:$AQ$152,1)+COUNTIFS('📒 Jurnal'!$K$3:$K$152,$A60,'📒 Jurnal'!$Z$3:$Z$152,"Loss",'📒 Jurnal'!$AQ$3:$AQ$152,1)+COUNTIFS('📒 Jurnal'!$K$3:$K$152,$A60,'📒 Jurnal'!$Z$3:$Z$152,"BE",'📒 Jurnal'!$AQ$3:$AQ$152,1))</f>
        <v/>
      </c>
      <c r="C60" s="45">
        <f>IFERROR(COUNTIFS('📒 Jurnal'!$K$3:$K$152,$A60,'📒 Jurnal'!$Z$3:$Z$152,"Win",'📒 Jurnal'!$AQ$3:$AQ$152,1)/(COUNTIFS('📒 Jurnal'!$K$3:$K$152,$A60,'📒 Jurnal'!$Z$3:$Z$152,"Win",'📒 Jurnal'!$AQ$3:$AQ$152,1)+COUNTIFS('📒 Jurnal'!$K$3:$K$152,$A60,'📒 Jurnal'!$Z$3:$Z$152,"Loss",'📒 Jurnal'!$AQ$3:$AQ$152,1)+COUNTIFS('📒 Jurnal'!$K$3:$K$152,$A60,'📒 Jurnal'!$Z$3:$Z$152,"BE",'📒 Jurnal'!$AQ$3:$AQ$152,1)),"")</f>
        <v/>
      </c>
      <c r="D60" s="44">
        <f>IFERROR(AVERAGEIFS('📒 Jurnal'!$Y$3:$Y$152,'📒 Jurnal'!$K$3:$K$152,$A60,'📒 Jurnal'!$AQ$3:$AQ$152,1),"")</f>
        <v/>
      </c>
      <c r="E60" s="44">
        <f>IFERROR(SUMIFS('📒 Jurnal'!$Y$3:$Y$152,'📒 Jurnal'!$K$3:$K$152,$A60,'📒 Jurnal'!$AQ$3:$AQ$152,1),"")</f>
        <v/>
      </c>
      <c r="F60" s="42">
        <f>IF($B60=0,"",IF($D60&gt;=0,REPT("▉",MIN(14,ROUND($D60*14,0))),REPT("▒",MIN(14,ROUND(-$D60*14,0)))))</f>
        <v/>
      </c>
    </row>
    <row r="62">
      <c r="A62" s="55" t="inlineStr">
        <is>
          <t>⑥  SESUAI CHECKLIST?</t>
        </is>
      </c>
    </row>
    <row r="63">
      <c r="A63" s="8" t="inlineStr">
        <is>
          <t>Kalau 'Tidak' ternyata lebih untung, checklist-nya yang salah — bukan kamu.</t>
        </is>
      </c>
    </row>
    <row r="64">
      <c r="A64" s="49" t="inlineStr">
        <is>
          <t>Kategori</t>
        </is>
      </c>
      <c r="B64" s="49" t="inlineStr">
        <is>
          <t>N</t>
        </is>
      </c>
      <c r="C64" s="49" t="inlineStr">
        <is>
          <t>Win %</t>
        </is>
      </c>
      <c r="D64" s="49" t="inlineStr">
        <is>
          <t>Exp R</t>
        </is>
      </c>
      <c r="E64" s="49" t="inlineStr">
        <is>
          <t>Total R</t>
        </is>
      </c>
      <c r="F64" s="49" t="inlineStr">
        <is>
          <t>Visual Exp R</t>
        </is>
      </c>
    </row>
    <row r="65">
      <c r="A65" s="52" t="inlineStr">
        <is>
          <t>Ya</t>
        </is>
      </c>
      <c r="B65" s="67">
        <f>(COUNTIFS('📒 Jurnal'!$AI$3:$AI$152,$A65,'📒 Jurnal'!$Z$3:$Z$152,"Win",'📒 Jurnal'!$AQ$3:$AQ$152,1)+COUNTIFS('📒 Jurnal'!$AI$3:$AI$152,$A65,'📒 Jurnal'!$Z$3:$Z$152,"Loss",'📒 Jurnal'!$AQ$3:$AQ$152,1)+COUNTIFS('📒 Jurnal'!$AI$3:$AI$152,$A65,'📒 Jurnal'!$Z$3:$Z$152,"BE",'📒 Jurnal'!$AQ$3:$AQ$152,1))</f>
        <v/>
      </c>
      <c r="C65" s="45">
        <f>IFERROR(COUNTIFS('📒 Jurnal'!$AI$3:$AI$152,$A65,'📒 Jurnal'!$Z$3:$Z$152,"Win",'📒 Jurnal'!$AQ$3:$AQ$152,1)/(COUNTIFS('📒 Jurnal'!$AI$3:$AI$152,$A65,'📒 Jurnal'!$Z$3:$Z$152,"Win",'📒 Jurnal'!$AQ$3:$AQ$152,1)+COUNTIFS('📒 Jurnal'!$AI$3:$AI$152,$A65,'📒 Jurnal'!$Z$3:$Z$152,"Loss",'📒 Jurnal'!$AQ$3:$AQ$152,1)+COUNTIFS('📒 Jurnal'!$AI$3:$AI$152,$A65,'📒 Jurnal'!$Z$3:$Z$152,"BE",'📒 Jurnal'!$AQ$3:$AQ$152,1)),"")</f>
        <v/>
      </c>
      <c r="D65" s="44">
        <f>IFERROR(AVERAGEIFS('📒 Jurnal'!$Y$3:$Y$152,'📒 Jurnal'!$AI$3:$AI$152,$A65,'📒 Jurnal'!$AQ$3:$AQ$152,1),"")</f>
        <v/>
      </c>
      <c r="E65" s="44">
        <f>IFERROR(SUMIFS('📒 Jurnal'!$Y$3:$Y$152,'📒 Jurnal'!$AI$3:$AI$152,$A65,'📒 Jurnal'!$AQ$3:$AQ$152,1),"")</f>
        <v/>
      </c>
      <c r="F65" s="42">
        <f>IF($B65=0,"",IF($D65&gt;=0,REPT("▉",MIN(14,ROUND($D65*14,0))),REPT("▒",MIN(14,ROUND(-$D65*14,0)))))</f>
        <v/>
      </c>
    </row>
    <row r="66">
      <c r="A66" s="52" t="inlineStr">
        <is>
          <t>Tidak</t>
        </is>
      </c>
      <c r="B66" s="67">
        <f>(COUNTIFS('📒 Jurnal'!$AI$3:$AI$152,$A66,'📒 Jurnal'!$Z$3:$Z$152,"Win",'📒 Jurnal'!$AQ$3:$AQ$152,1)+COUNTIFS('📒 Jurnal'!$AI$3:$AI$152,$A66,'📒 Jurnal'!$Z$3:$Z$152,"Loss",'📒 Jurnal'!$AQ$3:$AQ$152,1)+COUNTIFS('📒 Jurnal'!$AI$3:$AI$152,$A66,'📒 Jurnal'!$Z$3:$Z$152,"BE",'📒 Jurnal'!$AQ$3:$AQ$152,1))</f>
        <v/>
      </c>
      <c r="C66" s="45">
        <f>IFERROR(COUNTIFS('📒 Jurnal'!$AI$3:$AI$152,$A66,'📒 Jurnal'!$Z$3:$Z$152,"Win",'📒 Jurnal'!$AQ$3:$AQ$152,1)/(COUNTIFS('📒 Jurnal'!$AI$3:$AI$152,$A66,'📒 Jurnal'!$Z$3:$Z$152,"Win",'📒 Jurnal'!$AQ$3:$AQ$152,1)+COUNTIFS('📒 Jurnal'!$AI$3:$AI$152,$A66,'📒 Jurnal'!$Z$3:$Z$152,"Loss",'📒 Jurnal'!$AQ$3:$AQ$152,1)+COUNTIFS('📒 Jurnal'!$AI$3:$AI$152,$A66,'📒 Jurnal'!$Z$3:$Z$152,"BE",'📒 Jurnal'!$AQ$3:$AQ$152,1)),"")</f>
        <v/>
      </c>
      <c r="D66" s="44">
        <f>IFERROR(AVERAGEIFS('📒 Jurnal'!$Y$3:$Y$152,'📒 Jurnal'!$AI$3:$AI$152,$A66,'📒 Jurnal'!$AQ$3:$AQ$152,1),"")</f>
        <v/>
      </c>
      <c r="E66" s="44">
        <f>IFERROR(SUMIFS('📒 Jurnal'!$Y$3:$Y$152,'📒 Jurnal'!$AI$3:$AI$152,$A66,'📒 Jurnal'!$AQ$3:$AQ$152,1),"")</f>
        <v/>
      </c>
      <c r="F66" s="42">
        <f>IF($B66=0,"",IF($D66&gt;=0,REPT("▉",MIN(14,ROUND($D66*14,0))),REPT("▒",MIN(14,ROUND(-$D66*14,0)))))</f>
        <v/>
      </c>
    </row>
    <row r="68">
      <c r="A68" s="55" t="inlineStr">
        <is>
          <t>⑦  PER INSTRUMEN</t>
        </is>
      </c>
    </row>
    <row r="69">
      <c r="A69" s="49" t="inlineStr">
        <is>
          <t>Kategori</t>
        </is>
      </c>
      <c r="B69" s="49" t="inlineStr">
        <is>
          <t>N</t>
        </is>
      </c>
      <c r="C69" s="49" t="inlineStr">
        <is>
          <t>Win %</t>
        </is>
      </c>
      <c r="D69" s="49" t="inlineStr">
        <is>
          <t>Exp R</t>
        </is>
      </c>
      <c r="E69" s="49" t="inlineStr">
        <is>
          <t>Total R</t>
        </is>
      </c>
      <c r="F69" s="49" t="inlineStr">
        <is>
          <t>Visual Exp R</t>
        </is>
      </c>
    </row>
    <row r="70">
      <c r="A70" s="52" t="inlineStr">
        <is>
          <t>XAUUSD</t>
        </is>
      </c>
      <c r="B70" s="67">
        <f>(COUNTIFS('📒 Jurnal'!$F$3:$F$152,$A70,'📒 Jurnal'!$Z$3:$Z$152,"Win",'📒 Jurnal'!$AQ$3:$AQ$152,1)+COUNTIFS('📒 Jurnal'!$F$3:$F$152,$A70,'📒 Jurnal'!$Z$3:$Z$152,"Loss",'📒 Jurnal'!$AQ$3:$AQ$152,1)+COUNTIFS('📒 Jurnal'!$F$3:$F$152,$A70,'📒 Jurnal'!$Z$3:$Z$152,"BE",'📒 Jurnal'!$AQ$3:$AQ$152,1))</f>
        <v/>
      </c>
      <c r="C70" s="45">
        <f>IFERROR(COUNTIFS('📒 Jurnal'!$F$3:$F$152,$A70,'📒 Jurnal'!$Z$3:$Z$152,"Win",'📒 Jurnal'!$AQ$3:$AQ$152,1)/(COUNTIFS('📒 Jurnal'!$F$3:$F$152,$A70,'📒 Jurnal'!$Z$3:$Z$152,"Win",'📒 Jurnal'!$AQ$3:$AQ$152,1)+COUNTIFS('📒 Jurnal'!$F$3:$F$152,$A70,'📒 Jurnal'!$Z$3:$Z$152,"Loss",'📒 Jurnal'!$AQ$3:$AQ$152,1)+COUNTIFS('📒 Jurnal'!$F$3:$F$152,$A70,'📒 Jurnal'!$Z$3:$Z$152,"BE",'📒 Jurnal'!$AQ$3:$AQ$152,1)),"")</f>
        <v/>
      </c>
      <c r="D70" s="44">
        <f>IFERROR(AVERAGEIFS('📒 Jurnal'!$Y$3:$Y$152,'📒 Jurnal'!$F$3:$F$152,$A70,'📒 Jurnal'!$AQ$3:$AQ$152,1),"")</f>
        <v/>
      </c>
      <c r="E70" s="44">
        <f>IFERROR(SUMIFS('📒 Jurnal'!$Y$3:$Y$152,'📒 Jurnal'!$F$3:$F$152,$A70,'📒 Jurnal'!$AQ$3:$AQ$152,1),"")</f>
        <v/>
      </c>
      <c r="F70" s="42">
        <f>IF($B70=0,"",IF($D70&gt;=0,REPT("▉",MIN(14,ROUND($D70*14,0))),REPT("▒",MIN(14,ROUND(-$D70*14,0)))))</f>
        <v/>
      </c>
    </row>
    <row r="71">
      <c r="A71" s="52" t="inlineStr">
        <is>
          <t>BTCUSD</t>
        </is>
      </c>
      <c r="B71" s="67">
        <f>(COUNTIFS('📒 Jurnal'!$F$3:$F$152,$A71,'📒 Jurnal'!$Z$3:$Z$152,"Win",'📒 Jurnal'!$AQ$3:$AQ$152,1)+COUNTIFS('📒 Jurnal'!$F$3:$F$152,$A71,'📒 Jurnal'!$Z$3:$Z$152,"Loss",'📒 Jurnal'!$AQ$3:$AQ$152,1)+COUNTIFS('📒 Jurnal'!$F$3:$F$152,$A71,'📒 Jurnal'!$Z$3:$Z$152,"BE",'📒 Jurnal'!$AQ$3:$AQ$152,1))</f>
        <v/>
      </c>
      <c r="C71" s="45">
        <f>IFERROR(COUNTIFS('📒 Jurnal'!$F$3:$F$152,$A71,'📒 Jurnal'!$Z$3:$Z$152,"Win",'📒 Jurnal'!$AQ$3:$AQ$152,1)/(COUNTIFS('📒 Jurnal'!$F$3:$F$152,$A71,'📒 Jurnal'!$Z$3:$Z$152,"Win",'📒 Jurnal'!$AQ$3:$AQ$152,1)+COUNTIFS('📒 Jurnal'!$F$3:$F$152,$A71,'📒 Jurnal'!$Z$3:$Z$152,"Loss",'📒 Jurnal'!$AQ$3:$AQ$152,1)+COUNTIFS('📒 Jurnal'!$F$3:$F$152,$A71,'📒 Jurnal'!$Z$3:$Z$152,"BE",'📒 Jurnal'!$AQ$3:$AQ$152,1)),"")</f>
        <v/>
      </c>
      <c r="D71" s="44">
        <f>IFERROR(AVERAGEIFS('📒 Jurnal'!$Y$3:$Y$152,'📒 Jurnal'!$F$3:$F$152,$A71,'📒 Jurnal'!$AQ$3:$AQ$152,1),"")</f>
        <v/>
      </c>
      <c r="E71" s="44">
        <f>IFERROR(SUMIFS('📒 Jurnal'!$Y$3:$Y$152,'📒 Jurnal'!$F$3:$F$152,$A71,'📒 Jurnal'!$AQ$3:$AQ$152,1),"")</f>
        <v/>
      </c>
      <c r="F71" s="42">
        <f>IF($B71=0,"",IF($D71&gt;=0,REPT("▉",MIN(14,ROUND($D71*14,0))),REPT("▒",MIN(14,ROUND(-$D71*14,0)))))</f>
        <v/>
      </c>
    </row>
    <row r="72">
      <c r="A72" s="52" t="inlineStr">
        <is>
          <t>EURUSD</t>
        </is>
      </c>
      <c r="B72" s="67">
        <f>(COUNTIFS('📒 Jurnal'!$F$3:$F$152,$A72,'📒 Jurnal'!$Z$3:$Z$152,"Win",'📒 Jurnal'!$AQ$3:$AQ$152,1)+COUNTIFS('📒 Jurnal'!$F$3:$F$152,$A72,'📒 Jurnal'!$Z$3:$Z$152,"Loss",'📒 Jurnal'!$AQ$3:$AQ$152,1)+COUNTIFS('📒 Jurnal'!$F$3:$F$152,$A72,'📒 Jurnal'!$Z$3:$Z$152,"BE",'📒 Jurnal'!$AQ$3:$AQ$152,1))</f>
        <v/>
      </c>
      <c r="C72" s="45">
        <f>IFERROR(COUNTIFS('📒 Jurnal'!$F$3:$F$152,$A72,'📒 Jurnal'!$Z$3:$Z$152,"Win",'📒 Jurnal'!$AQ$3:$AQ$152,1)/(COUNTIFS('📒 Jurnal'!$F$3:$F$152,$A72,'📒 Jurnal'!$Z$3:$Z$152,"Win",'📒 Jurnal'!$AQ$3:$AQ$152,1)+COUNTIFS('📒 Jurnal'!$F$3:$F$152,$A72,'📒 Jurnal'!$Z$3:$Z$152,"Loss",'📒 Jurnal'!$AQ$3:$AQ$152,1)+COUNTIFS('📒 Jurnal'!$F$3:$F$152,$A72,'📒 Jurnal'!$Z$3:$Z$152,"BE",'📒 Jurnal'!$AQ$3:$AQ$152,1)),"")</f>
        <v/>
      </c>
      <c r="D72" s="44">
        <f>IFERROR(AVERAGEIFS('📒 Jurnal'!$Y$3:$Y$152,'📒 Jurnal'!$F$3:$F$152,$A72,'📒 Jurnal'!$AQ$3:$AQ$152,1),"")</f>
        <v/>
      </c>
      <c r="E72" s="44">
        <f>IFERROR(SUMIFS('📒 Jurnal'!$Y$3:$Y$152,'📒 Jurnal'!$F$3:$F$152,$A72,'📒 Jurnal'!$AQ$3:$AQ$152,1),"")</f>
        <v/>
      </c>
      <c r="F72" s="42">
        <f>IF($B72=0,"",IF($D72&gt;=0,REPT("▉",MIN(14,ROUND($D72*14,0))),REPT("▒",MIN(14,ROUND(-$D72*14,0)))))</f>
        <v/>
      </c>
    </row>
    <row r="73">
      <c r="A73" s="52" t="inlineStr">
        <is>
          <t>GBPUSD</t>
        </is>
      </c>
      <c r="B73" s="67">
        <f>(COUNTIFS('📒 Jurnal'!$F$3:$F$152,$A73,'📒 Jurnal'!$Z$3:$Z$152,"Win",'📒 Jurnal'!$AQ$3:$AQ$152,1)+COUNTIFS('📒 Jurnal'!$F$3:$F$152,$A73,'📒 Jurnal'!$Z$3:$Z$152,"Loss",'📒 Jurnal'!$AQ$3:$AQ$152,1)+COUNTIFS('📒 Jurnal'!$F$3:$F$152,$A73,'📒 Jurnal'!$Z$3:$Z$152,"BE",'📒 Jurnal'!$AQ$3:$AQ$152,1))</f>
        <v/>
      </c>
      <c r="C73" s="45">
        <f>IFERROR(COUNTIFS('📒 Jurnal'!$F$3:$F$152,$A73,'📒 Jurnal'!$Z$3:$Z$152,"Win",'📒 Jurnal'!$AQ$3:$AQ$152,1)/(COUNTIFS('📒 Jurnal'!$F$3:$F$152,$A73,'📒 Jurnal'!$Z$3:$Z$152,"Win",'📒 Jurnal'!$AQ$3:$AQ$152,1)+COUNTIFS('📒 Jurnal'!$F$3:$F$152,$A73,'📒 Jurnal'!$Z$3:$Z$152,"Loss",'📒 Jurnal'!$AQ$3:$AQ$152,1)+COUNTIFS('📒 Jurnal'!$F$3:$F$152,$A73,'📒 Jurnal'!$Z$3:$Z$152,"BE",'📒 Jurnal'!$AQ$3:$AQ$152,1)),"")</f>
        <v/>
      </c>
      <c r="D73" s="44">
        <f>IFERROR(AVERAGEIFS('📒 Jurnal'!$Y$3:$Y$152,'📒 Jurnal'!$F$3:$F$152,$A73,'📒 Jurnal'!$AQ$3:$AQ$152,1),"")</f>
        <v/>
      </c>
      <c r="E73" s="44">
        <f>IFERROR(SUMIFS('📒 Jurnal'!$Y$3:$Y$152,'📒 Jurnal'!$F$3:$F$152,$A73,'📒 Jurnal'!$AQ$3:$AQ$152,1),"")</f>
        <v/>
      </c>
      <c r="F73" s="42">
        <f>IF($B73=0,"",IF($D73&gt;=0,REPT("▉",MIN(14,ROUND($D73*14,0))),REPT("▒",MIN(14,ROUND(-$D73*14,0)))))</f>
        <v/>
      </c>
    </row>
    <row r="74">
      <c r="A74" s="52" t="inlineStr">
        <is>
          <t>USDJPY</t>
        </is>
      </c>
      <c r="B74" s="67">
        <f>(COUNTIFS('📒 Jurnal'!$F$3:$F$152,$A74,'📒 Jurnal'!$Z$3:$Z$152,"Win",'📒 Jurnal'!$AQ$3:$AQ$152,1)+COUNTIFS('📒 Jurnal'!$F$3:$F$152,$A74,'📒 Jurnal'!$Z$3:$Z$152,"Loss",'📒 Jurnal'!$AQ$3:$AQ$152,1)+COUNTIFS('📒 Jurnal'!$F$3:$F$152,$A74,'📒 Jurnal'!$Z$3:$Z$152,"BE",'📒 Jurnal'!$AQ$3:$AQ$152,1))</f>
        <v/>
      </c>
      <c r="C74" s="45">
        <f>IFERROR(COUNTIFS('📒 Jurnal'!$F$3:$F$152,$A74,'📒 Jurnal'!$Z$3:$Z$152,"Win",'📒 Jurnal'!$AQ$3:$AQ$152,1)/(COUNTIFS('📒 Jurnal'!$F$3:$F$152,$A74,'📒 Jurnal'!$Z$3:$Z$152,"Win",'📒 Jurnal'!$AQ$3:$AQ$152,1)+COUNTIFS('📒 Jurnal'!$F$3:$F$152,$A74,'📒 Jurnal'!$Z$3:$Z$152,"Loss",'📒 Jurnal'!$AQ$3:$AQ$152,1)+COUNTIFS('📒 Jurnal'!$F$3:$F$152,$A74,'📒 Jurnal'!$Z$3:$Z$152,"BE",'📒 Jurnal'!$AQ$3:$AQ$152,1)),"")</f>
        <v/>
      </c>
      <c r="D74" s="44">
        <f>IFERROR(AVERAGEIFS('📒 Jurnal'!$Y$3:$Y$152,'📒 Jurnal'!$F$3:$F$152,$A74,'📒 Jurnal'!$AQ$3:$AQ$152,1),"")</f>
        <v/>
      </c>
      <c r="E74" s="44">
        <f>IFERROR(SUMIFS('📒 Jurnal'!$Y$3:$Y$152,'📒 Jurnal'!$F$3:$F$152,$A74,'📒 Jurnal'!$AQ$3:$AQ$152,1),"")</f>
        <v/>
      </c>
      <c r="F74" s="42">
        <f>IF($B74=0,"",IF($D74&gt;=0,REPT("▉",MIN(14,ROUND($D74*14,0))),REPT("▒",MIN(14,ROUND(-$D74*14,0)))))</f>
        <v/>
      </c>
    </row>
    <row r="76">
      <c r="A76" s="55" t="inlineStr">
        <is>
          <t>⑧  ANALISA MAE / MFE — SL kesempitan atau TP kecepetan?</t>
        </is>
      </c>
    </row>
    <row r="77">
      <c r="A77" s="68" t="inlineStr">
        <is>
          <t>Rata-rata MAE trade WIN</t>
        </is>
      </c>
      <c r="B77" s="69">
        <f>IFERROR(AVERAGEIFS('📒 Jurnal'!$AD$3:$AD$152,'📒 Jurnal'!$Z$3:$Z$152,"Win",'📒 Jurnal'!$AQ$3:$AQ$152,1),"")</f>
        <v/>
      </c>
      <c r="C77" s="8" t="inlineStr">
        <is>
          <t>Kalau &gt; 0.7R: SL kamu nyaris kena terus. Pertimbangkan SL sedikit lebih lebar.</t>
        </is>
      </c>
    </row>
    <row r="78">
      <c r="A78" s="68" t="inlineStr">
        <is>
          <t>Rata-rata MAE trade LOSS</t>
        </is>
      </c>
      <c r="B78" s="69">
        <f>IFERROR(AVERAGEIFS('📒 Jurnal'!$AD$3:$AD$152,'📒 Jurnal'!$Z$3:$Z$152,"Loss",'📒 Jurnal'!$AQ$3:$AQ$152,1),"")</f>
        <v/>
      </c>
      <c r="C78" s="8" t="inlineStr">
        <is>
          <t>Pembanding.</t>
        </is>
      </c>
    </row>
    <row r="79">
      <c r="A79" s="68" t="inlineStr">
        <is>
          <t>Rata-rata MFE trade WIN</t>
        </is>
      </c>
      <c r="B79" s="69">
        <f>IFERROR(AVERAGEIFS('📒 Jurnal'!$AE$3:$AE$152,'📒 Jurnal'!$Z$3:$Z$152,"Win",'📒 Jurnal'!$AQ$3:$AQ$152,1),"")</f>
        <v/>
      </c>
      <c r="C79" s="8" t="inlineStr">
        <is>
          <t>Kalau jauh di atas R hasilmu: keluar kecepetan, profit ditinggal di meja.</t>
        </is>
      </c>
    </row>
    <row r="80">
      <c r="A80" s="68" t="inlineStr">
        <is>
          <t>Rata-rata MFE trade LOSS</t>
        </is>
      </c>
      <c r="B80" s="69">
        <f>IFERROR(AVERAGEIFS('📒 Jurnal'!$AE$3:$AE$152,'📒 Jurnal'!$Z$3:$Z$152,"Loss",'📒 Jurnal'!$AQ$3:$AQ$152,1),"")</f>
        <v/>
      </c>
      <c r="C80" s="8" t="inlineStr">
        <is>
          <t>Kalau &gt; 1.0R: sering sudah untung 1R lalu balik rugi. Pertimbangkan geser ke BE.</t>
        </is>
      </c>
    </row>
    <row r="82">
      <c r="A82" s="55" t="inlineStr">
        <is>
          <t>⑨  KESALAHAN PALING MAHAL</t>
        </is>
      </c>
    </row>
    <row r="83">
      <c r="A83" s="49" t="inlineStr">
        <is>
          <t>Kesalahan</t>
        </is>
      </c>
      <c r="B83" s="49" t="inlineStr">
        <is>
          <t>Jumlah</t>
        </is>
      </c>
      <c r="D83" s="49" t="inlineStr">
        <is>
          <t>Total R</t>
        </is>
      </c>
      <c r="E83" s="49" t="inlineStr">
        <is>
          <t>PnL $</t>
        </is>
      </c>
    </row>
    <row r="84">
      <c r="A84" s="52" t="inlineStr">
        <is>
          <t>Geser SL</t>
        </is>
      </c>
      <c r="B84" s="67">
        <f>COUNTIFS('📒 Jurnal'!$AJ$3:$AJ$152,$A84,'📒 Jurnal'!$AQ$3:$AQ$152,1)</f>
        <v/>
      </c>
      <c r="D84" s="44">
        <f>IFERROR(SUMIFS('📒 Jurnal'!$Y$3:$Y$152,'📒 Jurnal'!$AJ$3:$AJ$152,$A84,'📒 Jurnal'!$AQ$3:$AQ$152,1),"")</f>
        <v/>
      </c>
      <c r="E84" s="43">
        <f>IFERROR(SUMIFS('📒 Jurnal'!$X$3:$X$152,'📒 Jurnal'!$AJ$3:$AJ$152,$A84,'📒 Jurnal'!$AQ$3:$AQ$152,1),"")</f>
        <v/>
      </c>
    </row>
    <row r="85">
      <c r="A85" s="52" t="inlineStr">
        <is>
          <t>Entry tanpa plan</t>
        </is>
      </c>
      <c r="B85" s="67">
        <f>COUNTIFS('📒 Jurnal'!$AJ$3:$AJ$152,$A85,'📒 Jurnal'!$AQ$3:$AQ$152,1)</f>
        <v/>
      </c>
      <c r="D85" s="44">
        <f>IFERROR(SUMIFS('📒 Jurnal'!$Y$3:$Y$152,'📒 Jurnal'!$AJ$3:$AJ$152,$A85,'📒 Jurnal'!$AQ$3:$AQ$152,1),"")</f>
        <v/>
      </c>
      <c r="E85" s="43">
        <f>IFERROR(SUMIFS('📒 Jurnal'!$X$3:$X$152,'📒 Jurnal'!$AJ$3:$AJ$152,$A85,'📒 Jurnal'!$AQ$3:$AQ$152,1),"")</f>
        <v/>
      </c>
    </row>
    <row r="86">
      <c r="A86" s="52" t="inlineStr">
        <is>
          <t>Lot kegedean</t>
        </is>
      </c>
      <c r="B86" s="67">
        <f>COUNTIFS('📒 Jurnal'!$AJ$3:$AJ$152,$A86,'📒 Jurnal'!$AQ$3:$AQ$152,1)</f>
        <v/>
      </c>
      <c r="D86" s="44">
        <f>IFERROR(SUMIFS('📒 Jurnal'!$Y$3:$Y$152,'📒 Jurnal'!$AJ$3:$AJ$152,$A86,'📒 Jurnal'!$AQ$3:$AQ$152,1),"")</f>
        <v/>
      </c>
      <c r="E86" s="43">
        <f>IFERROR(SUMIFS('📒 Jurnal'!$X$3:$X$152,'📒 Jurnal'!$AJ$3:$AJ$152,$A86,'📒 Jurnal'!$AQ$3:$AQ$152,1),"")</f>
        <v/>
      </c>
    </row>
    <row r="87">
      <c r="A87" s="52" t="inlineStr">
        <is>
          <t>Revenge trade</t>
        </is>
      </c>
      <c r="B87" s="67">
        <f>COUNTIFS('📒 Jurnal'!$AJ$3:$AJ$152,$A87,'📒 Jurnal'!$AQ$3:$AQ$152,1)</f>
        <v/>
      </c>
      <c r="D87" s="44">
        <f>IFERROR(SUMIFS('📒 Jurnal'!$Y$3:$Y$152,'📒 Jurnal'!$AJ$3:$AJ$152,$A87,'📒 Jurnal'!$AQ$3:$AQ$152,1),"")</f>
        <v/>
      </c>
      <c r="E87" s="43">
        <f>IFERROR(SUMIFS('📒 Jurnal'!$X$3:$X$152,'📒 Jurnal'!$AJ$3:$AJ$152,$A87,'📒 Jurnal'!$AQ$3:$AQ$152,1),"")</f>
        <v/>
      </c>
    </row>
    <row r="88">
      <c r="A88" s="52" t="inlineStr">
        <is>
          <t>Exit kecepetan</t>
        </is>
      </c>
      <c r="B88" s="67">
        <f>COUNTIFS('📒 Jurnal'!$AJ$3:$AJ$152,$A88,'📒 Jurnal'!$AQ$3:$AQ$152,1)</f>
        <v/>
      </c>
      <c r="D88" s="44">
        <f>IFERROR(SUMIFS('📒 Jurnal'!$Y$3:$Y$152,'📒 Jurnal'!$AJ$3:$AJ$152,$A88,'📒 Jurnal'!$AQ$3:$AQ$152,1),"")</f>
        <v/>
      </c>
      <c r="E88" s="43">
        <f>IFERROR(SUMIFS('📒 Jurnal'!$X$3:$X$152,'📒 Jurnal'!$AJ$3:$AJ$152,$A88,'📒 Jurnal'!$AQ$3:$AQ$152,1),"")</f>
        <v/>
      </c>
    </row>
    <row r="89">
      <c r="A89" s="52" t="inlineStr">
        <is>
          <t>Entry telat</t>
        </is>
      </c>
      <c r="B89" s="67">
        <f>COUNTIFS('📒 Jurnal'!$AJ$3:$AJ$152,$A89,'📒 Jurnal'!$AQ$3:$AQ$152,1)</f>
        <v/>
      </c>
      <c r="D89" s="44">
        <f>IFERROR(SUMIFS('📒 Jurnal'!$Y$3:$Y$152,'📒 Jurnal'!$AJ$3:$AJ$152,$A89,'📒 Jurnal'!$AQ$3:$AQ$152,1),"")</f>
        <v/>
      </c>
      <c r="E89" s="43">
        <f>IFERROR(SUMIFS('📒 Jurnal'!$X$3:$X$152,'📒 Jurnal'!$AJ$3:$AJ$152,$A89,'📒 Jurnal'!$AQ$3:$AQ$152,1),"")</f>
        <v/>
      </c>
    </row>
    <row r="90">
      <c r="A90" s="52" t="inlineStr">
        <is>
          <t>Lawan bias</t>
        </is>
      </c>
      <c r="B90" s="67">
        <f>COUNTIFS('📒 Jurnal'!$AJ$3:$AJ$152,$A90,'📒 Jurnal'!$AQ$3:$AQ$152,1)</f>
        <v/>
      </c>
      <c r="D90" s="44">
        <f>IFERROR(SUMIFS('📒 Jurnal'!$Y$3:$Y$152,'📒 Jurnal'!$AJ$3:$AJ$152,$A90,'📒 Jurnal'!$AQ$3:$AQ$152,1),"")</f>
        <v/>
      </c>
      <c r="E90" s="43">
        <f>IFERROR(SUMIFS('📒 Jurnal'!$X$3:$X$152,'📒 Jurnal'!$AJ$3:$AJ$152,$A90,'📒 Jurnal'!$AQ$3:$AQ$152,1),"")</f>
        <v/>
      </c>
    </row>
    <row r="91">
      <c r="A91" s="52" t="inlineStr">
        <is>
          <t>Lainnya</t>
        </is>
      </c>
      <c r="B91" s="67">
        <f>COUNTIFS('📒 Jurnal'!$AJ$3:$AJ$152,$A91,'📒 Jurnal'!$AQ$3:$AQ$152,1)</f>
        <v/>
      </c>
      <c r="D91" s="44">
        <f>IFERROR(SUMIFS('📒 Jurnal'!$Y$3:$Y$152,'📒 Jurnal'!$AJ$3:$AJ$152,$A91,'📒 Jurnal'!$AQ$3:$AQ$152,1),"")</f>
        <v/>
      </c>
      <c r="E91" s="43">
        <f>IFERROR(SUMIFS('📒 Jurnal'!$X$3:$X$152,'📒 Jurnal'!$AJ$3:$AJ$152,$A91,'📒 Jurnal'!$AQ$3:$AQ$152,1),"")</f>
        <v/>
      </c>
    </row>
    <row r="93">
      <c r="A93" s="70" t="inlineStr">
        <is>
          <t>⚠️ INGAT: 1 bulan ≈ 40–100 trade — belum cukup untuk kesimpulan statistik.
Beda win rate 10% pada 40 trade masih sangat mungkin kebetulan. Baca sebagai PETUNJUK ARAH.
Kumpulkan 3–6 bulan sebelum membuang satu jenis setup.</t>
        </is>
      </c>
    </row>
    <row r="94"/>
    <row r="95"/>
  </sheetData>
  <mergeCells count="23">
    <mergeCell ref="A18:F18"/>
    <mergeCell ref="A56:F56"/>
    <mergeCell ref="A3:F3"/>
    <mergeCell ref="A57:F57"/>
    <mergeCell ref="C78:F78"/>
    <mergeCell ref="A76:F76"/>
    <mergeCell ref="C77:F77"/>
    <mergeCell ref="A23:F23"/>
    <mergeCell ref="A22:F22"/>
    <mergeCell ref="A62:F62"/>
    <mergeCell ref="A38:F38"/>
    <mergeCell ref="A63:F63"/>
    <mergeCell ref="C79:F79"/>
    <mergeCell ref="A68:F68"/>
    <mergeCell ref="A93:F95"/>
    <mergeCell ref="A31:F31"/>
    <mergeCell ref="A48:F48"/>
    <mergeCell ref="A30:F30"/>
    <mergeCell ref="A39:F39"/>
    <mergeCell ref="A11:F11"/>
    <mergeCell ref="A49:F49"/>
    <mergeCell ref="C80:F80"/>
    <mergeCell ref="A82:F82"/>
  </mergeCells>
  <conditionalFormatting sqref="D25">
    <cfRule type="expression" priority="1" dxfId="0">
      <formula>AND($B25&gt;0,$D25&gt;0)</formula>
    </cfRule>
    <cfRule type="expression" priority="2" dxfId="1">
      <formula>AND($B25&gt;0,$D25&lt;0)</formula>
    </cfRule>
  </conditionalFormatting>
  <conditionalFormatting sqref="D26">
    <cfRule type="expression" priority="3" dxfId="0">
      <formula>AND($B26&gt;0,$D26&gt;0)</formula>
    </cfRule>
    <cfRule type="expression" priority="4" dxfId="1">
      <formula>AND($B26&gt;0,$D26&lt;0)</formula>
    </cfRule>
  </conditionalFormatting>
  <conditionalFormatting sqref="D27">
    <cfRule type="expression" priority="5" dxfId="0">
      <formula>AND($B27&gt;0,$D27&gt;0)</formula>
    </cfRule>
    <cfRule type="expression" priority="6" dxfId="1">
      <formula>AND($B27&gt;0,$D27&lt;0)</formula>
    </cfRule>
  </conditionalFormatting>
  <conditionalFormatting sqref="D28">
    <cfRule type="expression" priority="7" dxfId="0">
      <formula>AND($B28&gt;0,$D28&gt;0)</formula>
    </cfRule>
    <cfRule type="expression" priority="8" dxfId="1">
      <formula>AND($B28&gt;0,$D28&lt;0)</formula>
    </cfRule>
  </conditionalFormatting>
  <conditionalFormatting sqref="D33">
    <cfRule type="expression" priority="9" dxfId="0">
      <formula>AND($B33&gt;0,$D33&gt;0)</formula>
    </cfRule>
    <cfRule type="expression" priority="10" dxfId="1">
      <formula>AND($B33&gt;0,$D33&lt;0)</formula>
    </cfRule>
  </conditionalFormatting>
  <conditionalFormatting sqref="D34">
    <cfRule type="expression" priority="11" dxfId="0">
      <formula>AND($B34&gt;0,$D34&gt;0)</formula>
    </cfRule>
    <cfRule type="expression" priority="12" dxfId="1">
      <formula>AND($B34&gt;0,$D34&lt;0)</formula>
    </cfRule>
  </conditionalFormatting>
  <conditionalFormatting sqref="D35">
    <cfRule type="expression" priority="13" dxfId="0">
      <formula>AND($B35&gt;0,$D35&gt;0)</formula>
    </cfRule>
    <cfRule type="expression" priority="14" dxfId="1">
      <formula>AND($B35&gt;0,$D35&lt;0)</formula>
    </cfRule>
  </conditionalFormatting>
  <conditionalFormatting sqref="D36">
    <cfRule type="expression" priority="15" dxfId="0">
      <formula>AND($B36&gt;0,$D36&gt;0)</formula>
    </cfRule>
    <cfRule type="expression" priority="16" dxfId="1">
      <formula>AND($B36&gt;0,$D36&lt;0)</formula>
    </cfRule>
  </conditionalFormatting>
  <conditionalFormatting sqref="D41">
    <cfRule type="expression" priority="17" dxfId="0">
      <formula>AND($B41&gt;0,$D41&gt;0)</formula>
    </cfRule>
    <cfRule type="expression" priority="18" dxfId="1">
      <formula>AND($B41&gt;0,$D41&lt;0)</formula>
    </cfRule>
  </conditionalFormatting>
  <conditionalFormatting sqref="D42">
    <cfRule type="expression" priority="19" dxfId="0">
      <formula>AND($B42&gt;0,$D42&gt;0)</formula>
    </cfRule>
    <cfRule type="expression" priority="20" dxfId="1">
      <formula>AND($B42&gt;0,$D42&lt;0)</formula>
    </cfRule>
  </conditionalFormatting>
  <conditionalFormatting sqref="D43">
    <cfRule type="expression" priority="21" dxfId="0">
      <formula>AND($B43&gt;0,$D43&gt;0)</formula>
    </cfRule>
    <cfRule type="expression" priority="22" dxfId="1">
      <formula>AND($B43&gt;0,$D43&lt;0)</formula>
    </cfRule>
  </conditionalFormatting>
  <conditionalFormatting sqref="D44">
    <cfRule type="expression" priority="23" dxfId="0">
      <formula>AND($B44&gt;0,$D44&gt;0)</formula>
    </cfRule>
    <cfRule type="expression" priority="24" dxfId="1">
      <formula>AND($B44&gt;0,$D44&lt;0)</formula>
    </cfRule>
  </conditionalFormatting>
  <conditionalFormatting sqref="D45">
    <cfRule type="expression" priority="25" dxfId="0">
      <formula>AND($B45&gt;0,$D45&gt;0)</formula>
    </cfRule>
    <cfRule type="expression" priority="26" dxfId="1">
      <formula>AND($B45&gt;0,$D45&lt;0)</formula>
    </cfRule>
  </conditionalFormatting>
  <conditionalFormatting sqref="D46">
    <cfRule type="expression" priority="27" dxfId="0">
      <formula>AND($B46&gt;0,$D46&gt;0)</formula>
    </cfRule>
    <cfRule type="expression" priority="28" dxfId="1">
      <formula>AND($B46&gt;0,$D46&lt;0)</formula>
    </cfRule>
  </conditionalFormatting>
  <conditionalFormatting sqref="D51">
    <cfRule type="expression" priority="29" dxfId="0">
      <formula>AND($B51&gt;0,$D51&gt;0)</formula>
    </cfRule>
    <cfRule type="expression" priority="30" dxfId="1">
      <formula>AND($B51&gt;0,$D51&lt;0)</formula>
    </cfRule>
  </conditionalFormatting>
  <conditionalFormatting sqref="D52">
    <cfRule type="expression" priority="31" dxfId="0">
      <formula>AND($B52&gt;0,$D52&gt;0)</formula>
    </cfRule>
    <cfRule type="expression" priority="32" dxfId="1">
      <formula>AND($B52&gt;0,$D52&lt;0)</formula>
    </cfRule>
  </conditionalFormatting>
  <conditionalFormatting sqref="D53">
    <cfRule type="expression" priority="33" dxfId="0">
      <formula>AND($B53&gt;0,$D53&gt;0)</formula>
    </cfRule>
    <cfRule type="expression" priority="34" dxfId="1">
      <formula>AND($B53&gt;0,$D53&lt;0)</formula>
    </cfRule>
  </conditionalFormatting>
  <conditionalFormatting sqref="D54">
    <cfRule type="expression" priority="35" dxfId="0">
      <formula>AND($B54&gt;0,$D54&gt;0)</formula>
    </cfRule>
    <cfRule type="expression" priority="36" dxfId="1">
      <formula>AND($B54&gt;0,$D54&lt;0)</formula>
    </cfRule>
  </conditionalFormatting>
  <conditionalFormatting sqref="D59">
    <cfRule type="expression" priority="37" dxfId="0">
      <formula>AND($B59&gt;0,$D59&gt;0)</formula>
    </cfRule>
    <cfRule type="expression" priority="38" dxfId="1">
      <formula>AND($B59&gt;0,$D59&lt;0)</formula>
    </cfRule>
  </conditionalFormatting>
  <conditionalFormatting sqref="D60">
    <cfRule type="expression" priority="39" dxfId="0">
      <formula>AND($B60&gt;0,$D60&gt;0)</formula>
    </cfRule>
    <cfRule type="expression" priority="40" dxfId="1">
      <formula>AND($B60&gt;0,$D60&lt;0)</formula>
    </cfRule>
  </conditionalFormatting>
  <conditionalFormatting sqref="D65">
    <cfRule type="expression" priority="41" dxfId="0">
      <formula>AND($B65&gt;0,$D65&gt;0)</formula>
    </cfRule>
    <cfRule type="expression" priority="42" dxfId="1">
      <formula>AND($B65&gt;0,$D65&lt;0)</formula>
    </cfRule>
  </conditionalFormatting>
  <conditionalFormatting sqref="D66">
    <cfRule type="expression" priority="43" dxfId="0">
      <formula>AND($B66&gt;0,$D66&gt;0)</formula>
    </cfRule>
    <cfRule type="expression" priority="44" dxfId="1">
      <formula>AND($B66&gt;0,$D66&lt;0)</formula>
    </cfRule>
  </conditionalFormatting>
  <conditionalFormatting sqref="D70">
    <cfRule type="expression" priority="45" dxfId="0">
      <formula>AND($B70&gt;0,$D70&gt;0)</formula>
    </cfRule>
    <cfRule type="expression" priority="46" dxfId="1">
      <formula>AND($B70&gt;0,$D70&lt;0)</formula>
    </cfRule>
  </conditionalFormatting>
  <conditionalFormatting sqref="D71">
    <cfRule type="expression" priority="47" dxfId="0">
      <formula>AND($B71&gt;0,$D71&gt;0)</formula>
    </cfRule>
    <cfRule type="expression" priority="48" dxfId="1">
      <formula>AND($B71&gt;0,$D71&lt;0)</formula>
    </cfRule>
  </conditionalFormatting>
  <conditionalFormatting sqref="D72">
    <cfRule type="expression" priority="49" dxfId="0">
      <formula>AND($B72&gt;0,$D72&gt;0)</formula>
    </cfRule>
    <cfRule type="expression" priority="50" dxfId="1">
      <formula>AND($B72&gt;0,$D72&lt;0)</formula>
    </cfRule>
  </conditionalFormatting>
  <conditionalFormatting sqref="D73">
    <cfRule type="expression" priority="51" dxfId="0">
      <formula>AND($B73&gt;0,$D73&gt;0)</formula>
    </cfRule>
    <cfRule type="expression" priority="52" dxfId="1">
      <formula>AND($B73&gt;0,$D73&lt;0)</formula>
    </cfRule>
  </conditionalFormatting>
  <conditionalFormatting sqref="D74">
    <cfRule type="expression" priority="53" dxfId="0">
      <formula>AND($B74&gt;0,$D74&gt;0)</formula>
    </cfRule>
    <cfRule type="expression" priority="54" dxfId="1">
      <formula>AND($B74&gt;0,$D74&lt;0)</formula>
    </cfRule>
  </conditionalFormatting>
  <conditionalFormatting sqref="E84">
    <cfRule type="expression" priority="55" dxfId="1">
      <formula>AND($B84&gt;0,$E84&lt;0)</formula>
    </cfRule>
  </conditionalFormatting>
  <conditionalFormatting sqref="E85">
    <cfRule type="expression" priority="56" dxfId="1">
      <formula>AND($B85&gt;0,$E85&lt;0)</formula>
    </cfRule>
  </conditionalFormatting>
  <conditionalFormatting sqref="E86">
    <cfRule type="expression" priority="57" dxfId="1">
      <formula>AND($B86&gt;0,$E86&lt;0)</formula>
    </cfRule>
  </conditionalFormatting>
  <conditionalFormatting sqref="E87">
    <cfRule type="expression" priority="58" dxfId="1">
      <formula>AND($B87&gt;0,$E87&lt;0)</formula>
    </cfRule>
  </conditionalFormatting>
  <conditionalFormatting sqref="E88">
    <cfRule type="expression" priority="59" dxfId="1">
      <formula>AND($B88&gt;0,$E88&lt;0)</formula>
    </cfRule>
  </conditionalFormatting>
  <conditionalFormatting sqref="E89">
    <cfRule type="expression" priority="60" dxfId="1">
      <formula>AND($B89&gt;0,$E89&lt;0)</formula>
    </cfRule>
  </conditionalFormatting>
  <conditionalFormatting sqref="E90">
    <cfRule type="expression" priority="61" dxfId="1">
      <formula>AND($B90&gt;0,$E90&lt;0)</formula>
    </cfRule>
  </conditionalFormatting>
  <conditionalFormatting sqref="E91">
    <cfRule type="expression" priority="62" dxfId="1">
      <formula>AND($B91&gt;0,$E91&lt;0)</formula>
    </cfRule>
  </conditionalFormatting>
  <dataValidations count="6">
    <dataValidation sqref="B4" showDropDown="0" showInputMessage="0" showErrorMessage="0" allowBlank="0" type="list">
      <formula1>"(Semua),XAUUSD,BTCUSD,EURUSD,GBPUSD,USDJPY"</formula1>
    </dataValidation>
    <dataValidation sqref="B5" showDropDown="0" showInputMessage="0" showErrorMessage="0" allowBlank="0" type="list">
      <formula1>"(Semua),First Touch,RBS Retest,SBR Retest,Lainnya"</formula1>
    </dataValidation>
    <dataValidation sqref="B6" showDropDown="0" showInputMessage="0" showErrorMessage="0" allowBlank="0" type="list">
      <formula1>"(Semua),London,Overlap LDN+NY,New York,Asia"</formula1>
    </dataValidation>
    <dataValidation sqref="B7" showDropDown="0" showInputMessage="0" showErrorMessage="0" allowBlank="0" type="list">
      <formula1>"(Semua),Tenang,FOMO,Balas dendam,Ragu,Overconfident,Bosan"</formula1>
    </dataValidation>
    <dataValidation sqref="B8" showDropDown="0" showInputMessage="0" showErrorMessage="0" allowBlank="0" type="list">
      <formula1>"(Semua),Segar,Biasa,Capek,Ngantuk"</formula1>
    </dataValidation>
    <dataValidation sqref="B9" showDropDown="0" showInputMessage="0" showErrorMessage="0" allowBlank="0" type="list">
      <formula1>"(Semua),Ya,Tidak"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5" t="inlineStr">
        <is>
          <t>🔍 REVIEW MINGGUAN — isi tiap Sabtu, 10 menit</t>
        </is>
      </c>
    </row>
    <row r="2">
      <c r="A2" s="8" t="inlineStr">
        <is>
          <t>Jurnal yang dibaca ulang jauh lebih berharga daripada jurnal yang cuma diisi.</t>
        </is>
      </c>
    </row>
    <row r="4">
      <c r="A4" s="71" t="inlineStr">
        <is>
          <t>MINGGU 1</t>
        </is>
      </c>
    </row>
    <row r="5" ht="34" customHeight="1">
      <c r="A5" s="72" t="inlineStr">
        <is>
          <t>Berapa total R minggu ini? Naik atau turun dari minggu lalu?</t>
        </is>
      </c>
      <c r="B5" s="73" t="n"/>
    </row>
    <row r="6" ht="34" customHeight="1">
      <c r="A6" s="72" t="inlineStr">
        <is>
          <t>Setup mana yang paling menghasilkan? Mana yang paling merugikan?</t>
        </is>
      </c>
      <c r="B6" s="73" t="n"/>
    </row>
    <row r="7" ht="34" customHeight="1">
      <c r="A7" s="72" t="inlineStr">
        <is>
          <t>Berapa kali aku melanggar checklist sendiri? Apa pemicunya?</t>
        </is>
      </c>
      <c r="B7" s="73" t="n"/>
    </row>
    <row r="8" ht="34" customHeight="1">
      <c r="A8" s="72" t="inlineStr">
        <is>
          <t>Emosi apa yang paling sering muncul saat aku rugi?</t>
        </is>
      </c>
      <c r="B8" s="73" t="n"/>
    </row>
    <row r="9" ht="34" customHeight="1">
      <c r="A9" s="72" t="inlineStr">
        <is>
          <t>Ada guardrail yang jebol (batas rugi / max trade / revenge)? Kenapa?</t>
        </is>
      </c>
      <c r="B9" s="73" t="n"/>
    </row>
    <row r="10" ht="34" customHeight="1">
      <c r="A10" s="72" t="inlineStr">
        <is>
          <t>Satu hal yang akan aku ubah minggu depan (SATU saja, spesifik):</t>
        </is>
      </c>
      <c r="B10" s="73" t="n"/>
    </row>
    <row r="12">
      <c r="A12" s="71" t="inlineStr">
        <is>
          <t>MINGGU 2</t>
        </is>
      </c>
    </row>
    <row r="13" ht="34" customHeight="1">
      <c r="A13" s="72" t="inlineStr">
        <is>
          <t>Berapa total R minggu ini? Naik atau turun dari minggu lalu?</t>
        </is>
      </c>
      <c r="B13" s="73" t="n"/>
    </row>
    <row r="14" ht="34" customHeight="1">
      <c r="A14" s="72" t="inlineStr">
        <is>
          <t>Setup mana yang paling menghasilkan? Mana yang paling merugikan?</t>
        </is>
      </c>
      <c r="B14" s="73" t="n"/>
    </row>
    <row r="15" ht="34" customHeight="1">
      <c r="A15" s="72" t="inlineStr">
        <is>
          <t>Berapa kali aku melanggar checklist sendiri? Apa pemicunya?</t>
        </is>
      </c>
      <c r="B15" s="73" t="n"/>
    </row>
    <row r="16" ht="34" customHeight="1">
      <c r="A16" s="72" t="inlineStr">
        <is>
          <t>Emosi apa yang paling sering muncul saat aku rugi?</t>
        </is>
      </c>
      <c r="B16" s="73" t="n"/>
    </row>
    <row r="17" ht="34" customHeight="1">
      <c r="A17" s="72" t="inlineStr">
        <is>
          <t>Ada guardrail yang jebol (batas rugi / max trade / revenge)? Kenapa?</t>
        </is>
      </c>
      <c r="B17" s="73" t="n"/>
    </row>
    <row r="18" ht="34" customHeight="1">
      <c r="A18" s="72" t="inlineStr">
        <is>
          <t>Satu hal yang akan aku ubah minggu depan (SATU saja, spesifik):</t>
        </is>
      </c>
      <c r="B18" s="73" t="n"/>
    </row>
    <row r="20">
      <c r="A20" s="71" t="inlineStr">
        <is>
          <t>MINGGU 3</t>
        </is>
      </c>
    </row>
    <row r="21" ht="34" customHeight="1">
      <c r="A21" s="72" t="inlineStr">
        <is>
          <t>Berapa total R minggu ini? Naik atau turun dari minggu lalu?</t>
        </is>
      </c>
      <c r="B21" s="73" t="n"/>
    </row>
    <row r="22" ht="34" customHeight="1">
      <c r="A22" s="72" t="inlineStr">
        <is>
          <t>Setup mana yang paling menghasilkan? Mana yang paling merugikan?</t>
        </is>
      </c>
      <c r="B22" s="73" t="n"/>
    </row>
    <row r="23" ht="34" customHeight="1">
      <c r="A23" s="72" t="inlineStr">
        <is>
          <t>Berapa kali aku melanggar checklist sendiri? Apa pemicunya?</t>
        </is>
      </c>
      <c r="B23" s="73" t="n"/>
    </row>
    <row r="24" ht="34" customHeight="1">
      <c r="A24" s="72" t="inlineStr">
        <is>
          <t>Emosi apa yang paling sering muncul saat aku rugi?</t>
        </is>
      </c>
      <c r="B24" s="73" t="n"/>
    </row>
    <row r="25" ht="34" customHeight="1">
      <c r="A25" s="72" t="inlineStr">
        <is>
          <t>Ada guardrail yang jebol (batas rugi / max trade / revenge)? Kenapa?</t>
        </is>
      </c>
      <c r="B25" s="73" t="n"/>
    </row>
    <row r="26" ht="34" customHeight="1">
      <c r="A26" s="72" t="inlineStr">
        <is>
          <t>Satu hal yang akan aku ubah minggu depan (SATU saja, spesifik):</t>
        </is>
      </c>
      <c r="B26" s="73" t="n"/>
    </row>
    <row r="28">
      <c r="A28" s="71" t="inlineStr">
        <is>
          <t>MINGGU 4</t>
        </is>
      </c>
    </row>
    <row r="29" ht="34" customHeight="1">
      <c r="A29" s="72" t="inlineStr">
        <is>
          <t>Berapa total R minggu ini? Naik atau turun dari minggu lalu?</t>
        </is>
      </c>
      <c r="B29" s="73" t="n"/>
    </row>
    <row r="30" ht="34" customHeight="1">
      <c r="A30" s="72" t="inlineStr">
        <is>
          <t>Setup mana yang paling menghasilkan? Mana yang paling merugikan?</t>
        </is>
      </c>
      <c r="B30" s="73" t="n"/>
    </row>
    <row r="31" ht="34" customHeight="1">
      <c r="A31" s="72" t="inlineStr">
        <is>
          <t>Berapa kali aku melanggar checklist sendiri? Apa pemicunya?</t>
        </is>
      </c>
      <c r="B31" s="73" t="n"/>
    </row>
    <row r="32" ht="34" customHeight="1">
      <c r="A32" s="72" t="inlineStr">
        <is>
          <t>Emosi apa yang paling sering muncul saat aku rugi?</t>
        </is>
      </c>
      <c r="B32" s="73" t="n"/>
    </row>
    <row r="33" ht="34" customHeight="1">
      <c r="A33" s="72" t="inlineStr">
        <is>
          <t>Ada guardrail yang jebol (batas rugi / max trade / revenge)? Kenapa?</t>
        </is>
      </c>
      <c r="B33" s="73" t="n"/>
    </row>
    <row r="34" ht="34" customHeight="1">
      <c r="A34" s="72" t="inlineStr">
        <is>
          <t>Satu hal yang akan aku ubah minggu depan (SATU saja, spesifik):</t>
        </is>
      </c>
      <c r="B34" s="73" t="n"/>
    </row>
  </sheetData>
  <mergeCells count="4">
    <mergeCell ref="A4:B4"/>
    <mergeCell ref="A20:B20"/>
    <mergeCell ref="A28:B2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2026-08-31T02:42:08Z</dcterms:created>
  <dcterms:modified xsi:type="dcterms:W3CDTF">2026-08-31T02:42:09Z</dcterms:modified>
</cp:coreProperties>
</file>